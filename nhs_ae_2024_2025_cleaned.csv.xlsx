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emaahsan/Desktop/"/>
    </mc:Choice>
  </mc:AlternateContent>
  <xr:revisionPtr revIDLastSave="0" documentId="8_{A3E3CD98-AA74-8C4F-8714-BF6B34C724A5}" xr6:coauthVersionLast="47" xr6:coauthVersionMax="47" xr10:uidLastSave="{00000000-0000-0000-0000-000000000000}"/>
  <bookViews>
    <workbookView xWindow="0" yWindow="0" windowWidth="28800" windowHeight="18000" xr2:uid="{FFB2D7FF-BF2E-4D64-B0A9-C2AC91A62A82}"/>
  </bookViews>
  <sheets>
    <sheet name="NHS_AE_2024_2025" sheetId="2" r:id="rId1"/>
    <sheet name="Trends In Attendances" sheetId="3" r:id="rId2"/>
    <sheet name="Total Over 4 Hours" sheetId="4" r:id="rId3"/>
    <sheet name="Top Trusts by Attendances" sheetId="8" r:id="rId4"/>
    <sheet name="Top Trusts by 4 hours delays" sheetId="12" r:id="rId5"/>
    <sheet name="Trust Lookup Tool" sheetId="15" r:id="rId6"/>
  </sheets>
  <definedNames>
    <definedName name="ExternalData_1" localSheetId="0" hidden="1">NHS_AE_2024_2025!$A$1:$W$2385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5" l="1"/>
  <c r="B2" i="15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F03D2E-772D-42BA-8F0A-464F3407A03C}" keepAlive="1" name="Query - NHS_AE_2024_2025" description="Connection to the 'NHS_AE_2024_2025' query in the workbook." type="5" refreshedVersion="8" background="1" saveData="1">
    <dbPr connection="Provider=Microsoft.Mashup.OleDb.1;Data Source=$Workbook$;Location=NHS_AE_2024_2025;Extended Properties=&quot;&quot;" command="SELECT * FROM [NHS_AE_2024_2025]"/>
  </connection>
  <connection id="2" xr16:uid="{5DC94D6F-C362-4159-B5E9-3FA2D8945EA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5697B358-3F7B-4CDD-8BF8-536075758B2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1191A44-27FD-4382-BD50-A7FD896EAA7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3CBC28A-9DDC-426D-B3B6-3963BEE5580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<sst xmlns="http://schemas.openxmlformats.org/spreadsheetml/2006/main" count="12002" uniqueCount="468">
  <si>
    <t>Source.Name</t>
  </si>
  <si>
    <t>Period</t>
  </si>
  <si>
    <t>Org Code</t>
  </si>
  <si>
    <t>Parent Org</t>
  </si>
  <si>
    <t>Org name</t>
  </si>
  <si>
    <t>A&amp;E attendances Type 1</t>
  </si>
  <si>
    <t>A&amp;E attendances Type 2</t>
  </si>
  <si>
    <t>A&amp;E attendances Other A&amp;E Department</t>
  </si>
  <si>
    <t>A&amp;E attendances Booked Appointments Type 1</t>
  </si>
  <si>
    <t>A&amp;E attendances Booked Appointments Type 2</t>
  </si>
  <si>
    <t>A&amp;E attendances Booked Appointments Other Department</t>
  </si>
  <si>
    <t>Attendances over 4hrs Type 1</t>
  </si>
  <si>
    <t>Attendances over 4hrs Type 2</t>
  </si>
  <si>
    <t>Attendances over 4hrs Other Department</t>
  </si>
  <si>
    <t>Attendances over 4hrs Booked Appointments Type 1</t>
  </si>
  <si>
    <t>Attendances over 4hrs Booked Appointments Type 2</t>
  </si>
  <si>
    <t>Attendances over 4hrs Booked Appointments Other Department</t>
  </si>
  <si>
    <t>Patients who have waited 4-12 hs from DTA to admission</t>
  </si>
  <si>
    <t>Patients who have waited 12+ hrs from DTA to admission</t>
  </si>
  <si>
    <t>Emergency admissions via A&amp;E - Type 1</t>
  </si>
  <si>
    <t>Emergency admissions via A&amp;E - Type 2</t>
  </si>
  <si>
    <t>Emergency admissions via A&amp;E - Other A&amp;E department</t>
  </si>
  <si>
    <t>Other emergency admissions</t>
  </si>
  <si>
    <t>Monthly-AE-April-2024-revised.csv</t>
  </si>
  <si>
    <t>MSitAE-APRIL-2024</t>
  </si>
  <si>
    <t>AAH</t>
  </si>
  <si>
    <t xml:space="preserve">NHS ENGLAND SOUTH WEST </t>
  </si>
  <si>
    <t>TETBURY HOSPITAL TRUST LTD</t>
  </si>
  <si>
    <t>RAN</t>
  </si>
  <si>
    <t>NHS ENGLAND LONDON</t>
  </si>
  <si>
    <t>ROYAL NATIONAL ORTHOPAEDIC HOSPITAL NHS TRUST</t>
  </si>
  <si>
    <t>8J094</t>
  </si>
  <si>
    <t xml:space="preserve">NHS ENGLAND MIDLANDS </t>
  </si>
  <si>
    <t>BADGER LTD</t>
  </si>
  <si>
    <t>AD913</t>
  </si>
  <si>
    <t>BECKENHAM BEACON UCC</t>
  </si>
  <si>
    <t>AQN04</t>
  </si>
  <si>
    <t xml:space="preserve">NHS ENGLAND SOUTH EAST </t>
  </si>
  <si>
    <t>PHL LYMINGTON UTC</t>
  </si>
  <si>
    <t>L83087</t>
  </si>
  <si>
    <t>OKEHAMPTON MEDICAL CENTRE</t>
  </si>
  <si>
    <t>NQTE4</t>
  </si>
  <si>
    <t>SUMMERFIELD URGENT CARE CENTRE</t>
  </si>
  <si>
    <t>RA9</t>
  </si>
  <si>
    <t>TORBAY AND SOUTH DEVON NHS FOUNDATION TRUST</t>
  </si>
  <si>
    <t>RDY</t>
  </si>
  <si>
    <t>DORSET HEALTHCARE UNIVERSITY NHS FOUNDATION TRUST</t>
  </si>
  <si>
    <t>RJ8</t>
  </si>
  <si>
    <t>CORNWALL PARTNERSHIP NHS FOUNDATION TRUST</t>
  </si>
  <si>
    <t>RWY</t>
  </si>
  <si>
    <t xml:space="preserve">NHS ENGLAND NORTH EAST AND YORKSHIRE </t>
  </si>
  <si>
    <t>CALDERDALE AND HUDDERSFIELD NHS FOUNDATION TRUST</t>
  </si>
  <si>
    <t>RXQ</t>
  </si>
  <si>
    <t>BUCKINGHAMSHIRE HEALTHCARE NHS TRUST</t>
  </si>
  <si>
    <t>RY7</t>
  </si>
  <si>
    <t xml:space="preserve">NHS ENGLAND NORTH WEST </t>
  </si>
  <si>
    <t>WIRRAL COMMUNITY HEALTH AND CARE NHS FOUNDATION TRUST</t>
  </si>
  <si>
    <t>RY8</t>
  </si>
  <si>
    <t>DERBYSHIRE COMMUNITY HEALTH SERVICES NHS FOUNDATION TRUST</t>
  </si>
  <si>
    <t>Y00751</t>
  </si>
  <si>
    <t>EAST BERKS PRIMARY CARE OOH(WAM)</t>
  </si>
  <si>
    <t>Y02532</t>
  </si>
  <si>
    <t>MIRIAM MINOR EMERGENCY</t>
  </si>
  <si>
    <t>Y02615</t>
  </si>
  <si>
    <t>SOUTH BIRMINGHAM GP WALK IN CENTRE</t>
  </si>
  <si>
    <t>Y03007</t>
  </si>
  <si>
    <t>ERDINGTON GP HEALTH &amp; WELLBEING WIC</t>
  </si>
  <si>
    <t>Y03218</t>
  </si>
  <si>
    <t>THE PINN UNREGISTERED WIC</t>
  </si>
  <si>
    <t>DT301</t>
  </si>
  <si>
    <t xml:space="preserve">NHS ENGLAND EAST OF ENGLAND </t>
  </si>
  <si>
    <t>HERTS URGENT CARE (ASCOTS LANE)</t>
  </si>
  <si>
    <t>NQT5F</t>
  </si>
  <si>
    <t>SKELMERSDALE WALK IN CENTRE</t>
  </si>
  <si>
    <t>NQT5H</t>
  </si>
  <si>
    <t>PAULTON MEMORIAL HOSPITAL</t>
  </si>
  <si>
    <t>NTPAD</t>
  </si>
  <si>
    <t>PRACTICE PLUS GROUP SURGICAL CENTRE - ST MARYS PORTSMOUTH</t>
  </si>
  <si>
    <t>NTV0B</t>
  </si>
  <si>
    <t>ASHFORD WALK-IN-CENTRE</t>
  </si>
  <si>
    <t>NTV0W</t>
  </si>
  <si>
    <t>WOKING WALK IN CENTRE</t>
  </si>
  <si>
    <t>RBQ</t>
  </si>
  <si>
    <t>LIVERPOOL HEART AND CHEST HOSPITAL NHS FOUNDATION TRUST</t>
  </si>
  <si>
    <t>RFF</t>
  </si>
  <si>
    <t>BARNSLEY HOSPITAL NHS FOUNDATION TRUST</t>
  </si>
  <si>
    <t>RPC</t>
  </si>
  <si>
    <t>QUEEN VICTORIA HOSPITAL NHS FOUNDATION TRUST</t>
  </si>
  <si>
    <t>RRV</t>
  </si>
  <si>
    <t>UNIVERSITY COLLEGE LONDON HOSPITALS NHS FOUNDATION TRUST</t>
  </si>
  <si>
    <t>Y02147</t>
  </si>
  <si>
    <t>URGENT CARE CENTRE (QMS)</t>
  </si>
  <si>
    <t>AXG</t>
  </si>
  <si>
    <t>WILTSHIRE HEALTH &amp; CARE</t>
  </si>
  <si>
    <t>C82038</t>
  </si>
  <si>
    <t>LATHAM HOUSE MEDICAL PRACTICE</t>
  </si>
  <si>
    <t>G0Q0L</t>
  </si>
  <si>
    <t>BARKING HOSPITAL UTC</t>
  </si>
  <si>
    <t>K6K0R</t>
  </si>
  <si>
    <t>HAROLD WOOD POLYCLINIC UTC</t>
  </si>
  <si>
    <t>NTP11</t>
  </si>
  <si>
    <t>PRACTICE PLUS GROUP HOSPITAL - SOUTHAMPTON</t>
  </si>
  <si>
    <t>REM</t>
  </si>
  <si>
    <t>LIVERPOOL UNIVERSITY HOSPITALS NHS FOUNDATION TRUST</t>
  </si>
  <si>
    <t>RQX</t>
  </si>
  <si>
    <t>HOMERTON HEALTHCARE NHS FOUNDATION TRUST</t>
  </si>
  <si>
    <t>Y02676</t>
  </si>
  <si>
    <t>BRIGHTON STATION HEALTH CENTRE</t>
  </si>
  <si>
    <t>Y07709</t>
  </si>
  <si>
    <t>READING URGENT CARE CENTRE</t>
  </si>
  <si>
    <t>NQT51</t>
  </si>
  <si>
    <t>STATION PLAZA HEALTH CENTRE</t>
  </si>
  <si>
    <t>RJN</t>
  </si>
  <si>
    <t>EAST CHESHIRE NHS TRUST</t>
  </si>
  <si>
    <t>RNS</t>
  </si>
  <si>
    <t>NORTHAMPTON GENERAL HOSPITAL NHS TRUST</t>
  </si>
  <si>
    <t>RW4</t>
  </si>
  <si>
    <t>MERSEY CARE NHS FOUNDATION TRUST</t>
  </si>
  <si>
    <t>NNJ</t>
  </si>
  <si>
    <t>DHU HEALTH CARE C.I.C</t>
  </si>
  <si>
    <t>R0B</t>
  </si>
  <si>
    <t>SOUTH TYNESIDE AND SUNDERLAND NHS FOUNDATION TRUST</t>
  </si>
  <si>
    <t>RFR</t>
  </si>
  <si>
    <t>THE ROTHERHAM NHS FOUNDATION TRUST</t>
  </si>
  <si>
    <t>RW1</t>
  </si>
  <si>
    <t>SOUTHERN HEALTH NHS FOUNDATION TRUST</t>
  </si>
  <si>
    <t>RWG</t>
  </si>
  <si>
    <t>WEST HERTFORDSHIRE TEACHING HOSPITALS NHS TRUST</t>
  </si>
  <si>
    <t>RYY</t>
  </si>
  <si>
    <t>KENT COMMUNITY HEALTH NHS FOUNDATION TRUST</t>
  </si>
  <si>
    <t>Y02428</t>
  </si>
  <si>
    <t>PUTNOE WALK IN CENTRE</t>
  </si>
  <si>
    <t>ACH01</t>
  </si>
  <si>
    <t>WHITSTABLE MEDICAL PRACTICE</t>
  </si>
  <si>
    <t>NDJ</t>
  </si>
  <si>
    <t>FIRST COMMUNITY HEALTH AND CARE CIC</t>
  </si>
  <si>
    <t>NNJ07</t>
  </si>
  <si>
    <t>LOUGHBOROUGH URGENT CARE CENTRE</t>
  </si>
  <si>
    <t>NNJ0H</t>
  </si>
  <si>
    <t>LLR EA - THE MERLYN VAZ HEALTH &amp; SOCIAL CARE CENTRE</t>
  </si>
  <si>
    <t>NNJ12</t>
  </si>
  <si>
    <t>MARKET HARBOROUGH</t>
  </si>
  <si>
    <t>NNJ13</t>
  </si>
  <si>
    <t>MELTON MOWBRAY</t>
  </si>
  <si>
    <t>NNJ15</t>
  </si>
  <si>
    <t>OAKHAM</t>
  </si>
  <si>
    <t>NR3</t>
  </si>
  <si>
    <t>NOTTINGHAM CITYCARE PARTNERSHIP</t>
  </si>
  <si>
    <t>R1D</t>
  </si>
  <si>
    <t>SHROPSHIRE COMMUNITY HEALTH NHS TRUST</t>
  </si>
  <si>
    <t>RBV</t>
  </si>
  <si>
    <t>THE CHRISTIE NHS FOUNDATION TRUST</t>
  </si>
  <si>
    <t>REF</t>
  </si>
  <si>
    <t>ROYAL CORNWALL HOSPITALS NHS TRUST</t>
  </si>
  <si>
    <t>RGP</t>
  </si>
  <si>
    <t>JAMES PAGET UNIVERSITY HOSPITALS NHS FOUNDATION TRUST</t>
  </si>
  <si>
    <t>RJZ</t>
  </si>
  <si>
    <t>KING'S COLLEGE HOSPITAL NHS FOUNDATION TRUST</t>
  </si>
  <si>
    <t>RNA</t>
  </si>
  <si>
    <t>THE DUDLEY GROUP NHS FOUNDATION TRUST</t>
  </si>
  <si>
    <t>RNQ</t>
  </si>
  <si>
    <t>KETTERING GENERAL HOSPITAL NHS FOUNDATION TRUST</t>
  </si>
  <si>
    <t>RP6</t>
  </si>
  <si>
    <t>MOORFIELDS EYE HOSPITAL NHS FOUNDATION TRUST</t>
  </si>
  <si>
    <t>RTP</t>
  </si>
  <si>
    <t>SURREY AND SUSSEX HEALTHCARE NHS TRUST</t>
  </si>
  <si>
    <t>RV9</t>
  </si>
  <si>
    <t>HUMBER TEACHING NHS FOUNDATION TRUST</t>
  </si>
  <si>
    <t>RWP</t>
  </si>
  <si>
    <t>WORCESTERSHIRE ACUTE HOSPITALS NHS TRUST</t>
  </si>
  <si>
    <t>RX1</t>
  </si>
  <si>
    <t>NOTTINGHAM UNIVERSITY HOSPITALS NHS TRUST</t>
  </si>
  <si>
    <t>RXC</t>
  </si>
  <si>
    <t>EAST SUSSEX HEALTHCARE NHS TRUST</t>
  </si>
  <si>
    <t>RXG</t>
  </si>
  <si>
    <t>SOUTH WEST YORKSHIRE PARTNERSHIP NHS FOUNDATION TRUST</t>
  </si>
  <si>
    <t>RXL</t>
  </si>
  <si>
    <t>BLACKPOOL TEACHING HOSPITALS NHS FOUNDATION TRUST</t>
  </si>
  <si>
    <t>RY2</t>
  </si>
  <si>
    <t>BRIDGEWATER COMMUNITY HEALTHCARE NHS FOUNDATION TRUST</t>
  </si>
  <si>
    <t>RYF</t>
  </si>
  <si>
    <t>SOUTH WESTERN AMBULANCE SERVICE NHS FOUNDATION TRUST</t>
  </si>
  <si>
    <t>RYX</t>
  </si>
  <si>
    <t>CENTRAL LONDON COMMUNITY HEALTHCARE NHS TRUST</t>
  </si>
  <si>
    <t>NV693</t>
  </si>
  <si>
    <t>ROSSENDALE MIU &amp; OOH</t>
  </si>
  <si>
    <t>R0D</t>
  </si>
  <si>
    <t>UNIVERSITY HOSPITALS DORSET NHS FOUNDATION TRUST</t>
  </si>
  <si>
    <t>RA7</t>
  </si>
  <si>
    <t>UNIVERSITY HOSPITALS BRISTOL AND WESTON NHS FOUNDATION TRUST</t>
  </si>
  <si>
    <t>RAE</t>
  </si>
  <si>
    <t>BRADFORD TEACHING HOSPITALS NHS FOUNDATION TRUST</t>
  </si>
  <si>
    <t>RBS</t>
  </si>
  <si>
    <t>ALDER HEY CHILDREN'S NHS FOUNDATION TRUST</t>
  </si>
  <si>
    <t>RCU</t>
  </si>
  <si>
    <t>SHEFFIELD CHILDREN'S NHS FOUNDATION TRUST</t>
  </si>
  <si>
    <t>RDU</t>
  </si>
  <si>
    <t>FRIMLEY HEALTH NHS FOUNDATION TRUST</t>
  </si>
  <si>
    <t>REP</t>
  </si>
  <si>
    <t>LIVERPOOL WOMEN'S NHS FOUNDATION TRUST</t>
  </si>
  <si>
    <t>RJE</t>
  </si>
  <si>
    <t>UNIVERSITY HOSPITALS OF NORTH MIDLANDS NHS TRUST</t>
  </si>
  <si>
    <t>RL4</t>
  </si>
  <si>
    <t>THE ROYAL WOLVERHAMPTON NHS TRUST</t>
  </si>
  <si>
    <t>RLQ</t>
  </si>
  <si>
    <t>WYE VALLEY NHS TRUST</t>
  </si>
  <si>
    <t>RRK</t>
  </si>
  <si>
    <t>UNIVERSITY HOSPITALS BIRMINGHAM NHS FOUNDATION TRUST</t>
  </si>
  <si>
    <t>RTG</t>
  </si>
  <si>
    <t>UNIVERSITY HOSPITALS OF DERBY AND BURTON NHS FOUNDATION TRUST</t>
  </si>
  <si>
    <t>RVJ</t>
  </si>
  <si>
    <t>NORTH BRISTOL NHS TRUST</t>
  </si>
  <si>
    <t>RVW</t>
  </si>
  <si>
    <t>NORTH TEES AND HARTLEPOOL NHS FOUNDATION TRUST</t>
  </si>
  <si>
    <t>RXN</t>
  </si>
  <si>
    <t>LANCASHIRE TEACHING HOSPITALS NHS FOUNDATION TRUST</t>
  </si>
  <si>
    <t>RXR</t>
  </si>
  <si>
    <t>EAST LANCASHIRE HOSPITALS NHS TRUST</t>
  </si>
  <si>
    <t>RY4</t>
  </si>
  <si>
    <t>HERTFORDSHIRE COMMUNITY NHS TRUST</t>
  </si>
  <si>
    <t>AJN</t>
  </si>
  <si>
    <t>WORKINGTON HEALTH LIMITED</t>
  </si>
  <si>
    <t>NL7</t>
  </si>
  <si>
    <t>ASSURA VERTIS URGENT CARE CENTRES (BIRMINGHAM)</t>
  </si>
  <si>
    <t>R1H</t>
  </si>
  <si>
    <t>BARTS HEALTH NHS TRUST</t>
  </si>
  <si>
    <t>RA2</t>
  </si>
  <si>
    <t>ROYAL SURREY COUNTY HOSPITAL NHS FOUNDATION TRUST</t>
  </si>
  <si>
    <t>RAJ</t>
  </si>
  <si>
    <t>MID AND SOUTH ESSEX NHS FOUNDATION TRUST</t>
  </si>
  <si>
    <t>RAL</t>
  </si>
  <si>
    <t>ROYAL FREE LONDON NHS FOUNDATION TRUST</t>
  </si>
  <si>
    <t>RAX</t>
  </si>
  <si>
    <t>KINGSTON HOSPITAL NHS FOUNDATION TRUST</t>
  </si>
  <si>
    <t>RBD</t>
  </si>
  <si>
    <t>DORSET COUNTY HOSPITAL NHS FOUNDATION TRUST</t>
  </si>
  <si>
    <t>RBK</t>
  </si>
  <si>
    <t>WALSALL HEALTHCARE NHS TRUST</t>
  </si>
  <si>
    <t>RCB</t>
  </si>
  <si>
    <t>YORK AND SCARBOROUGH TEACHING HOSPITALS NHS FOUNDATION TRUST</t>
  </si>
  <si>
    <t>RCF</t>
  </si>
  <si>
    <t>AIREDALE NHS FOUNDATION TRUST</t>
  </si>
  <si>
    <t>RD8</t>
  </si>
  <si>
    <t>MILTON KEYNES UNIVERSITY HOSPITAL NHS FOUNDATION TRUST</t>
  </si>
  <si>
    <t>RGN</t>
  </si>
  <si>
    <t>NORTH WEST ANGLIA NHS FOUNDATION TRUST</t>
  </si>
  <si>
    <t>RGT</t>
  </si>
  <si>
    <t>CAMBRIDGE UNIVERSITY HOSPITALS NHS FOUNDATION TRUST</t>
  </si>
  <si>
    <t>RJR</t>
  </si>
  <si>
    <t>COUNTESS OF CHESTER HOSPITAL NHS FOUNDATION TRUST</t>
  </si>
  <si>
    <t>RK5</t>
  </si>
  <si>
    <t>SHERWOOD FOREST HOSPITALS NHS FOUNDATION TRUST</t>
  </si>
  <si>
    <t>RN5</t>
  </si>
  <si>
    <t>HAMPSHIRE HOSPITALS NHS FOUNDATION TRUST</t>
  </si>
  <si>
    <t>RNN</t>
  </si>
  <si>
    <t>NORTH CUMBRIA INTEGRATED CARE NHS FOUNDATION TRUST</t>
  </si>
  <si>
    <t>RNU</t>
  </si>
  <si>
    <t>OXFORD HEALTH NHS FOUNDATION TRUST</t>
  </si>
  <si>
    <t>RR7</t>
  </si>
  <si>
    <t>GATESHEAD HEALTH NHS FOUNDATION TRUST</t>
  </si>
  <si>
    <t>RTK</t>
  </si>
  <si>
    <t>ASHFORD AND ST PETER'S HOSPITALS NHS FOUNDATION TRUST</t>
  </si>
  <si>
    <t>RTQ</t>
  </si>
  <si>
    <t>GLOUCESTERSHIRE HEALTH AND CARE NHS FOUNDATION TRUST</t>
  </si>
  <si>
    <t>RWA</t>
  </si>
  <si>
    <t>HULL UNIVERSITY TEACHING HOSPITALS NHS TRUST</t>
  </si>
  <si>
    <t>RWE</t>
  </si>
  <si>
    <t>UNIVERSITY HOSPITALS OF LEICESTER NHS TRUST</t>
  </si>
  <si>
    <t>RWF</t>
  </si>
  <si>
    <t>MAIDSTONE AND TUNBRIDGE WELLS NHS TRUST</t>
  </si>
  <si>
    <t>RXK</t>
  </si>
  <si>
    <t>SANDWELL AND WEST BIRMINGHAM HOSPITALS NHS TRUST</t>
  </si>
  <si>
    <t>RXW</t>
  </si>
  <si>
    <t>THE SHREWSBURY AND TELFORD HOSPITAL NHS TRUST</t>
  </si>
  <si>
    <t>RY5</t>
  </si>
  <si>
    <t>LINCOLNSHIRE COMMUNITY HEALTH SERVICES NHS TRUST</t>
  </si>
  <si>
    <t>RYR</t>
  </si>
  <si>
    <t>UNIVERSITY HOSPITALS SUSSEX NHS FOUNDATION TRUST</t>
  </si>
  <si>
    <t>C82009</t>
  </si>
  <si>
    <t>MARKET HARBOROUGH MED.CTR</t>
  </si>
  <si>
    <t>NNF09</t>
  </si>
  <si>
    <t>BRANSHOLME HEALTH CENTRE</t>
  </si>
  <si>
    <t>NNF94</t>
  </si>
  <si>
    <t>EAST RIDING COMMUNITY HOSPITAL</t>
  </si>
  <si>
    <t>NNFA7</t>
  </si>
  <si>
    <t>GOOLE &amp; DISTRICT HOSPITAL</t>
  </si>
  <si>
    <t>R1F</t>
  </si>
  <si>
    <t>ISLE OF WIGHT NHS TRUST</t>
  </si>
  <si>
    <t>R1K</t>
  </si>
  <si>
    <t>LONDON NORTH WEST UNIVERSITY HEALTHCARE NHS TRUST</t>
  </si>
  <si>
    <t>RAP</t>
  </si>
  <si>
    <t>NORTH MIDDLESEX UNIVERSITY HOSPITAL NHS TRUST</t>
  </si>
  <si>
    <t>RBT</t>
  </si>
  <si>
    <t>MID CHESHIRE HOSPITALS NHS FOUNDATION TRUST</t>
  </si>
  <si>
    <t>RC9</t>
  </si>
  <si>
    <t>BEDFORDSHIRE HOSPITALS NHS FOUNDATION TRUST</t>
  </si>
  <si>
    <t>RDE</t>
  </si>
  <si>
    <t>EAST SUFFOLK AND NORTH ESSEX NHS FOUNDATION TRUST</t>
  </si>
  <si>
    <t>RFS</t>
  </si>
  <si>
    <t>CHESTERFIELD ROYAL HOSPITAL NHS FOUNDATION TRUST</t>
  </si>
  <si>
    <t>RHM</t>
  </si>
  <si>
    <t>UNIVERSITY HOSPITAL SOUTHAMPTON NHS FOUNDATION TRUST</t>
  </si>
  <si>
    <t>RJ1</t>
  </si>
  <si>
    <t>GUY'S AND ST THOMAS' NHS FOUNDATION TRUST</t>
  </si>
  <si>
    <t>RJ6</t>
  </si>
  <si>
    <t>CROYDON HEALTH SERVICES NHS TRUST</t>
  </si>
  <si>
    <t>RJ7</t>
  </si>
  <si>
    <t>ST GEORGE'S UNIVERSITY HOSPITALS NHS FOUNDATION TRUST</t>
  </si>
  <si>
    <t>RJC</t>
  </si>
  <si>
    <t>SOUTH WARWICKSHIRE UNIVERSITY NHS FOUNDATION TRUST</t>
  </si>
  <si>
    <t>RK9</t>
  </si>
  <si>
    <t>UNIVERSITY HOSPITALS PLYMOUTH NHS TRUST</t>
  </si>
  <si>
    <t>RKB</t>
  </si>
  <si>
    <t>UNIVERSITY HOSPITALS COVENTRY AND WARWICKSHIRE NHS TRUST</t>
  </si>
  <si>
    <t>RLT</t>
  </si>
  <si>
    <t>GEORGE ELIOT HOSPITAL NHS TRUST</t>
  </si>
  <si>
    <t>RM1</t>
  </si>
  <si>
    <t>NORFOLK AND NORWICH UNIVERSITY HOSPITALS NHS FOUNDATION TRUST</t>
  </si>
  <si>
    <t>RMP</t>
  </si>
  <si>
    <t>TAMESIDE AND GLOSSOP INTEGRATED CARE NHS FOUNDATION TRUST</t>
  </si>
  <si>
    <t>RNZ</t>
  </si>
  <si>
    <t>SALISBURY NHS FOUNDATION TRUST</t>
  </si>
  <si>
    <t>RP5</t>
  </si>
  <si>
    <t>DONCASTER AND BASSETLAW TEACHING HOSPITALS NHS FOUNDATION TRUST</t>
  </si>
  <si>
    <t>RPA</t>
  </si>
  <si>
    <t>MEDWAY NHS FOUNDATION TRUST</t>
  </si>
  <si>
    <t>RQM</t>
  </si>
  <si>
    <t>CHELSEA AND WESTMINSTER HOSPITAL NHS FOUNDATION TRUST</t>
  </si>
  <si>
    <t>RQW</t>
  </si>
  <si>
    <t>THE PRINCESS ALEXANDRA HOSPITAL NHS TRUST</t>
  </si>
  <si>
    <t>RR8</t>
  </si>
  <si>
    <t>LEEDS TEACHING HOSPITALS NHS TRUST</t>
  </si>
  <si>
    <t>RRF</t>
  </si>
  <si>
    <t>WRIGHTINGTON, WIGAN AND LEIGH NHS FOUNDATION TRUST</t>
  </si>
  <si>
    <t>RTE</t>
  </si>
  <si>
    <t>GLOUCESTERSHIRE HOSPITALS NHS FOUNDATION TRUST</t>
  </si>
  <si>
    <t>RTF</t>
  </si>
  <si>
    <t>NORTHUMBRIA HEALTHCARE NHS FOUNDATION TRUST</t>
  </si>
  <si>
    <t>RTR</t>
  </si>
  <si>
    <t>SOUTH TEES HOSPITALS NHS FOUNDATION TRUST</t>
  </si>
  <si>
    <t>RVR</t>
  </si>
  <si>
    <t>EPSOM AND ST HELIER UNIVERSITY HOSPITALS NHS TRUST</t>
  </si>
  <si>
    <t>RVV</t>
  </si>
  <si>
    <t>EAST KENT HOSPITALS UNIVERSITY NHS FOUNDATION TRUST</t>
  </si>
  <si>
    <t>RWD</t>
  </si>
  <si>
    <t>UNITED LINCOLNSHIRE HOSPITALS NHS TRUST</t>
  </si>
  <si>
    <t>RWH</t>
  </si>
  <si>
    <t>EAST AND NORTH HERTFORDSHIRE NHS TRUST</t>
  </si>
  <si>
    <t>RWJ</t>
  </si>
  <si>
    <t>STOCKPORT NHS FOUNDATION TRUST</t>
  </si>
  <si>
    <t>RWW</t>
  </si>
  <si>
    <t>WARRINGTON AND HALTON TEACHING HOSPITALS NHS FOUNDATION TRUST</t>
  </si>
  <si>
    <t>RXF</t>
  </si>
  <si>
    <t>MID YORKSHIRE TEACHING NHS TRUST</t>
  </si>
  <si>
    <t>RXP</t>
  </si>
  <si>
    <t>COUNTY DURHAM AND DARLINGTON NHS FOUNDATION TRUST</t>
  </si>
  <si>
    <t>RYG</t>
  </si>
  <si>
    <t>COVENTRY AND WARWICKSHIRE PARTNERSHIP NHS TRUST</t>
  </si>
  <si>
    <t>RYJ</t>
  </si>
  <si>
    <t>IMPERIAL COLLEGE HEALTHCARE NHS TRUST</t>
  </si>
  <si>
    <t>ARN03</t>
  </si>
  <si>
    <t>LOCAL CARE DIRECT</t>
  </si>
  <si>
    <t>RD1</t>
  </si>
  <si>
    <t>ROYAL UNITED HOSPITALS BATH NHS FOUNDATION TRUST</t>
  </si>
  <si>
    <t>RDR</t>
  </si>
  <si>
    <t>SUSSEX COMMUNITY NHS FOUNDATION TRUST</t>
  </si>
  <si>
    <t>RF4</t>
  </si>
  <si>
    <t>BARKING, HAVERING AND REDBRIDGE UNIVERSITY HOSPITALS NHS TRUST</t>
  </si>
  <si>
    <t>RHQ</t>
  </si>
  <si>
    <t>SHEFFIELD TEACHING HOSPITALS NHS FOUNDATION TRUST</t>
  </si>
  <si>
    <t>RJ2</t>
  </si>
  <si>
    <t>LEWISHAM AND GREENWICH NHS TRUST</t>
  </si>
  <si>
    <t>RKE</t>
  </si>
  <si>
    <t>WHITTINGTON HEALTH NHS TRUST</t>
  </si>
  <si>
    <t>RN7</t>
  </si>
  <si>
    <t>DARTFORD AND GRAVESHAM NHS TRUST</t>
  </si>
  <si>
    <t>RTX</t>
  </si>
  <si>
    <t>UNIVERSITY HOSPITALS OF MORECAMBE BAY NHS FOUNDATION TRUST</t>
  </si>
  <si>
    <t>RWX</t>
  </si>
  <si>
    <t>BERKSHIRE HEALTHCARE NHS FOUNDATION TRUST</t>
  </si>
  <si>
    <t>RBN</t>
  </si>
  <si>
    <t>MERSEY AND WEST LANCASHIRE TEACHING HOSPITALS NHS TRUST</t>
  </si>
  <si>
    <t>RH5</t>
  </si>
  <si>
    <t>SOMERSET NHS FOUNDATION TRUST</t>
  </si>
  <si>
    <t>RET</t>
  </si>
  <si>
    <t>THE WALTON CENTRE NHS FOUNDATION TRUST</t>
  </si>
  <si>
    <t>RL1</t>
  </si>
  <si>
    <t>THE ROBERT JONES AND AGNES HUNT ORTHOPAEDIC HOSPITAL NHS FOUNDATION TRUST</t>
  </si>
  <si>
    <t>RMC</t>
  </si>
  <si>
    <t>BOLTON NHS FOUNDATION TRUST</t>
  </si>
  <si>
    <t>RN3</t>
  </si>
  <si>
    <t>GREAT WESTERN HOSPITALS NHS FOUNDATION TRUST</t>
  </si>
  <si>
    <t>RTD</t>
  </si>
  <si>
    <t>THE NEWCASTLE UPON TYNE HOSPITALS NHS FOUNDATION TRUST</t>
  </si>
  <si>
    <t>R0A</t>
  </si>
  <si>
    <t>MANCHESTER UNIVERSITY NHS FOUNDATION TRUST</t>
  </si>
  <si>
    <t>RAS</t>
  </si>
  <si>
    <t>THE HILLINGDON HOSPITALS NHS FOUNDATION TRUST</t>
  </si>
  <si>
    <t>RBL</t>
  </si>
  <si>
    <t>WIRRAL UNIVERSITY TEACHING HOSPITAL NHS FOUNDATION TRUST</t>
  </si>
  <si>
    <t>RCD</t>
  </si>
  <si>
    <t>HARROGATE AND DISTRICT NHS FOUNDATION TRUST</t>
  </si>
  <si>
    <t>RCX</t>
  </si>
  <si>
    <t>THE QUEEN ELIZABETH HOSPITAL, KING'S LYNN, NHS FOUNDATION TRUST</t>
  </si>
  <si>
    <t>RH8</t>
  </si>
  <si>
    <t>ROYAL DEVON UNIVERSITY HEALTHCARE NHS FOUNDATION TRUST</t>
  </si>
  <si>
    <t>RHW</t>
  </si>
  <si>
    <t>ROYAL BERKSHIRE NHS FOUNDATION TRUST</t>
  </si>
  <si>
    <t>RJL</t>
  </si>
  <si>
    <t>NORTHERN LINCOLNSHIRE AND GOOLE NHS FOUNDATION TRUST</t>
  </si>
  <si>
    <t>RQ3</t>
  </si>
  <si>
    <t>BIRMINGHAM WOMEN'S AND CHILDREN'S NHS FOUNDATION TRUST</t>
  </si>
  <si>
    <t>C83023</t>
  </si>
  <si>
    <t>SLEAFORD MEDICAL GROUP</t>
  </si>
  <si>
    <t>NNJ14</t>
  </si>
  <si>
    <t>OADBY</t>
  </si>
  <si>
    <t>RGR</t>
  </si>
  <si>
    <t>WEST SUFFOLK NHS FOUNDATION TRUST</t>
  </si>
  <si>
    <t>RM3</t>
  </si>
  <si>
    <t>NORTHERN CARE ALLIANCE NHS FOUNDATION TRUST</t>
  </si>
  <si>
    <t>RHU</t>
  </si>
  <si>
    <t>PORTSMOUTH HOSPITALS UNIVERSITY NATIONAL HEALTH SERVICE TRUST</t>
  </si>
  <si>
    <t>NLX</t>
  </si>
  <si>
    <t>SIRONA CARE &amp; HEALTH</t>
  </si>
  <si>
    <t>RTH</t>
  </si>
  <si>
    <t>OXFORD UNIVERSITY HOSPITALS NHS FOUNDATION TRUST</t>
  </si>
  <si>
    <t xml:space="preserve">Total </t>
  </si>
  <si>
    <t>Monthly-AE-August-2024.csv</t>
  </si>
  <si>
    <t>MSitAE-AUGUST-2024</t>
  </si>
  <si>
    <t>NNF16</t>
  </si>
  <si>
    <t>BRIDLINGTON HOSPITAL</t>
  </si>
  <si>
    <t>TOTAL</t>
  </si>
  <si>
    <t>Monthly-AE-December-2024.csv</t>
  </si>
  <si>
    <t>MSitAE-DECEMBER-2024</t>
  </si>
  <si>
    <t>HAMPSHIRE AND ISLE OF WIGHT HEALTHCARE NHS FOUNDATION TRUST</t>
  </si>
  <si>
    <t>KINGSTON AND RICHMOND NHS FOUNDATION TRUST</t>
  </si>
  <si>
    <t>UNITED LINCOLNSHIRE TEACHING HOSPITALS NHS TRUST</t>
  </si>
  <si>
    <t>Monthly-AE-February-2025-revised.csv</t>
  </si>
  <si>
    <t>MSitAE-FEBRUARY-2025</t>
  </si>
  <si>
    <t>RAT</t>
  </si>
  <si>
    <t>NORTH EAST LONDON NHS FOUNDATION TRUST</t>
  </si>
  <si>
    <t>Monthly-AE-January-2025.csv</t>
  </si>
  <si>
    <t>MSitAE-JANUARY-2025</t>
  </si>
  <si>
    <t>Monthly-AE-July-2024-revised.csv</t>
  </si>
  <si>
    <t>MSitAE-JULY-2024</t>
  </si>
  <si>
    <t>Total</t>
  </si>
  <si>
    <t>Monthly-AE-June-2024.csv</t>
  </si>
  <si>
    <t>MSitAE-JUNE-2024</t>
  </si>
  <si>
    <t>Monthly-AE-March-2025.csv</t>
  </si>
  <si>
    <t>MSitAE-MARCH-2025</t>
  </si>
  <si>
    <t>A5D4Q</t>
  </si>
  <si>
    <t>NEMS UTC</t>
  </si>
  <si>
    <t>Monthly-AE-May-2024.csv</t>
  </si>
  <si>
    <t>MSitAE-MAY-2024</t>
  </si>
  <si>
    <t>Monthly-AE-November-2024-revised.csv</t>
  </si>
  <si>
    <t>MSitAE-NOVEMBER-2024</t>
  </si>
  <si>
    <t>Monthly-AE-October-2024-revised.csv</t>
  </si>
  <si>
    <t>MSitAE-OCTOBER-2024</t>
  </si>
  <si>
    <t>Monthly-AE-September-2024.csv</t>
  </si>
  <si>
    <t>MSitAE-SEPTEMBER-2024</t>
  </si>
  <si>
    <t>Total Attendances</t>
  </si>
  <si>
    <t>Total Over 4hrs</t>
  </si>
  <si>
    <t>Total Emergency Admissions</t>
  </si>
  <si>
    <t>Row Labels</t>
  </si>
  <si>
    <t>Grand Total</t>
  </si>
  <si>
    <t>Sum of Total Attendances</t>
  </si>
  <si>
    <t>Sum of Total Over 4hrs</t>
  </si>
  <si>
    <t>Selected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</si>
</sst>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2" fillId="2" borderId="0" xfId="0" applyFont="1" applyFill="1"/>
    <xf numFmtId="3" fontId="0" fillId="2" borderId="0" xfId="0" applyNumberFormat="1" applyFill="1"/>
    <xf numFmtId="0" fontId="1" fillId="2" borderId="0" xfId="0" applyFont="1" applyFill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ma Ahsan" refreshedDate="46148.905872453703" missingItemsLimit="0" createdVersion="8" refreshedVersion="8" minRefreshableVersion="3" recordCount="2384" xr:uid="{E3606848-CD22-4D95-A4D8-9679E4AECB72}">
  <cacheSource type="worksheet">
    <worksheetSource name="NHS_AE_2024_2025"/>
  </cacheSource>
  <cacheFields count="26">
    <cacheField name="Source.Name" numFmtId="0">
      <sharedItems/>
    </cacheField>
    <cacheField name="Period" numFmtId="0">
      <sharedItems count="14">
        <s v="MSitAE-APRIL-2024"/>
        <s v="Total "/>
        <s v="MSitAE-AUGUST-2024"/>
        <s v="TOTAL"/>
        <s v="MSitAE-DECEMBER-2024"/>
        <s v="MSitAE-FEBRUARY-2025"/>
        <s v="MSitAE-JANUARY-2025"/>
        <s v="MSitAE-JULY-2024"/>
        <s v="MSitAE-JUNE-2024"/>
        <s v="MSitAE-MARCH-2025"/>
        <s v="MSitAE-MAY-2024"/>
        <s v="MSitAE-NOVEMBER-2024"/>
        <s v="MSitAE-OCTOBER-2024"/>
        <s v="MSitAE-SEPTEMBER-2024"/>
      </sharedItems>
    </cacheField>
    <cacheField name="Org Code" numFmtId="0">
      <sharedItems/>
    </cacheField>
    <cacheField name="Parent Org" numFmtId="0">
      <sharedItems/>
    </cacheField>
    <cacheField name="Org name" numFmtId="0">
      <sharedItems count="205">
        <s v="TETBURY HOSPITAL TRUST LTD"/>
        <s v="ROYAL NATIONAL ORTHOPAEDIC HOSPITAL NHS TRUST"/>
        <s v="BADGER LTD"/>
        <s v="BECKENHAM BEACON UCC"/>
        <s v="PHL LYMINGTON UTC"/>
        <s v="OKEHAMPTON MEDICAL CENTRE"/>
        <s v="SUMMERFIELD URGENT CARE CENTRE"/>
        <s v="TORBAY AND SOUTH DEVON NHS FOUNDATION TRUST"/>
        <s v="DORSET HEALTHCARE UNIVERSITY NHS FOUNDATION TRUST"/>
        <s v="CORNWALL PARTNERSHIP NHS FOUNDATION TRUST"/>
        <s v="CALDERDALE AND HUDDERSFIELD NHS FOUNDATION TRUST"/>
        <s v="BUCKINGHAMSHIRE HEALTHCARE NHS TRUST"/>
        <s v="WIRRAL COMMUNITY HEALTH AND CARE NHS FOUNDATION TRUST"/>
        <s v="DERBYSHIRE COMMUNITY HEALTH SERVICES NHS FOUNDATION TRUST"/>
        <s v="EAST BERKS PRIMARY CARE OOH(WAM)"/>
        <s v="MIRIAM MINOR EMERGENCY"/>
        <s v="SOUTH BIRMINGHAM GP WALK IN CENTRE"/>
        <s v="ERDINGTON GP HEALTH &amp; WELLBEING WIC"/>
        <s v="THE PINN UNREGISTERED WIC"/>
        <s v="HERTS URGENT CARE (ASCOTS LANE)"/>
        <s v="SKELMERSDALE WALK IN CENTRE"/>
        <s v="PAULTON MEMORIAL HOSPITAL"/>
        <s v="PRACTICE PLUS GROUP SURGICAL CENTRE - ST MARYS PORTSMOUTH"/>
        <s v="ASHFORD WALK-IN-CENTRE"/>
        <s v="WOKING WALK IN CENTRE"/>
        <s v="LIVERPOOL HEART AND CHEST HOSPITAL NHS FOUNDATION TRUST"/>
        <s v="BARNSLEY HOSPITAL NHS FOUNDATION TRUST"/>
        <s v="QUEEN VICTORIA HOSPITAL NHS FOUNDATION TRUST"/>
        <s v="UNIVERSITY COLLEGE LONDON HOSPITALS NHS FOUNDATION TRUST"/>
        <s v="URGENT CARE CENTRE (QMS)"/>
        <s v="WILTSHIRE HEALTH &amp; CARE"/>
        <s v="LATHAM HOUSE MEDICAL PRACTICE"/>
        <s v="BARKING HOSPITAL UTC"/>
        <s v="HAROLD WOOD POLYCLINIC UTC"/>
        <s v="PRACTICE PLUS GROUP HOSPITAL - SOUTHAMPTON"/>
        <s v="LIVERPOOL UNIVERSITY HOSPITALS NHS FOUNDATION TRUST"/>
        <s v="HOMERTON HEALTHCARE NHS FOUNDATION TRUST"/>
        <s v="BRIGHTON STATION HEALTH CENTRE"/>
        <s v="READING URGENT CARE CENTRE"/>
        <s v="STATION PLAZA HEALTH CENTRE"/>
        <s v="EAST CHESHIRE NHS TRUST"/>
        <s v="NORTHAMPTON GENERAL HOSPITAL NHS TRUST"/>
        <s v="MERSEY CARE NHS FOUNDATION TRUST"/>
        <s v="DHU HEALTH CARE C.I.C"/>
        <s v="SOUTH TYNESIDE AND SUNDERLAND NHS FOUNDATION TRUST"/>
        <s v="THE ROTHERHAM NHS FOUNDATION TRUST"/>
        <s v="SOUTHERN HEALTH NHS FOUNDATION TRUST"/>
        <s v="WEST HERTFORDSHIRE TEACHING HOSPITALS NHS TRUST"/>
        <s v="KENT COMMUNITY HEALTH NHS FOUNDATION TRUST"/>
        <s v="PUTNOE WALK IN CENTRE"/>
        <s v="WHITSTABLE MEDICAL PRACTICE"/>
        <s v="FIRST COMMUNITY HEALTH AND CARE CIC"/>
        <s v="LOUGHBOROUGH URGENT CARE CENTRE"/>
        <s v="LLR EA - THE MERLYN VAZ HEALTH &amp; SOCIAL CARE CENTRE"/>
        <s v="MARKET HARBOROUGH"/>
        <s v="MELTON MOWBRAY"/>
        <s v="OAKHAM"/>
        <s v="NOTTINGHAM CITYCARE PARTNERSHIP"/>
        <s v="SHROPSHIRE COMMUNITY HEALTH NHS TRUST"/>
        <s v="THE CHRISTIE NHS FOUNDATION TRUST"/>
        <s v="ROYAL CORNWALL HOSPITALS NHS TRUST"/>
        <s v="JAMES PAGET UNIVERSITY HOSPITALS NHS FOUNDATION TRUST"/>
        <s v="KING'S COLLEGE HOSPITAL NHS FOUNDATION TRUST"/>
        <s v="THE DUDLEY GROUP NHS FOUNDATION TRUST"/>
        <s v="KETTERING GENERAL HOSPITAL NHS FOUNDATION TRUST"/>
        <s v="MOORFIELDS EYE HOSPITAL NHS FOUNDATION TRUST"/>
        <s v="SURREY AND SUSSEX HEALTHCARE NHS TRUST"/>
        <s v="HUMBER TEACHING NHS FOUNDATION TRUST"/>
        <s v="WORCESTERSHIRE ACUTE HOSPITALS NHS TRUST"/>
        <s v="NOTTINGHAM UNIVERSITY HOSPITALS NHS TRUST"/>
        <s v="EAST SUSSEX HEALTHCARE NHS TRUST"/>
        <s v="SOUTH WEST YORKSHIRE PARTNERSHIP NHS FOUNDATION TRUST"/>
        <s v="BLACKPOOL TEACHING HOSPITALS NHS FOUNDATION TRUST"/>
        <s v="BRIDGEWATER COMMUNITY HEALTHCARE NHS FOUNDATION TRUST"/>
        <s v="SOUTH WESTERN AMBULANCE SERVICE NHS FOUNDATION TRUST"/>
        <s v="CENTRAL LONDON COMMUNITY HEALTHCARE NHS TRUST"/>
        <s v="ROSSENDALE MIU &amp; OOH"/>
        <s v="UNIVERSITY HOSPITALS DORSET NHS FOUNDATION TRUST"/>
        <s v="UNIVERSITY HOSPITALS BRISTOL AND WESTON NHS FOUNDATION TRUST"/>
        <s v="BRADFORD TEACHING HOSPITALS NHS FOUNDATION TRUST"/>
        <s v="ALDER HEY CHILDREN'S NHS FOUNDATION TRUST"/>
        <s v="SHEFFIELD CHILDREN'S NHS FOUNDATION TRUST"/>
        <s v="FRIMLEY HEALTH NHS FOUNDATION TRUST"/>
        <s v="LIVERPOOL WOMEN'S NHS FOUNDATION TRUST"/>
        <s v="UNIVERSITY HOSPITALS OF NORTH MIDLANDS NHS TRUST"/>
        <s v="THE ROYAL WOLVERHAMPTON NHS TRUST"/>
        <s v="WYE VALLEY NHS TRUST"/>
        <s v="UNIVERSITY HOSPITALS BIRMINGHAM NHS FOUNDATION TRUST"/>
        <s v="UNIVERSITY HOSPITALS OF DERBY AND BURTON NHS FOUNDATION TRUST"/>
        <s v="NORTH BRISTOL NHS TRUST"/>
        <s v="NORTH TEES AND HARTLEPOOL NHS FOUNDATION TRUST"/>
        <s v="LANCASHIRE TEACHING HOSPITALS NHS FOUNDATION TRUST"/>
        <s v="EAST LANCASHIRE HOSPITALS NHS TRUST"/>
        <s v="HERTFORDSHIRE COMMUNITY NHS TRUST"/>
        <s v="WORKINGTON HEALTH LIMITED"/>
        <s v="ASSURA VERTIS URGENT CARE CENTRES (BIRMINGHAM)"/>
        <s v="BARTS HEALTH NHS TRUST"/>
        <s v="ROYAL SURREY COUNTY HOSPITAL NHS FOUNDATION TRUST"/>
        <s v="MID AND SOUTH ESSEX NHS FOUNDATION TRUST"/>
        <s v="ROYAL FREE LONDON NHS FOUNDATION TRUST"/>
        <s v="KINGSTON HOSPITAL NHS FOUNDATION TRUST"/>
        <s v="DORSET COUNTY HOSPITAL NHS FOUNDATION TRUST"/>
        <s v="WALSALL HEALTHCARE NHS TRUST"/>
        <s v="YORK AND SCARBOROUGH TEACHING HOSPITALS NHS FOUNDATION TRUST"/>
        <s v="AIREDALE NHS FOUNDATION TRUST"/>
        <s v="MILTON KEYNES UNIVERSITY HOSPITAL NHS FOUNDATION TRUST"/>
        <s v="NORTH WEST ANGLIA NHS FOUNDATION TRUST"/>
        <s v="CAMBRIDGE UNIVERSITY HOSPITALS NHS FOUNDATION TRUST"/>
        <s v="COUNTESS OF CHESTER HOSPITAL NHS FOUNDATION TRUST"/>
        <s v="SHERWOOD FOREST HOSPITALS NHS FOUNDATION TRUST"/>
        <s v="HAMPSHIRE HOSPITALS NHS FOUNDATION TRUST"/>
        <s v="NORTH CUMBRIA INTEGRATED CARE NHS FOUNDATION TRUST"/>
        <s v="OXFORD HEALTH NHS FOUNDATION TRUST"/>
        <s v="GATESHEAD HEALTH NHS FOUNDATION TRUST"/>
        <s v="ASHFORD AND ST PETER'S HOSPITALS NHS FOUNDATION TRUST"/>
        <s v="GLOUCESTERSHIRE HEALTH AND CARE NHS FOUNDATION TRUST"/>
        <s v="HULL UNIVERSITY TEACHING HOSPITALS NHS TRUST"/>
        <s v="UNIVERSITY HOSPITALS OF LEICESTER NHS TRUST"/>
        <s v="MAIDSTONE AND TUNBRIDGE WELLS NHS TRUST"/>
        <s v="SANDWELL AND WEST BIRMINGHAM HOSPITALS NHS TRUST"/>
        <s v="THE SHREWSBURY AND TELFORD HOSPITAL NHS TRUST"/>
        <s v="LINCOLNSHIRE COMMUNITY HEALTH SERVICES NHS TRUST"/>
        <s v="UNIVERSITY HOSPITALS SUSSEX NHS FOUNDATION TRUST"/>
        <s v="MARKET HARBOROUGH MED.CTR"/>
        <s v="BRANSHOLME HEALTH CENTRE"/>
        <s v="EAST RIDING COMMUNITY HOSPITAL"/>
        <s v="GOOLE &amp; DISTRICT HOSPITAL"/>
        <s v="ISLE OF WIGHT NHS TRUST"/>
        <s v="LONDON NORTH WEST UNIVERSITY HEALTHCARE NHS TRUST"/>
        <s v="NORTH MIDDLESEX UNIVERSITY HOSPITAL NHS TRUST"/>
        <s v="MID CHESHIRE HOSPITALS NHS FOUNDATION TRUST"/>
        <s v="BEDFORDSHIRE HOSPITALS NHS FOUNDATION TRUST"/>
        <s v="EAST SUFFOLK AND NORTH ESSEX NHS FOUNDATION TRUST"/>
        <s v="CHESTERFIELD ROYAL HOSPITAL NHS FOUNDATION TRUST"/>
        <s v="UNIVERSITY HOSPITAL SOUTHAMPTON NHS FOUNDATION TRUST"/>
        <s v="GUY'S AND ST THOMAS' NHS FOUNDATION TRUST"/>
        <s v="CROYDON HEALTH SERVICES NHS TRUST"/>
        <s v="ST GEORGE'S UNIVERSITY HOSPITALS NHS FOUNDATION TRUST"/>
        <s v="SOUTH WARWICKSHIRE UNIVERSITY NHS FOUNDATION TRUST"/>
        <s v="UNIVERSITY HOSPITALS PLYMOUTH NHS TRUST"/>
        <s v="UNIVERSITY HOSPITALS COVENTRY AND WARWICKSHIRE NHS TRUST"/>
        <s v="GEORGE ELIOT HOSPITAL NHS TRUST"/>
        <s v="NORFOLK AND NORWICH UNIVERSITY HOSPITALS NHS FOUNDATION TRUST"/>
        <s v="TAMESIDE AND GLOSSOP INTEGRATED CARE NHS FOUNDATION TRUST"/>
        <s v="SALISBURY NHS FOUNDATION TRUST"/>
        <s v="DONCASTER AND BASSETLAW TEACHING HOSPITALS NHS FOUNDATION TRUST"/>
        <s v="MEDWAY NHS FOUNDATION TRUST"/>
        <s v="CHELSEA AND WESTMINSTER HOSPITAL NHS FOUNDATION TRUST"/>
        <s v="THE PRINCESS ALEXANDRA HOSPITAL NHS TRUST"/>
        <s v="LEEDS TEACHING HOSPITALS NHS TRUST"/>
        <s v="WRIGHTINGTON, WIGAN AND LEIGH NHS FOUNDATION TRUST"/>
        <s v="GLOUCESTERSHIRE HOSPITALS NHS FOUNDATION TRUST"/>
        <s v="NORTHUMBRIA HEALTHCARE NHS FOUNDATION TRUST"/>
        <s v="SOUTH TEES HOSPITALS NHS FOUNDATION TRUST"/>
        <s v="EPSOM AND ST HELIER UNIVERSITY HOSPITALS NHS TRUST"/>
        <s v="EAST KENT HOSPITALS UNIVERSITY NHS FOUNDATION TRUST"/>
        <s v="UNITED LINCOLNSHIRE HOSPITALS NHS TRUST"/>
        <s v="EAST AND NORTH HERTFORDSHIRE NHS TRUST"/>
        <s v="STOCKPORT NHS FOUNDATION TRUST"/>
        <s v="WARRINGTON AND HALTON TEACHING HOSPITALS NHS FOUNDATION TRUST"/>
        <s v="MID YORKSHIRE TEACHING NHS TRUST"/>
        <s v="COUNTY DURHAM AND DARLINGTON NHS FOUNDATION TRUST"/>
        <s v="COVENTRY AND WARWICKSHIRE PARTNERSHIP NHS TRUST"/>
        <s v="IMPERIAL COLLEGE HEALTHCARE NHS TRUST"/>
        <s v="LOCAL CARE DIRECT"/>
        <s v="ROYAL UNITED HOSPITALS BATH NHS FOUNDATION TRUST"/>
        <s v="SUSSEX COMMUNITY NHS FOUNDATION TRUST"/>
        <s v="BARKING, HAVERING AND REDBRIDGE UNIVERSITY HOSPITALS NHS TRUST"/>
        <s v="SHEFFIELD TEACHING HOSPITALS NHS FOUNDATION TRUST"/>
        <s v="LEWISHAM AND GREENWICH NHS TRUST"/>
        <s v="WHITTINGTON HEALTH NHS TRUST"/>
        <s v="DARTFORD AND GRAVESHAM NHS TRUST"/>
        <s v="UNIVERSITY HOSPITALS OF MORECAMBE BAY NHS FOUNDATION TRUST"/>
        <s v="BERKSHIRE HEALTHCARE NHS FOUNDATION TRUST"/>
        <s v="MERSEY AND WEST LANCASHIRE TEACHING HOSPITALS NHS TRUST"/>
        <s v="SOMERSET NHS FOUNDATION TRUST"/>
        <s v="THE WALTON CENTRE NHS FOUNDATION TRUST"/>
        <s v="THE ROBERT JONES AND AGNES HUNT ORTHOPAEDIC HOSPITAL NHS FOUNDATION TRUST"/>
        <s v="BOLTON NHS FOUNDATION TRUST"/>
        <s v="GREAT WESTERN HOSPITALS NHS FOUNDATION TRUST"/>
        <s v="THE NEWCASTLE UPON TYNE HOSPITALS NHS FOUNDATION TRUST"/>
        <s v="MANCHESTER UNIVERSITY NHS FOUNDATION TRUST"/>
        <s v="THE HILLINGDON HOSPITALS NHS FOUNDATION TRUST"/>
        <s v="WIRRAL UNIVERSITY TEACHING HOSPITAL NHS FOUNDATION TRUST"/>
        <s v="HARROGATE AND DISTRICT NHS FOUNDATION TRUST"/>
        <s v="THE QUEEN ELIZABETH HOSPITAL, KING'S LYNN, NHS FOUNDATION TRUST"/>
        <s v="ROYAL DEVON UNIVERSITY HEALTHCARE NHS FOUNDATION TRUST"/>
        <s v="ROYAL BERKSHIRE NHS FOUNDATION TRUST"/>
        <s v="NORTHERN LINCOLNSHIRE AND GOOLE NHS FOUNDATION TRUST"/>
        <s v="BIRMINGHAM WOMEN'S AND CHILDREN'S NHS FOUNDATION TRUST"/>
        <s v="SLEAFORD MEDICAL GROUP"/>
        <s v="OADBY"/>
        <s v="WEST SUFFOLK NHS FOUNDATION TRUST"/>
        <s v="NORTHERN CARE ALLIANCE NHS FOUNDATION TRUST"/>
        <s v="PORTSMOUTH HOSPITALS UNIVERSITY NATIONAL HEALTH SERVICE TRUST"/>
        <s v="SIRONA CARE &amp; HEALTH"/>
        <s v="OXFORD UNIVERSITY HOSPITALS NHS FOUNDATION TRUST"/>
        <s v="Total "/>
        <s v="BRIDLINGTON HOSPITAL"/>
        <s v="TOTAL"/>
        <s v="HAMPSHIRE AND ISLE OF WIGHT HEALTHCARE NHS FOUNDATION TRUST"/>
        <s v="KINGSTON AND RICHMOND NHS FOUNDATION TRUST"/>
        <s v="UNITED LINCOLNSHIRE TEACHING HOSPITALS NHS TRUST"/>
        <s v="NORTH EAST LONDON NHS FOUNDATION TRUST"/>
        <s v="NEMS UTC"/>
      </sharedItems>
    </cacheField>
    <cacheField name="A&amp;E attendances Type 1" numFmtId="0">
      <sharedItems containsSemiMixedTypes="0" containsString="0" containsNumber="1" containsInteger="1" minValue="0" maxValue="1439178"/>
    </cacheField>
    <cacheField name="A&amp;E attendances Type 2" numFmtId="0">
      <sharedItems containsSemiMixedTypes="0" containsString="0" containsNumber="1" containsInteger="1" minValue="0" maxValue="50804"/>
    </cacheField>
    <cacheField name="A&amp;E attendances Other A&amp;E Department" numFmtId="0">
      <sharedItems containsSemiMixedTypes="0" containsString="0" containsNumber="1" containsInteger="1" minValue="0" maxValue="841230"/>
    </cacheField>
    <cacheField name="A&amp;E attendances Booked Appointments Type 1" numFmtId="0">
      <sharedItems containsSemiMixedTypes="0" containsString="0" containsNumber="1" containsInteger="1" minValue="0" maxValue="33543"/>
    </cacheField>
    <cacheField name="A&amp;E attendances Booked Appointments Type 2" numFmtId="0">
      <sharedItems containsSemiMixedTypes="0" containsString="0" containsNumber="1" containsInteger="1" minValue="0" maxValue="711"/>
    </cacheField>
    <cacheField name="A&amp;E attendances Booked Appointments Other Department" numFmtId="0">
      <sharedItems containsSemiMixedTypes="0" containsString="0" containsNumber="1" containsInteger="1" minValue="0" maxValue="56362"/>
    </cacheField>
    <cacheField name="Attendances over 4hrs Type 1" numFmtId="0">
      <sharedItems containsSemiMixedTypes="0" containsString="0" containsNumber="1" containsInteger="1" minValue="0" maxValue="633815"/>
    </cacheField>
    <cacheField name="Attendances over 4hrs Type 2" numFmtId="0">
      <sharedItems containsSemiMixedTypes="0" containsString="0" containsNumber="1" containsInteger="1" minValue="0" maxValue="2283"/>
    </cacheField>
    <cacheField name="Attendances over 4hrs Other Department" numFmtId="0">
      <sharedItems containsSemiMixedTypes="0" containsString="0" containsNumber="1" containsInteger="1" minValue="0" maxValue="32615"/>
    </cacheField>
    <cacheField name="Attendances over 4hrs Booked Appointments Type 1" numFmtId="0">
      <sharedItems containsSemiMixedTypes="0" containsString="0" containsNumber="1" containsInteger="1" minValue="0" maxValue="9567"/>
    </cacheField>
    <cacheField name="Attendances over 4hrs Booked Appointments Type 2" numFmtId="0">
      <sharedItems containsSemiMixedTypes="0" containsString="0" containsNumber="1" containsInteger="1" minValue="0" maxValue="30"/>
    </cacheField>
    <cacheField name="Attendances over 4hrs Booked Appointments Other Department" numFmtId="0">
      <sharedItems containsSemiMixedTypes="0" containsString="0" containsNumber="1" containsInteger="1" minValue="0" maxValue="738"/>
    </cacheField>
    <cacheField name="Patients who have waited 4-12 hs from DTA to admission" numFmtId="0">
      <sharedItems containsSemiMixedTypes="0" containsString="0" containsNumber="1" containsInteger="1" minValue="0" maxValue="100482"/>
    </cacheField>
    <cacheField name="Patients who have waited 12+ hrs from DTA to admission" numFmtId="0">
      <sharedItems containsSemiMixedTypes="0" containsString="0" containsNumber="1" containsInteger="1" minValue="0" maxValue="61529"/>
    </cacheField>
    <cacheField name="Emergency admissions via A&amp;E - Type 1" numFmtId="0">
      <sharedItems containsSemiMixedTypes="0" containsString="0" containsNumber="1" containsInteger="1" minValue="0" maxValue="415893"/>
    </cacheField>
    <cacheField name="Emergency admissions via A&amp;E - Type 2" numFmtId="0">
      <sharedItems containsSemiMixedTypes="0" containsString="0" containsNumber="1" containsInteger="1" minValue="0" maxValue="1490"/>
    </cacheField>
    <cacheField name="Emergency admissions via A&amp;E - Other A&amp;E department" numFmtId="0">
      <sharedItems containsSemiMixedTypes="0" containsString="0" containsNumber="1" containsInteger="1" minValue="0" maxValue="4887"/>
    </cacheField>
    <cacheField name="Other emergency admissions" numFmtId="0">
      <sharedItems containsSemiMixedTypes="0" containsString="0" containsNumber="1" containsInteger="1" minValue="0" maxValue="145400"/>
    </cacheField>
    <cacheField name="Total Attendances" numFmtId="0">
      <sharedItems containsSemiMixedTypes="0" containsString="0" containsNumber="1" containsInteger="1" minValue="0" maxValue="2331010"/>
    </cacheField>
    <cacheField name="Total Over 4hrs" numFmtId="0">
      <sharedItems containsSemiMixedTypes="0" containsString="0" containsNumber="1" containsInteger="1" minValue="0" maxValue="667235"/>
    </cacheField>
    <cacheField name="Total Emergency Admissions" numFmtId="0">
      <sharedItems containsSemiMixedTypes="0" containsString="0" containsNumber="1" containsInteger="1" minValue="0" maxValue="5674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4">
  <r>
    <s v="Monthly-AE-April-2024-revised.csv"/>
    <x v="0"/>
    <s v="AAH"/>
    <s v="NHS ENGLAND SOUTH WEST "/>
    <x v="0"/>
    <n v="0"/>
    <n v="0"/>
    <n v="546"/>
    <n v="0"/>
    <n v="0"/>
    <n v="0"/>
    <n v="0"/>
    <n v="0"/>
    <n v="0"/>
    <n v="0"/>
    <n v="0"/>
    <n v="0"/>
    <n v="0"/>
    <n v="0"/>
    <n v="0"/>
    <n v="0"/>
    <n v="0"/>
    <n v="0"/>
    <n v="546"/>
    <n v="0"/>
    <n v="0"/>
  </r>
  <r>
    <s v="Monthly-AE-April-2024-revised.csv"/>
    <x v="0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0"/>
    <n v="0"/>
    <n v="41"/>
  </r>
  <r>
    <s v="Monthly-AE-April-2024-revised.csv"/>
    <x v="0"/>
    <s v="8J094"/>
    <s v="NHS ENGLAND MIDLANDS "/>
    <x v="2"/>
    <n v="0"/>
    <n v="0"/>
    <n v="0"/>
    <n v="0"/>
    <n v="0"/>
    <n v="2078"/>
    <n v="0"/>
    <n v="0"/>
    <n v="0"/>
    <n v="0"/>
    <n v="0"/>
    <n v="0"/>
    <n v="0"/>
    <n v="0"/>
    <n v="0"/>
    <n v="0"/>
    <n v="0"/>
    <n v="0"/>
    <n v="0"/>
    <n v="0"/>
    <n v="0"/>
  </r>
  <r>
    <s v="Monthly-AE-April-2024-revised.csv"/>
    <x v="0"/>
    <s v="AD913"/>
    <s v="NHS ENGLAND LONDON"/>
    <x v="3"/>
    <n v="0"/>
    <n v="0"/>
    <n v="3694"/>
    <n v="0"/>
    <n v="0"/>
    <n v="104"/>
    <n v="0"/>
    <n v="0"/>
    <n v="17"/>
    <n v="0"/>
    <n v="0"/>
    <n v="0"/>
    <n v="0"/>
    <n v="0"/>
    <n v="0"/>
    <n v="0"/>
    <n v="0"/>
    <n v="0"/>
    <n v="3694"/>
    <n v="17"/>
    <n v="0"/>
  </r>
  <r>
    <s v="Monthly-AE-April-2024-revised.csv"/>
    <x v="0"/>
    <s v="AQN04"/>
    <s v="NHS ENGLAND SOUTH EAST "/>
    <x v="4"/>
    <n v="0"/>
    <n v="0"/>
    <n v="2897"/>
    <n v="0"/>
    <n v="0"/>
    <n v="7"/>
    <n v="0"/>
    <n v="0"/>
    <n v="8"/>
    <n v="0"/>
    <n v="0"/>
    <n v="0"/>
    <n v="0"/>
    <n v="0"/>
    <n v="0"/>
    <n v="0"/>
    <n v="0"/>
    <n v="0"/>
    <n v="2897"/>
    <n v="8"/>
    <n v="0"/>
  </r>
  <r>
    <s v="Monthly-AE-April-2024-revised.csv"/>
    <x v="0"/>
    <s v="L83087"/>
    <s v="NHS ENGLAND SOUTH WEST "/>
    <x v="5"/>
    <n v="0"/>
    <n v="0"/>
    <n v="65"/>
    <n v="0"/>
    <n v="0"/>
    <n v="0"/>
    <n v="0"/>
    <n v="0"/>
    <n v="0"/>
    <n v="0"/>
    <n v="0"/>
    <n v="0"/>
    <n v="0"/>
    <n v="0"/>
    <n v="0"/>
    <n v="0"/>
    <n v="0"/>
    <n v="0"/>
    <n v="65"/>
    <n v="0"/>
    <n v="0"/>
  </r>
  <r>
    <s v="Monthly-AE-April-2024-revised.csv"/>
    <x v="0"/>
    <s v="NQTE4"/>
    <s v="NHS ENGLAND MIDLANDS "/>
    <x v="6"/>
    <n v="0"/>
    <n v="0"/>
    <n v="3251"/>
    <n v="0"/>
    <n v="0"/>
    <n v="0"/>
    <n v="0"/>
    <n v="0"/>
    <n v="0"/>
    <n v="0"/>
    <n v="0"/>
    <n v="0"/>
    <n v="0"/>
    <n v="0"/>
    <n v="0"/>
    <n v="0"/>
    <n v="0"/>
    <n v="0"/>
    <n v="3251"/>
    <n v="0"/>
    <n v="0"/>
  </r>
  <r>
    <s v="Monthly-AE-April-2024-revised.csv"/>
    <x v="0"/>
    <s v="RA9"/>
    <s v="NHS ENGLAND SOUTH WEST "/>
    <x v="7"/>
    <n v="6247"/>
    <n v="0"/>
    <n v="3233"/>
    <n v="0"/>
    <n v="0"/>
    <n v="0"/>
    <n v="3037"/>
    <n v="0"/>
    <n v="12"/>
    <n v="0"/>
    <n v="0"/>
    <n v="0"/>
    <n v="315"/>
    <n v="86"/>
    <n v="1686"/>
    <n v="0"/>
    <n v="0"/>
    <n v="989"/>
    <n v="9480"/>
    <n v="3049"/>
    <n v="2675"/>
  </r>
  <r>
    <s v="Monthly-AE-April-2024-revised.csv"/>
    <x v="0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2"/>
  </r>
  <r>
    <s v="Monthly-AE-April-2024-revised.csv"/>
    <x v="0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11"/>
    <n v="42"/>
    <n v="0"/>
    <n v="0"/>
    <n v="53"/>
  </r>
  <r>
    <s v="Monthly-AE-April-2024-revised.csv"/>
    <x v="0"/>
    <s v="RWY"/>
    <s v="NHS ENGLAND NORTH EAST AND YORKSHIRE "/>
    <x v="10"/>
    <n v="15028"/>
    <n v="0"/>
    <n v="0"/>
    <n v="0"/>
    <n v="0"/>
    <n v="0"/>
    <n v="4313"/>
    <n v="0"/>
    <n v="0"/>
    <n v="0"/>
    <n v="0"/>
    <n v="0"/>
    <n v="1354"/>
    <n v="2"/>
    <n v="2969"/>
    <n v="0"/>
    <n v="0"/>
    <n v="179"/>
    <n v="15028"/>
    <n v="4313"/>
    <n v="3148"/>
  </r>
  <r>
    <s v="Monthly-AE-April-2024-revised.csv"/>
    <x v="0"/>
    <s v="RXQ"/>
    <s v="NHS ENGLAND SOUTH EAST "/>
    <x v="11"/>
    <n v="9767"/>
    <n v="1186"/>
    <n v="3547"/>
    <n v="0"/>
    <n v="0"/>
    <n v="0"/>
    <n v="3673"/>
    <n v="0"/>
    <n v="118"/>
    <n v="0"/>
    <n v="0"/>
    <n v="0"/>
    <n v="321"/>
    <n v="265"/>
    <n v="3741"/>
    <n v="824"/>
    <n v="0"/>
    <n v="1784"/>
    <n v="14500"/>
    <n v="3791"/>
    <n v="6349"/>
  </r>
  <r>
    <s v="Monthly-AE-April-2024-revised.csv"/>
    <x v="0"/>
    <s v="RY7"/>
    <s v="NHS ENGLAND NORTH WEST "/>
    <x v="12"/>
    <n v="0"/>
    <n v="0"/>
    <n v="4382"/>
    <n v="0"/>
    <n v="0"/>
    <n v="0"/>
    <n v="0"/>
    <n v="0"/>
    <n v="101"/>
    <n v="0"/>
    <n v="0"/>
    <n v="0"/>
    <n v="0"/>
    <n v="0"/>
    <n v="0"/>
    <n v="0"/>
    <n v="0"/>
    <n v="0"/>
    <n v="4382"/>
    <n v="101"/>
    <n v="0"/>
  </r>
  <r>
    <s v="Monthly-AE-April-2024-revised.csv"/>
    <x v="0"/>
    <s v="RY8"/>
    <s v="NHS ENGLAND MIDLANDS "/>
    <x v="13"/>
    <n v="0"/>
    <n v="0"/>
    <n v="6272"/>
    <n v="0"/>
    <n v="0"/>
    <n v="1630"/>
    <n v="0"/>
    <n v="0"/>
    <n v="31"/>
    <n v="0"/>
    <n v="0"/>
    <n v="2"/>
    <n v="0"/>
    <n v="0"/>
    <n v="0"/>
    <n v="0"/>
    <n v="0"/>
    <n v="0"/>
    <n v="6272"/>
    <n v="31"/>
    <n v="0"/>
  </r>
  <r>
    <s v="Monthly-AE-April-2024-revised.csv"/>
    <x v="0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April-2024-revised.csv"/>
    <x v="0"/>
    <s v="Y02532"/>
    <s v="NHS ENGLAND NORTH WEST "/>
    <x v="15"/>
    <n v="0"/>
    <n v="0"/>
    <n v="1706"/>
    <n v="0"/>
    <n v="0"/>
    <n v="0"/>
    <n v="0"/>
    <n v="0"/>
    <n v="13"/>
    <n v="0"/>
    <n v="0"/>
    <n v="0"/>
    <n v="0"/>
    <n v="0"/>
    <n v="0"/>
    <n v="0"/>
    <n v="0"/>
    <n v="0"/>
    <n v="1706"/>
    <n v="13"/>
    <n v="0"/>
  </r>
  <r>
    <s v="Monthly-AE-April-2024-revised.csv"/>
    <x v="0"/>
    <s v="Y02615"/>
    <s v="NHS ENGLAND MIDLANDS "/>
    <x v="16"/>
    <n v="0"/>
    <n v="0"/>
    <n v="6526"/>
    <n v="0"/>
    <n v="0"/>
    <n v="0"/>
    <n v="0"/>
    <n v="0"/>
    <n v="0"/>
    <n v="0"/>
    <n v="0"/>
    <n v="0"/>
    <n v="0"/>
    <n v="0"/>
    <n v="0"/>
    <n v="0"/>
    <n v="0"/>
    <n v="0"/>
    <n v="6526"/>
    <n v="0"/>
    <n v="0"/>
  </r>
  <r>
    <s v="Monthly-AE-April-2024-revised.csv"/>
    <x v="0"/>
    <s v="Y03007"/>
    <s v="NHS ENGLAND MIDLANDS "/>
    <x v="17"/>
    <n v="0"/>
    <n v="0"/>
    <n v="0"/>
    <n v="0"/>
    <n v="0"/>
    <n v="2053"/>
    <n v="0"/>
    <n v="0"/>
    <n v="0"/>
    <n v="0"/>
    <n v="0"/>
    <n v="0"/>
    <n v="0"/>
    <n v="0"/>
    <n v="0"/>
    <n v="0"/>
    <n v="0"/>
    <n v="0"/>
    <n v="0"/>
    <n v="0"/>
    <n v="0"/>
  </r>
  <r>
    <s v="Monthly-AE-April-2024-revised.csv"/>
    <x v="0"/>
    <s v="Y03218"/>
    <s v="NHS ENGLAND LONDON"/>
    <x v="18"/>
    <n v="0"/>
    <n v="0"/>
    <n v="924"/>
    <n v="0"/>
    <n v="0"/>
    <n v="0"/>
    <n v="0"/>
    <n v="0"/>
    <n v="0"/>
    <n v="0"/>
    <n v="0"/>
    <n v="0"/>
    <n v="0"/>
    <n v="0"/>
    <n v="0"/>
    <n v="0"/>
    <n v="0"/>
    <n v="0"/>
    <n v="924"/>
    <n v="0"/>
    <n v="0"/>
  </r>
  <r>
    <s v="Monthly-AE-April-2024-revised.csv"/>
    <x v="0"/>
    <s v="DT301"/>
    <s v="NHS ENGLAND EAST OF ENGLAND "/>
    <x v="19"/>
    <n v="0"/>
    <n v="0"/>
    <n v="2273"/>
    <n v="0"/>
    <n v="0"/>
    <n v="0"/>
    <n v="0"/>
    <n v="0"/>
    <n v="17"/>
    <n v="0"/>
    <n v="0"/>
    <n v="0"/>
    <n v="0"/>
    <n v="0"/>
    <n v="0"/>
    <n v="0"/>
    <n v="0"/>
    <n v="0"/>
    <n v="2273"/>
    <n v="17"/>
    <n v="0"/>
  </r>
  <r>
    <s v="Monthly-AE-April-2024-revised.csv"/>
    <x v="0"/>
    <s v="NQT5F"/>
    <s v="NHS ENGLAND NORTH WEST "/>
    <x v="20"/>
    <n v="0"/>
    <n v="0"/>
    <n v="1871"/>
    <n v="0"/>
    <n v="0"/>
    <n v="0"/>
    <n v="0"/>
    <n v="0"/>
    <n v="5"/>
    <n v="0"/>
    <n v="0"/>
    <n v="0"/>
    <n v="0"/>
    <n v="0"/>
    <n v="0"/>
    <n v="0"/>
    <n v="0"/>
    <n v="0"/>
    <n v="1871"/>
    <n v="5"/>
    <n v="0"/>
  </r>
  <r>
    <s v="Monthly-AE-April-2024-revised.csv"/>
    <x v="0"/>
    <s v="NQT5H"/>
    <s v="NHS ENGLAND SOUTH WEST "/>
    <x v="21"/>
    <n v="0"/>
    <n v="0"/>
    <n v="925"/>
    <n v="0"/>
    <n v="0"/>
    <n v="0"/>
    <n v="0"/>
    <n v="0"/>
    <n v="8"/>
    <n v="0"/>
    <n v="0"/>
    <n v="0"/>
    <n v="0"/>
    <n v="0"/>
    <n v="0"/>
    <n v="0"/>
    <n v="0"/>
    <n v="0"/>
    <n v="925"/>
    <n v="8"/>
    <n v="0"/>
  </r>
  <r>
    <s v="Monthly-AE-April-2024-revised.csv"/>
    <x v="0"/>
    <s v="NTPAD"/>
    <s v="NHS ENGLAND SOUTH EAST "/>
    <x v="22"/>
    <n v="0"/>
    <n v="0"/>
    <n v="5566"/>
    <n v="0"/>
    <n v="0"/>
    <n v="327"/>
    <n v="0"/>
    <n v="0"/>
    <n v="238"/>
    <n v="0"/>
    <n v="0"/>
    <n v="2"/>
    <n v="0"/>
    <n v="0"/>
    <n v="0"/>
    <n v="0"/>
    <n v="0"/>
    <n v="0"/>
    <n v="5566"/>
    <n v="238"/>
    <n v="0"/>
  </r>
  <r>
    <s v="Monthly-AE-April-2024-revised.csv"/>
    <x v="0"/>
    <s v="NTV0B"/>
    <s v="NHS ENGLAND SOUTH EAST "/>
    <x v="23"/>
    <n v="0"/>
    <n v="0"/>
    <n v="2476"/>
    <n v="0"/>
    <n v="0"/>
    <n v="0"/>
    <n v="0"/>
    <n v="0"/>
    <n v="51"/>
    <n v="0"/>
    <n v="0"/>
    <n v="0"/>
    <n v="0"/>
    <n v="0"/>
    <n v="0"/>
    <n v="0"/>
    <n v="0"/>
    <n v="0"/>
    <n v="2476"/>
    <n v="51"/>
    <n v="0"/>
  </r>
  <r>
    <s v="Monthly-AE-April-2024-revised.csv"/>
    <x v="0"/>
    <s v="NTV0W"/>
    <s v="NHS ENGLAND SOUTH EAST "/>
    <x v="24"/>
    <n v="0"/>
    <n v="0"/>
    <n v="2482"/>
    <n v="0"/>
    <n v="0"/>
    <n v="0"/>
    <n v="0"/>
    <n v="0"/>
    <n v="89"/>
    <n v="0"/>
    <n v="0"/>
    <n v="0"/>
    <n v="0"/>
    <n v="0"/>
    <n v="0"/>
    <n v="0"/>
    <n v="0"/>
    <n v="0"/>
    <n v="2482"/>
    <n v="89"/>
    <n v="0"/>
  </r>
  <r>
    <s v="Monthly-AE-April-2024-revised.csv"/>
    <x v="0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60"/>
    <n v="0"/>
    <n v="0"/>
    <n v="160"/>
  </r>
  <r>
    <s v="Monthly-AE-April-2024-revised.csv"/>
    <x v="0"/>
    <s v="RFF"/>
    <s v="NHS ENGLAND NORTH EAST AND YORKSHIRE "/>
    <x v="26"/>
    <n v="8335"/>
    <n v="0"/>
    <n v="0"/>
    <n v="432"/>
    <n v="0"/>
    <n v="0"/>
    <n v="2671"/>
    <n v="0"/>
    <n v="0"/>
    <n v="0"/>
    <n v="0"/>
    <n v="0"/>
    <n v="456"/>
    <n v="0"/>
    <n v="2872"/>
    <n v="0"/>
    <n v="0"/>
    <n v="470"/>
    <n v="8335"/>
    <n v="2671"/>
    <n v="3342"/>
  </r>
  <r>
    <s v="Monthly-AE-April-2024-revised.csv"/>
    <x v="0"/>
    <s v="RPC"/>
    <s v="NHS ENGLAND SOUTH EAST "/>
    <x v="27"/>
    <n v="0"/>
    <n v="0"/>
    <n v="1400"/>
    <n v="0"/>
    <n v="0"/>
    <n v="0"/>
    <n v="0"/>
    <n v="0"/>
    <n v="6"/>
    <n v="0"/>
    <n v="0"/>
    <n v="0"/>
    <n v="0"/>
    <n v="0"/>
    <n v="0"/>
    <n v="0"/>
    <n v="3"/>
    <n v="493"/>
    <n v="1400"/>
    <n v="6"/>
    <n v="496"/>
  </r>
  <r>
    <s v="Monthly-AE-April-2024-revised.csv"/>
    <x v="0"/>
    <s v="RRV"/>
    <s v="NHS ENGLAND LONDON"/>
    <x v="28"/>
    <n v="12195"/>
    <n v="0"/>
    <n v="0"/>
    <n v="545"/>
    <n v="0"/>
    <n v="0"/>
    <n v="4209"/>
    <n v="0"/>
    <n v="0"/>
    <n v="0"/>
    <n v="0"/>
    <n v="0"/>
    <n v="419"/>
    <n v="144"/>
    <n v="1364"/>
    <n v="0"/>
    <n v="0"/>
    <n v="276"/>
    <n v="12195"/>
    <n v="4209"/>
    <n v="1640"/>
  </r>
  <r>
    <s v="Monthly-AE-April-2024-revised.csv"/>
    <x v="0"/>
    <s v="Y02147"/>
    <s v="NHS ENGLAND LONDON"/>
    <x v="29"/>
    <n v="0"/>
    <n v="0"/>
    <n v="7556"/>
    <n v="0"/>
    <n v="0"/>
    <n v="592"/>
    <n v="0"/>
    <n v="0"/>
    <n v="304"/>
    <n v="0"/>
    <n v="0"/>
    <n v="3"/>
    <n v="0"/>
    <n v="0"/>
    <n v="0"/>
    <n v="0"/>
    <n v="0"/>
    <n v="0"/>
    <n v="7556"/>
    <n v="304"/>
    <n v="0"/>
  </r>
  <r>
    <s v="Monthly-AE-April-2024-revised.csv"/>
    <x v="0"/>
    <s v="AXG"/>
    <s v="NHS ENGLAND SOUTH WEST "/>
    <x v="30"/>
    <n v="0"/>
    <n v="0"/>
    <n v="2355"/>
    <n v="0"/>
    <n v="0"/>
    <n v="0"/>
    <n v="0"/>
    <n v="0"/>
    <n v="24"/>
    <n v="0"/>
    <n v="0"/>
    <n v="0"/>
    <n v="0"/>
    <n v="0"/>
    <n v="0"/>
    <n v="0"/>
    <n v="0"/>
    <n v="0"/>
    <n v="2355"/>
    <n v="24"/>
    <n v="0"/>
  </r>
  <r>
    <s v="Monthly-AE-April-2024-revised.csv"/>
    <x v="0"/>
    <s v="C82038"/>
    <s v="NHS ENGLAND MIDLANDS "/>
    <x v="31"/>
    <n v="0"/>
    <n v="0"/>
    <n v="274"/>
    <n v="0"/>
    <n v="0"/>
    <n v="0"/>
    <n v="0"/>
    <n v="0"/>
    <n v="0"/>
    <n v="0"/>
    <n v="0"/>
    <n v="0"/>
    <n v="0"/>
    <n v="0"/>
    <n v="0"/>
    <n v="0"/>
    <n v="0"/>
    <n v="0"/>
    <n v="274"/>
    <n v="0"/>
    <n v="0"/>
  </r>
  <r>
    <s v="Monthly-AE-April-2024-revised.csv"/>
    <x v="0"/>
    <s v="G0Q0L"/>
    <s v="NHS ENGLAND LONDON"/>
    <x v="32"/>
    <n v="0"/>
    <n v="0"/>
    <n v="2758"/>
    <n v="0"/>
    <n v="0"/>
    <n v="0"/>
    <n v="0"/>
    <n v="0"/>
    <n v="34"/>
    <n v="0"/>
    <n v="0"/>
    <n v="0"/>
    <n v="0"/>
    <n v="0"/>
    <n v="0"/>
    <n v="0"/>
    <n v="0"/>
    <n v="0"/>
    <n v="2758"/>
    <n v="34"/>
    <n v="0"/>
  </r>
  <r>
    <s v="Monthly-AE-April-2024-revised.csv"/>
    <x v="0"/>
    <s v="K6K0R"/>
    <s v="NHS ENGLAND LONDON"/>
    <x v="33"/>
    <n v="0"/>
    <n v="0"/>
    <n v="2858"/>
    <n v="0"/>
    <n v="0"/>
    <n v="0"/>
    <n v="0"/>
    <n v="0"/>
    <n v="37"/>
    <n v="0"/>
    <n v="0"/>
    <n v="0"/>
    <n v="0"/>
    <n v="0"/>
    <n v="0"/>
    <n v="0"/>
    <n v="0"/>
    <n v="0"/>
    <n v="2858"/>
    <n v="37"/>
    <n v="0"/>
  </r>
  <r>
    <s v="Monthly-AE-April-2024-revised.csv"/>
    <x v="0"/>
    <s v="NTP11"/>
    <s v="NHS ENGLAND SOUTH EAST "/>
    <x v="34"/>
    <n v="0"/>
    <n v="0"/>
    <n v="5442"/>
    <n v="0"/>
    <n v="0"/>
    <n v="0"/>
    <n v="0"/>
    <n v="0"/>
    <n v="353"/>
    <n v="0"/>
    <n v="0"/>
    <n v="0"/>
    <n v="0"/>
    <n v="0"/>
    <n v="0"/>
    <n v="0"/>
    <n v="0"/>
    <n v="0"/>
    <n v="5442"/>
    <n v="353"/>
    <n v="0"/>
  </r>
  <r>
    <s v="Monthly-AE-April-2024-revised.csv"/>
    <x v="0"/>
    <s v="REM"/>
    <s v="NHS ENGLAND NORTH WEST "/>
    <x v="35"/>
    <n v="14949"/>
    <n v="1654"/>
    <n v="7385"/>
    <n v="465"/>
    <n v="0"/>
    <n v="0"/>
    <n v="6916"/>
    <n v="196"/>
    <n v="466"/>
    <n v="69"/>
    <n v="0"/>
    <n v="0"/>
    <n v="2040"/>
    <n v="1268"/>
    <n v="4976"/>
    <n v="0"/>
    <n v="0"/>
    <n v="2327"/>
    <n v="23988"/>
    <n v="7578"/>
    <n v="7303"/>
  </r>
  <r>
    <s v="Monthly-AE-April-2024-revised.csv"/>
    <x v="0"/>
    <s v="RQX"/>
    <s v="NHS ENGLAND LONDON"/>
    <x v="36"/>
    <n v="10569"/>
    <n v="0"/>
    <n v="0"/>
    <n v="27"/>
    <n v="0"/>
    <n v="0"/>
    <n v="1770"/>
    <n v="0"/>
    <n v="0"/>
    <n v="0"/>
    <n v="0"/>
    <n v="0"/>
    <n v="158"/>
    <n v="17"/>
    <n v="1702"/>
    <n v="0"/>
    <n v="0"/>
    <n v="321"/>
    <n v="10569"/>
    <n v="1770"/>
    <n v="2023"/>
  </r>
  <r>
    <s v="Monthly-AE-April-2024-revised.csv"/>
    <x v="0"/>
    <s v="Y02676"/>
    <s v="NHS ENGLAND SOUTH EAST "/>
    <x v="37"/>
    <n v="0"/>
    <n v="0"/>
    <n v="1953"/>
    <n v="0"/>
    <n v="0"/>
    <n v="0"/>
    <n v="0"/>
    <n v="0"/>
    <n v="0"/>
    <n v="0"/>
    <n v="0"/>
    <n v="0"/>
    <n v="0"/>
    <n v="0"/>
    <n v="0"/>
    <n v="0"/>
    <n v="0"/>
    <n v="0"/>
    <n v="1953"/>
    <n v="0"/>
    <n v="0"/>
  </r>
  <r>
    <s v="Monthly-AE-April-2024-revised.csv"/>
    <x v="0"/>
    <s v="Y07709"/>
    <s v="NHS ENGLAND SOUTH EAST "/>
    <x v="38"/>
    <n v="0"/>
    <n v="0"/>
    <n v="2165"/>
    <n v="0"/>
    <n v="0"/>
    <n v="0"/>
    <n v="0"/>
    <n v="0"/>
    <n v="0"/>
    <n v="0"/>
    <n v="0"/>
    <n v="0"/>
    <n v="0"/>
    <n v="0"/>
    <n v="0"/>
    <n v="0"/>
    <n v="0"/>
    <n v="0"/>
    <n v="2165"/>
    <n v="0"/>
    <n v="0"/>
  </r>
  <r>
    <s v="Monthly-AE-April-2024-revised.csv"/>
    <x v="0"/>
    <s v="NQT51"/>
    <s v="NHS ENGLAND SOUTH EAST "/>
    <x v="39"/>
    <n v="0"/>
    <n v="0"/>
    <n v="1625"/>
    <n v="0"/>
    <n v="0"/>
    <n v="0"/>
    <n v="0"/>
    <n v="0"/>
    <n v="0"/>
    <n v="0"/>
    <n v="0"/>
    <n v="0"/>
    <n v="0"/>
    <n v="0"/>
    <n v="0"/>
    <n v="0"/>
    <n v="0"/>
    <n v="0"/>
    <n v="1625"/>
    <n v="0"/>
    <n v="0"/>
  </r>
  <r>
    <s v="Monthly-AE-April-2024-revised.csv"/>
    <x v="0"/>
    <s v="RJN"/>
    <s v="NHS ENGLAND NORTH WEST "/>
    <x v="40"/>
    <n v="4227"/>
    <n v="0"/>
    <n v="0"/>
    <n v="67"/>
    <n v="0"/>
    <n v="42"/>
    <n v="2040"/>
    <n v="0"/>
    <n v="0"/>
    <n v="0"/>
    <n v="0"/>
    <n v="0"/>
    <n v="265"/>
    <n v="144"/>
    <n v="848"/>
    <n v="0"/>
    <n v="0"/>
    <n v="188"/>
    <n v="4227"/>
    <n v="2040"/>
    <n v="1036"/>
  </r>
  <r>
    <s v="Monthly-AE-April-2024-revised.csv"/>
    <x v="0"/>
    <s v="RNS"/>
    <s v="NHS ENGLAND MIDLANDS "/>
    <x v="41"/>
    <n v="11308"/>
    <n v="594"/>
    <n v="2420"/>
    <n v="19"/>
    <n v="0"/>
    <n v="0"/>
    <n v="3500"/>
    <n v="17"/>
    <n v="55"/>
    <n v="13"/>
    <n v="0"/>
    <n v="0"/>
    <n v="337"/>
    <n v="907"/>
    <n v="1885"/>
    <n v="0"/>
    <n v="0"/>
    <n v="1130"/>
    <n v="14322"/>
    <n v="3572"/>
    <n v="3015"/>
  </r>
  <r>
    <s v="Monthly-AE-April-2024-revised.csv"/>
    <x v="0"/>
    <s v="RW4"/>
    <s v="NHS ENGLAND NORTH WEST "/>
    <x v="42"/>
    <n v="0"/>
    <n v="0"/>
    <n v="10698"/>
    <n v="0"/>
    <n v="0"/>
    <n v="0"/>
    <n v="0"/>
    <n v="0"/>
    <n v="587"/>
    <n v="0"/>
    <n v="0"/>
    <n v="0"/>
    <n v="0"/>
    <n v="0"/>
    <n v="0"/>
    <n v="0"/>
    <n v="0"/>
    <n v="53"/>
    <n v="10698"/>
    <n v="587"/>
    <n v="53"/>
  </r>
  <r>
    <s v="Monthly-AE-April-2024-revised.csv"/>
    <x v="0"/>
    <s v="NNJ"/>
    <s v="NHS ENGLAND MIDLANDS "/>
    <x v="43"/>
    <n v="0"/>
    <n v="0"/>
    <n v="2054"/>
    <n v="0"/>
    <n v="0"/>
    <n v="0"/>
    <n v="0"/>
    <n v="0"/>
    <n v="2"/>
    <n v="0"/>
    <n v="0"/>
    <n v="0"/>
    <n v="0"/>
    <n v="0"/>
    <n v="0"/>
    <n v="0"/>
    <n v="0"/>
    <n v="0"/>
    <n v="2054"/>
    <n v="2"/>
    <n v="0"/>
  </r>
  <r>
    <s v="Monthly-AE-April-2024-revised.csv"/>
    <x v="0"/>
    <s v="R0B"/>
    <s v="NHS ENGLAND NORTH EAST AND YORKSHIRE "/>
    <x v="44"/>
    <n v="11076"/>
    <n v="1348"/>
    <n v="5875"/>
    <n v="463"/>
    <n v="0"/>
    <n v="1423"/>
    <n v="5043"/>
    <n v="36"/>
    <n v="110"/>
    <n v="227"/>
    <n v="0"/>
    <n v="26"/>
    <n v="695"/>
    <n v="3"/>
    <n v="4348"/>
    <n v="17"/>
    <n v="0"/>
    <n v="1119"/>
    <n v="18299"/>
    <n v="5189"/>
    <n v="5484"/>
  </r>
  <r>
    <s v="Monthly-AE-April-2024-revised.csv"/>
    <x v="0"/>
    <s v="RFR"/>
    <s v="NHS ENGLAND NORTH EAST AND YORKSHIRE "/>
    <x v="45"/>
    <n v="8172"/>
    <n v="0"/>
    <n v="0"/>
    <n v="0"/>
    <n v="0"/>
    <n v="0"/>
    <n v="2707"/>
    <n v="0"/>
    <n v="0"/>
    <n v="0"/>
    <n v="0"/>
    <n v="0"/>
    <n v="593"/>
    <n v="2"/>
    <n v="2978"/>
    <n v="0"/>
    <n v="0"/>
    <n v="530"/>
    <n v="8172"/>
    <n v="2707"/>
    <n v="3508"/>
  </r>
  <r>
    <s v="Monthly-AE-April-2024-revised.csv"/>
    <x v="0"/>
    <s v="RW1"/>
    <s v="NHS ENGLAND SOUTH EAST "/>
    <x v="46"/>
    <n v="0"/>
    <n v="0"/>
    <n v="3132"/>
    <n v="0"/>
    <n v="0"/>
    <n v="0"/>
    <n v="0"/>
    <n v="0"/>
    <n v="74"/>
    <n v="0"/>
    <n v="0"/>
    <n v="0"/>
    <n v="0"/>
    <n v="0"/>
    <n v="0"/>
    <n v="0"/>
    <n v="1"/>
    <n v="141"/>
    <n v="3132"/>
    <n v="74"/>
    <n v="142"/>
  </r>
  <r>
    <s v="Monthly-AE-April-2024-revised.csv"/>
    <x v="0"/>
    <s v="RWG"/>
    <s v="NHS ENGLAND EAST OF ENGLAND "/>
    <x v="47"/>
    <n v="8081"/>
    <n v="0"/>
    <n v="7466"/>
    <n v="0"/>
    <n v="0"/>
    <n v="771"/>
    <n v="3123"/>
    <n v="0"/>
    <n v="329"/>
    <n v="0"/>
    <n v="0"/>
    <n v="2"/>
    <n v="841"/>
    <n v="1"/>
    <n v="3826"/>
    <n v="0"/>
    <n v="0"/>
    <n v="526"/>
    <n v="15547"/>
    <n v="3452"/>
    <n v="4352"/>
  </r>
  <r>
    <s v="Monthly-AE-April-2024-revised.csv"/>
    <x v="0"/>
    <s v="RYY"/>
    <s v="NHS ENGLAND SOUTH EAST "/>
    <x v="48"/>
    <n v="0"/>
    <n v="0"/>
    <n v="10020"/>
    <n v="0"/>
    <n v="0"/>
    <n v="0"/>
    <n v="0"/>
    <n v="0"/>
    <n v="37"/>
    <n v="0"/>
    <n v="0"/>
    <n v="0"/>
    <n v="0"/>
    <n v="0"/>
    <n v="0"/>
    <n v="0"/>
    <n v="0"/>
    <n v="0"/>
    <n v="10020"/>
    <n v="37"/>
    <n v="0"/>
  </r>
  <r>
    <s v="Monthly-AE-April-2024-revised.csv"/>
    <x v="0"/>
    <s v="Y02428"/>
    <s v="NHS ENGLAND EAST OF ENGLAND "/>
    <x v="49"/>
    <n v="0"/>
    <n v="0"/>
    <n v="3102"/>
    <n v="0"/>
    <n v="0"/>
    <n v="0"/>
    <n v="0"/>
    <n v="0"/>
    <n v="0"/>
    <n v="0"/>
    <n v="0"/>
    <n v="0"/>
    <n v="0"/>
    <n v="0"/>
    <n v="0"/>
    <n v="0"/>
    <n v="0"/>
    <n v="0"/>
    <n v="3102"/>
    <n v="0"/>
    <n v="0"/>
  </r>
  <r>
    <s v="Monthly-AE-April-2024-revised.csv"/>
    <x v="0"/>
    <s v="ACH01"/>
    <s v="NHS ENGLAND SOUTH EAST "/>
    <x v="50"/>
    <n v="0"/>
    <n v="0"/>
    <n v="4419"/>
    <n v="0"/>
    <n v="0"/>
    <n v="0"/>
    <n v="0"/>
    <n v="0"/>
    <n v="0"/>
    <n v="0"/>
    <n v="0"/>
    <n v="0"/>
    <n v="0"/>
    <n v="0"/>
    <n v="0"/>
    <n v="0"/>
    <n v="0"/>
    <n v="0"/>
    <n v="4419"/>
    <n v="0"/>
    <n v="0"/>
  </r>
  <r>
    <s v="Monthly-AE-April-2024-revised.csv"/>
    <x v="0"/>
    <s v="NDJ"/>
    <s v="NHS ENGLAND SOUTH EAST "/>
    <x v="51"/>
    <n v="0"/>
    <n v="0"/>
    <n v="2183"/>
    <n v="0"/>
    <n v="0"/>
    <n v="0"/>
    <n v="0"/>
    <n v="0"/>
    <n v="0"/>
    <n v="0"/>
    <n v="0"/>
    <n v="0"/>
    <n v="0"/>
    <n v="0"/>
    <n v="0"/>
    <n v="0"/>
    <n v="0"/>
    <n v="0"/>
    <n v="2183"/>
    <n v="0"/>
    <n v="0"/>
  </r>
  <r>
    <s v="Monthly-AE-April-2024-revised.csv"/>
    <x v="0"/>
    <s v="NNJ07"/>
    <s v="NHS ENGLAND MIDLANDS "/>
    <x v="52"/>
    <n v="0"/>
    <n v="0"/>
    <n v="6079"/>
    <n v="0"/>
    <n v="0"/>
    <n v="211"/>
    <n v="0"/>
    <n v="0"/>
    <n v="19"/>
    <n v="0"/>
    <n v="0"/>
    <n v="0"/>
    <n v="0"/>
    <n v="0"/>
    <n v="0"/>
    <n v="0"/>
    <n v="0"/>
    <n v="0"/>
    <n v="6079"/>
    <n v="19"/>
    <n v="0"/>
  </r>
  <r>
    <s v="Monthly-AE-April-2024-revised.csv"/>
    <x v="0"/>
    <s v="NNJ0H"/>
    <s v="NHS ENGLAND MIDLANDS "/>
    <x v="53"/>
    <n v="0"/>
    <n v="0"/>
    <n v="208"/>
    <n v="0"/>
    <n v="0"/>
    <n v="2011"/>
    <n v="0"/>
    <n v="0"/>
    <n v="0"/>
    <n v="0"/>
    <n v="0"/>
    <n v="0"/>
    <n v="0"/>
    <n v="0"/>
    <n v="0"/>
    <n v="0"/>
    <n v="0"/>
    <n v="0"/>
    <n v="208"/>
    <n v="0"/>
    <n v="0"/>
  </r>
  <r>
    <s v="Monthly-AE-April-2024-revised.csv"/>
    <x v="0"/>
    <s v="NNJ12"/>
    <s v="NHS ENGLAND MIDLANDS "/>
    <x v="54"/>
    <n v="0"/>
    <n v="0"/>
    <n v="101"/>
    <n v="0"/>
    <n v="0"/>
    <n v="326"/>
    <n v="0"/>
    <n v="0"/>
    <n v="0"/>
    <n v="0"/>
    <n v="0"/>
    <n v="0"/>
    <n v="0"/>
    <n v="0"/>
    <n v="0"/>
    <n v="0"/>
    <n v="0"/>
    <n v="0"/>
    <n v="101"/>
    <n v="0"/>
    <n v="0"/>
  </r>
  <r>
    <s v="Monthly-AE-April-2024-revised.csv"/>
    <x v="0"/>
    <s v="NNJ13"/>
    <s v="NHS ENGLAND MIDLANDS "/>
    <x v="55"/>
    <n v="0"/>
    <n v="0"/>
    <n v="71"/>
    <n v="0"/>
    <n v="0"/>
    <n v="348"/>
    <n v="0"/>
    <n v="0"/>
    <n v="1"/>
    <n v="0"/>
    <n v="0"/>
    <n v="0"/>
    <n v="0"/>
    <n v="0"/>
    <n v="0"/>
    <n v="0"/>
    <n v="0"/>
    <n v="0"/>
    <n v="71"/>
    <n v="1"/>
    <n v="0"/>
  </r>
  <r>
    <s v="Monthly-AE-April-2024-revised.csv"/>
    <x v="0"/>
    <s v="NNJ15"/>
    <s v="NHS ENGLAND MIDLANDS "/>
    <x v="56"/>
    <n v="0"/>
    <n v="0"/>
    <n v="75"/>
    <n v="0"/>
    <n v="0"/>
    <n v="359"/>
    <n v="0"/>
    <n v="0"/>
    <n v="0"/>
    <n v="0"/>
    <n v="0"/>
    <n v="0"/>
    <n v="0"/>
    <n v="0"/>
    <n v="0"/>
    <n v="0"/>
    <n v="0"/>
    <n v="0"/>
    <n v="75"/>
    <n v="0"/>
    <n v="0"/>
  </r>
  <r>
    <s v="Monthly-AE-April-2024-revised.csv"/>
    <x v="0"/>
    <s v="NR3"/>
    <s v="NHS ENGLAND MIDLANDS "/>
    <x v="57"/>
    <n v="0"/>
    <n v="0"/>
    <n v="5160"/>
    <n v="0"/>
    <n v="0"/>
    <n v="262"/>
    <n v="0"/>
    <n v="0"/>
    <n v="124"/>
    <n v="0"/>
    <n v="0"/>
    <n v="0"/>
    <n v="0"/>
    <n v="0"/>
    <n v="0"/>
    <n v="0"/>
    <n v="0"/>
    <n v="0"/>
    <n v="5160"/>
    <n v="124"/>
    <n v="0"/>
  </r>
  <r>
    <s v="Monthly-AE-April-2024-revised.csv"/>
    <x v="0"/>
    <s v="R1D"/>
    <s v="NHS ENGLAND MIDLANDS "/>
    <x v="58"/>
    <n v="0"/>
    <n v="0"/>
    <n v="3359"/>
    <n v="0"/>
    <n v="0"/>
    <n v="0"/>
    <n v="0"/>
    <n v="0"/>
    <n v="4"/>
    <n v="0"/>
    <n v="0"/>
    <n v="0"/>
    <n v="0"/>
    <n v="0"/>
    <n v="0"/>
    <n v="0"/>
    <n v="0"/>
    <n v="1"/>
    <n v="3359"/>
    <n v="4"/>
    <n v="1"/>
  </r>
  <r>
    <s v="Monthly-AE-April-2024-revised.csv"/>
    <x v="0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703"/>
    <n v="0"/>
    <n v="0"/>
    <n v="703"/>
  </r>
  <r>
    <s v="Monthly-AE-April-2024-revised.csv"/>
    <x v="0"/>
    <s v="REF"/>
    <s v="NHS ENGLAND SOUTH WEST "/>
    <x v="60"/>
    <n v="6105"/>
    <n v="0"/>
    <n v="11367"/>
    <n v="0"/>
    <n v="0"/>
    <n v="0"/>
    <n v="3146"/>
    <n v="0"/>
    <n v="516"/>
    <n v="0"/>
    <n v="0"/>
    <n v="0"/>
    <n v="546"/>
    <n v="371"/>
    <n v="2190"/>
    <n v="0"/>
    <n v="50"/>
    <n v="1078"/>
    <n v="17472"/>
    <n v="3662"/>
    <n v="3318"/>
  </r>
  <r>
    <s v="Monthly-AE-April-2024-revised.csv"/>
    <x v="0"/>
    <s v="RGP"/>
    <s v="NHS ENGLAND EAST OF ENGLAND "/>
    <x v="61"/>
    <n v="6950"/>
    <n v="0"/>
    <n v="1392"/>
    <n v="132"/>
    <n v="0"/>
    <n v="0"/>
    <n v="2636"/>
    <n v="0"/>
    <n v="0"/>
    <n v="35"/>
    <n v="0"/>
    <n v="0"/>
    <n v="642"/>
    <n v="357"/>
    <n v="1644"/>
    <n v="0"/>
    <n v="0"/>
    <n v="405"/>
    <n v="8342"/>
    <n v="2636"/>
    <n v="2049"/>
  </r>
  <r>
    <s v="Monthly-AE-April-2024-revised.csv"/>
    <x v="0"/>
    <s v="RJZ"/>
    <s v="NHS ENGLAND LONDON"/>
    <x v="62"/>
    <n v="15174"/>
    <n v="0"/>
    <n v="8660"/>
    <n v="75"/>
    <n v="0"/>
    <n v="1253"/>
    <n v="6963"/>
    <n v="0"/>
    <n v="774"/>
    <n v="15"/>
    <n v="0"/>
    <n v="96"/>
    <n v="1435"/>
    <n v="943"/>
    <n v="3592"/>
    <n v="0"/>
    <n v="0"/>
    <n v="509"/>
    <n v="23834"/>
    <n v="7737"/>
    <n v="4101"/>
  </r>
  <r>
    <s v="Monthly-AE-April-2024-revised.csv"/>
    <x v="0"/>
    <s v="RNA"/>
    <s v="NHS ENGLAND MIDLANDS "/>
    <x v="63"/>
    <n v="9265"/>
    <n v="0"/>
    <n v="4928"/>
    <n v="164"/>
    <n v="0"/>
    <n v="689"/>
    <n v="2751"/>
    <n v="0"/>
    <n v="192"/>
    <n v="20"/>
    <n v="0"/>
    <n v="0"/>
    <n v="2125"/>
    <n v="135"/>
    <n v="3452"/>
    <n v="0"/>
    <n v="0"/>
    <n v="2022"/>
    <n v="14193"/>
    <n v="2943"/>
    <n v="5474"/>
  </r>
  <r>
    <s v="Monthly-AE-April-2024-revised.csv"/>
    <x v="0"/>
    <s v="RNQ"/>
    <s v="NHS ENGLAND MIDLANDS "/>
    <x v="64"/>
    <n v="9087"/>
    <n v="0"/>
    <n v="8804"/>
    <n v="592"/>
    <n v="0"/>
    <n v="0"/>
    <n v="3344"/>
    <n v="0"/>
    <n v="112"/>
    <n v="0"/>
    <n v="0"/>
    <n v="0"/>
    <n v="1372"/>
    <n v="0"/>
    <n v="1996"/>
    <n v="0"/>
    <n v="0"/>
    <n v="226"/>
    <n v="17891"/>
    <n v="3456"/>
    <n v="2222"/>
  </r>
  <r>
    <s v="Monthly-AE-April-2024-revised.csv"/>
    <x v="0"/>
    <s v="RP6"/>
    <s v="NHS ENGLAND LONDON"/>
    <x v="65"/>
    <n v="0"/>
    <n v="6050"/>
    <n v="0"/>
    <n v="0"/>
    <n v="0"/>
    <n v="0"/>
    <n v="0"/>
    <n v="110"/>
    <n v="0"/>
    <n v="0"/>
    <n v="0"/>
    <n v="0"/>
    <n v="0"/>
    <n v="0"/>
    <n v="0"/>
    <n v="6"/>
    <n v="0"/>
    <n v="184"/>
    <n v="6050"/>
    <n v="110"/>
    <n v="190"/>
  </r>
  <r>
    <s v="Monthly-AE-April-2024-revised.csv"/>
    <x v="0"/>
    <s v="RTP"/>
    <s v="NHS ENGLAND SOUTH EAST "/>
    <x v="66"/>
    <n v="10191"/>
    <n v="0"/>
    <n v="0"/>
    <n v="0"/>
    <n v="0"/>
    <n v="0"/>
    <n v="3246"/>
    <n v="0"/>
    <n v="0"/>
    <n v="0"/>
    <n v="0"/>
    <n v="0"/>
    <n v="643"/>
    <n v="479"/>
    <n v="3094"/>
    <n v="0"/>
    <n v="0"/>
    <n v="765"/>
    <n v="10191"/>
    <n v="3246"/>
    <n v="3859"/>
  </r>
  <r>
    <s v="Monthly-AE-April-2024-revised.csv"/>
    <x v="0"/>
    <s v="RV9"/>
    <s v="NHS ENGLAND NORTH EAST AND YORKSHIRE "/>
    <x v="67"/>
    <n v="0"/>
    <n v="0"/>
    <n v="1182"/>
    <n v="0"/>
    <n v="0"/>
    <n v="25"/>
    <n v="0"/>
    <n v="0"/>
    <n v="1"/>
    <n v="0"/>
    <n v="0"/>
    <n v="0"/>
    <n v="0"/>
    <n v="0"/>
    <n v="0"/>
    <n v="0"/>
    <n v="0"/>
    <n v="0"/>
    <n v="1182"/>
    <n v="1"/>
    <n v="0"/>
  </r>
  <r>
    <s v="Monthly-AE-April-2024-revised.csv"/>
    <x v="0"/>
    <s v="RWP"/>
    <s v="NHS ENGLAND MIDLANDS "/>
    <x v="68"/>
    <n v="12732"/>
    <n v="0"/>
    <n v="5740"/>
    <n v="170"/>
    <n v="0"/>
    <n v="20"/>
    <n v="6543"/>
    <n v="0"/>
    <n v="42"/>
    <n v="66"/>
    <n v="0"/>
    <n v="0"/>
    <n v="824"/>
    <n v="248"/>
    <n v="3784"/>
    <n v="0"/>
    <n v="0"/>
    <n v="1505"/>
    <n v="18472"/>
    <n v="6585"/>
    <n v="5289"/>
  </r>
  <r>
    <s v="Monthly-AE-April-2024-revised.csv"/>
    <x v="0"/>
    <s v="RX1"/>
    <s v="NHS ENGLAND MIDLANDS "/>
    <x v="69"/>
    <n v="14649"/>
    <n v="2022"/>
    <n v="316"/>
    <n v="570"/>
    <n v="0"/>
    <n v="0"/>
    <n v="7071"/>
    <n v="119"/>
    <n v="5"/>
    <n v="267"/>
    <n v="0"/>
    <n v="0"/>
    <n v="695"/>
    <n v="519"/>
    <n v="3880"/>
    <n v="0"/>
    <n v="0"/>
    <n v="3931"/>
    <n v="16987"/>
    <n v="7195"/>
    <n v="7811"/>
  </r>
  <r>
    <s v="Monthly-AE-April-2024-revised.csv"/>
    <x v="0"/>
    <s v="RXC"/>
    <s v="NHS ENGLAND SOUTH EAST "/>
    <x v="70"/>
    <n v="9911"/>
    <n v="0"/>
    <n v="2291"/>
    <n v="785"/>
    <n v="0"/>
    <n v="976"/>
    <n v="3222"/>
    <n v="0"/>
    <n v="26"/>
    <n v="0"/>
    <n v="0"/>
    <n v="0"/>
    <n v="249"/>
    <n v="0"/>
    <n v="3526"/>
    <n v="0"/>
    <n v="0"/>
    <n v="530"/>
    <n v="12202"/>
    <n v="3248"/>
    <n v="4056"/>
  </r>
  <r>
    <s v="Monthly-AE-April-2024-revised.csv"/>
    <x v="0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0"/>
    <n v="0"/>
    <n v="111"/>
  </r>
  <r>
    <s v="Monthly-AE-April-2024-revised.csv"/>
    <x v="0"/>
    <s v="RXL"/>
    <s v="NHS ENGLAND NORTH WEST "/>
    <x v="72"/>
    <n v="8434"/>
    <n v="0"/>
    <n v="10404"/>
    <n v="264"/>
    <n v="0"/>
    <n v="278"/>
    <n v="3726"/>
    <n v="0"/>
    <n v="109"/>
    <n v="84"/>
    <n v="0"/>
    <n v="0"/>
    <n v="428"/>
    <n v="517"/>
    <n v="2485"/>
    <n v="0"/>
    <n v="0"/>
    <n v="1460"/>
    <n v="18838"/>
    <n v="3835"/>
    <n v="3945"/>
  </r>
  <r>
    <s v="Monthly-AE-April-2024-revised.csv"/>
    <x v="0"/>
    <s v="RY2"/>
    <s v="NHS ENGLAND NORTH WEST "/>
    <x v="73"/>
    <n v="0"/>
    <n v="0"/>
    <n v="3432"/>
    <n v="0"/>
    <n v="0"/>
    <n v="183"/>
    <n v="0"/>
    <n v="0"/>
    <n v="54"/>
    <n v="0"/>
    <n v="0"/>
    <n v="3"/>
    <n v="0"/>
    <n v="0"/>
    <n v="0"/>
    <n v="0"/>
    <n v="0"/>
    <n v="0"/>
    <n v="3432"/>
    <n v="54"/>
    <n v="0"/>
  </r>
  <r>
    <s v="Monthly-AE-April-2024-revised.csv"/>
    <x v="0"/>
    <s v="RYF"/>
    <s v="NHS ENGLAND SOUTH WEST "/>
    <x v="74"/>
    <n v="0"/>
    <n v="0"/>
    <n v="1691"/>
    <n v="0"/>
    <n v="0"/>
    <n v="21"/>
    <n v="0"/>
    <n v="0"/>
    <n v="142"/>
    <n v="0"/>
    <n v="0"/>
    <n v="1"/>
    <n v="0"/>
    <n v="0"/>
    <n v="0"/>
    <n v="0"/>
    <n v="0"/>
    <n v="0"/>
    <n v="1691"/>
    <n v="142"/>
    <n v="0"/>
  </r>
  <r>
    <s v="Monthly-AE-April-2024-revised.csv"/>
    <x v="0"/>
    <s v="RYX"/>
    <s v="NHS ENGLAND LONDON"/>
    <x v="75"/>
    <n v="0"/>
    <n v="0"/>
    <n v="10114"/>
    <n v="0"/>
    <n v="0"/>
    <n v="647"/>
    <n v="0"/>
    <n v="0"/>
    <n v="247"/>
    <n v="0"/>
    <n v="0"/>
    <n v="9"/>
    <n v="0"/>
    <n v="0"/>
    <n v="0"/>
    <n v="0"/>
    <n v="0"/>
    <n v="0"/>
    <n v="10114"/>
    <n v="247"/>
    <n v="0"/>
  </r>
  <r>
    <s v="Monthly-AE-April-2024-revised.csv"/>
    <x v="0"/>
    <s v="NV693"/>
    <s v="NHS ENGLAND NORTH WEST "/>
    <x v="76"/>
    <n v="0"/>
    <n v="0"/>
    <n v="1019"/>
    <n v="0"/>
    <n v="0"/>
    <n v="0"/>
    <n v="0"/>
    <n v="0"/>
    <n v="1"/>
    <n v="0"/>
    <n v="0"/>
    <n v="0"/>
    <n v="0"/>
    <n v="0"/>
    <n v="0"/>
    <n v="0"/>
    <n v="0"/>
    <n v="0"/>
    <n v="1019"/>
    <n v="1"/>
    <n v="0"/>
  </r>
  <r>
    <s v="Monthly-AE-April-2024-revised.csv"/>
    <x v="0"/>
    <s v="R0D"/>
    <s v="NHS ENGLAND SOUTH WEST "/>
    <x v="77"/>
    <n v="12739"/>
    <n v="0"/>
    <n v="4818"/>
    <n v="0"/>
    <n v="0"/>
    <n v="0"/>
    <n v="5255"/>
    <n v="0"/>
    <n v="0"/>
    <n v="0"/>
    <n v="0"/>
    <n v="0"/>
    <n v="863"/>
    <n v="131"/>
    <n v="3992"/>
    <n v="4"/>
    <n v="0"/>
    <n v="2340"/>
    <n v="17557"/>
    <n v="5255"/>
    <n v="6336"/>
  </r>
  <r>
    <s v="Monthly-AE-April-2024-revised.csv"/>
    <x v="0"/>
    <s v="RA7"/>
    <s v="NHS ENGLAND SOUTH WEST "/>
    <x v="78"/>
    <n v="15115"/>
    <n v="2307"/>
    <n v="0"/>
    <n v="0"/>
    <n v="0"/>
    <n v="0"/>
    <n v="5366"/>
    <n v="115"/>
    <n v="0"/>
    <n v="0"/>
    <n v="0"/>
    <n v="0"/>
    <n v="1201"/>
    <n v="350"/>
    <n v="5118"/>
    <n v="12"/>
    <n v="0"/>
    <n v="1458"/>
    <n v="17422"/>
    <n v="5481"/>
    <n v="6588"/>
  </r>
  <r>
    <s v="Monthly-AE-April-2024-revised.csv"/>
    <x v="0"/>
    <s v="RAE"/>
    <s v="NHS ENGLAND NORTH EAST AND YORKSHIRE "/>
    <x v="79"/>
    <n v="9299"/>
    <n v="910"/>
    <n v="2849"/>
    <n v="0"/>
    <n v="0"/>
    <n v="0"/>
    <n v="2164"/>
    <n v="0"/>
    <n v="0"/>
    <n v="0"/>
    <n v="0"/>
    <n v="0"/>
    <n v="623"/>
    <n v="94"/>
    <n v="2314"/>
    <n v="0"/>
    <n v="66"/>
    <n v="1500"/>
    <n v="13058"/>
    <n v="2164"/>
    <n v="3880"/>
  </r>
  <r>
    <s v="Monthly-AE-April-2024-revised.csv"/>
    <x v="0"/>
    <s v="RBS"/>
    <s v="NHS ENGLAND NORTH WEST "/>
    <x v="80"/>
    <n v="5628"/>
    <n v="0"/>
    <n v="0"/>
    <n v="0"/>
    <n v="0"/>
    <n v="0"/>
    <n v="712"/>
    <n v="0"/>
    <n v="0"/>
    <n v="0"/>
    <n v="0"/>
    <n v="0"/>
    <n v="0"/>
    <n v="0"/>
    <n v="920"/>
    <n v="0"/>
    <n v="0"/>
    <n v="337"/>
    <n v="5628"/>
    <n v="712"/>
    <n v="1257"/>
  </r>
  <r>
    <s v="Monthly-AE-April-2024-revised.csv"/>
    <x v="0"/>
    <s v="RCU"/>
    <s v="NHS ENGLAND NORTH EAST AND YORKSHIRE "/>
    <x v="81"/>
    <n v="4319"/>
    <n v="0"/>
    <n v="214"/>
    <n v="261"/>
    <n v="0"/>
    <n v="12"/>
    <n v="516"/>
    <n v="0"/>
    <n v="0"/>
    <n v="31"/>
    <n v="0"/>
    <n v="0"/>
    <n v="9"/>
    <n v="0"/>
    <n v="868"/>
    <n v="0"/>
    <n v="0"/>
    <n v="108"/>
    <n v="4533"/>
    <n v="516"/>
    <n v="976"/>
  </r>
  <r>
    <s v="Monthly-AE-April-2024-revised.csv"/>
    <x v="0"/>
    <s v="RDU"/>
    <s v="NHS ENGLAND SOUTH EAST "/>
    <x v="82"/>
    <n v="21666"/>
    <n v="990"/>
    <n v="12046"/>
    <n v="0"/>
    <n v="0"/>
    <n v="0"/>
    <n v="8793"/>
    <n v="1"/>
    <n v="79"/>
    <n v="0"/>
    <n v="0"/>
    <n v="0"/>
    <n v="2206"/>
    <n v="181"/>
    <n v="5878"/>
    <n v="0"/>
    <n v="0"/>
    <n v="272"/>
    <n v="34702"/>
    <n v="8873"/>
    <n v="6150"/>
  </r>
  <r>
    <s v="Monthly-AE-April-2024-revised.csv"/>
    <x v="0"/>
    <s v="REP"/>
    <s v="NHS ENGLAND NORTH WEST "/>
    <x v="83"/>
    <n v="0"/>
    <n v="1265"/>
    <n v="0"/>
    <n v="0"/>
    <n v="139"/>
    <n v="0"/>
    <n v="0"/>
    <n v="125"/>
    <n v="0"/>
    <n v="0"/>
    <n v="0"/>
    <n v="0"/>
    <n v="0"/>
    <n v="0"/>
    <n v="0"/>
    <n v="98"/>
    <n v="0"/>
    <n v="18"/>
    <n v="1265"/>
    <n v="125"/>
    <n v="116"/>
  </r>
  <r>
    <s v="Monthly-AE-April-2024-revised.csv"/>
    <x v="0"/>
    <s v="RJE"/>
    <s v="NHS ENGLAND MIDLANDS "/>
    <x v="84"/>
    <n v="13330"/>
    <n v="490"/>
    <n v="8542"/>
    <n v="643"/>
    <n v="0"/>
    <n v="487"/>
    <n v="6574"/>
    <n v="0"/>
    <n v="73"/>
    <n v="237"/>
    <n v="0"/>
    <n v="10"/>
    <n v="1060"/>
    <n v="927"/>
    <n v="5823"/>
    <n v="0"/>
    <n v="0"/>
    <n v="3002"/>
    <n v="22362"/>
    <n v="6647"/>
    <n v="8825"/>
  </r>
  <r>
    <s v="Monthly-AE-April-2024-revised.csv"/>
    <x v="0"/>
    <s v="RL4"/>
    <s v="NHS ENGLAND MIDLANDS "/>
    <x v="85"/>
    <n v="13101"/>
    <n v="0"/>
    <n v="8087"/>
    <n v="171"/>
    <n v="0"/>
    <n v="823"/>
    <n v="3736"/>
    <n v="0"/>
    <n v="250"/>
    <n v="17"/>
    <n v="0"/>
    <n v="3"/>
    <n v="1074"/>
    <n v="156"/>
    <n v="5774"/>
    <n v="0"/>
    <n v="0"/>
    <n v="970"/>
    <n v="21188"/>
    <n v="3986"/>
    <n v="6744"/>
  </r>
  <r>
    <s v="Monthly-AE-April-2024-revised.csv"/>
    <x v="0"/>
    <s v="RLQ"/>
    <s v="NHS ENGLAND MIDLANDS "/>
    <x v="86"/>
    <n v="6127"/>
    <n v="1329"/>
    <n v="0"/>
    <n v="170"/>
    <n v="0"/>
    <n v="0"/>
    <n v="2349"/>
    <n v="0"/>
    <n v="0"/>
    <n v="29"/>
    <n v="0"/>
    <n v="0"/>
    <n v="383"/>
    <n v="293"/>
    <n v="2019"/>
    <n v="0"/>
    <n v="0"/>
    <n v="625"/>
    <n v="7456"/>
    <n v="2349"/>
    <n v="2644"/>
  </r>
  <r>
    <s v="Monthly-AE-April-2024-revised.csv"/>
    <x v="0"/>
    <s v="RRK"/>
    <s v="NHS ENGLAND MIDLANDS "/>
    <x v="87"/>
    <n v="32656"/>
    <n v="307"/>
    <n v="1558"/>
    <n v="63"/>
    <n v="0"/>
    <n v="253"/>
    <n v="13825"/>
    <n v="0"/>
    <n v="16"/>
    <n v="11"/>
    <n v="0"/>
    <n v="2"/>
    <n v="2112"/>
    <n v="2228"/>
    <n v="10561"/>
    <n v="0"/>
    <n v="0"/>
    <n v="6074"/>
    <n v="34521"/>
    <n v="13841"/>
    <n v="16635"/>
  </r>
  <r>
    <s v="Monthly-AE-April-2024-revised.csv"/>
    <x v="0"/>
    <s v="RTG"/>
    <s v="NHS ENGLAND MIDLANDS "/>
    <x v="88"/>
    <n v="20711"/>
    <n v="0"/>
    <n v="9871"/>
    <n v="450"/>
    <n v="0"/>
    <n v="34"/>
    <n v="8262"/>
    <n v="0"/>
    <n v="30"/>
    <n v="183"/>
    <n v="0"/>
    <n v="0"/>
    <n v="838"/>
    <n v="754"/>
    <n v="3991"/>
    <n v="0"/>
    <n v="2"/>
    <n v="2386"/>
    <n v="30582"/>
    <n v="8292"/>
    <n v="6379"/>
  </r>
  <r>
    <s v="Monthly-AE-April-2024-revised.csv"/>
    <x v="0"/>
    <s v="RVJ"/>
    <s v="NHS ENGLAND SOUTH WEST "/>
    <x v="89"/>
    <n v="8952"/>
    <n v="0"/>
    <n v="0"/>
    <n v="21"/>
    <n v="0"/>
    <n v="0"/>
    <n v="3265"/>
    <n v="0"/>
    <n v="0"/>
    <n v="5"/>
    <n v="0"/>
    <n v="0"/>
    <n v="661"/>
    <n v="324"/>
    <n v="2825"/>
    <n v="0"/>
    <n v="0"/>
    <n v="1935"/>
    <n v="8952"/>
    <n v="3265"/>
    <n v="4760"/>
  </r>
  <r>
    <s v="Monthly-AE-April-2024-revised.csv"/>
    <x v="0"/>
    <s v="RVW"/>
    <s v="NHS ENGLAND NORTH EAST AND YORKSHIRE "/>
    <x v="90"/>
    <n v="4459"/>
    <n v="0"/>
    <n v="11238"/>
    <n v="0"/>
    <n v="0"/>
    <n v="0"/>
    <n v="1734"/>
    <n v="0"/>
    <n v="40"/>
    <n v="0"/>
    <n v="0"/>
    <n v="0"/>
    <n v="80"/>
    <n v="0"/>
    <n v="1618"/>
    <n v="0"/>
    <n v="584"/>
    <n v="2133"/>
    <n v="15697"/>
    <n v="1774"/>
    <n v="4335"/>
  </r>
  <r>
    <s v="Monthly-AE-April-2024-revised.csv"/>
    <x v="0"/>
    <s v="RXN"/>
    <s v="NHS ENGLAND NORTH WEST "/>
    <x v="91"/>
    <n v="11493"/>
    <n v="0"/>
    <n v="3788"/>
    <n v="288"/>
    <n v="0"/>
    <n v="106"/>
    <n v="4564"/>
    <n v="0"/>
    <n v="260"/>
    <n v="75"/>
    <n v="0"/>
    <n v="2"/>
    <n v="1061"/>
    <n v="459"/>
    <n v="2940"/>
    <n v="0"/>
    <n v="158"/>
    <n v="1222"/>
    <n v="15281"/>
    <n v="4824"/>
    <n v="4320"/>
  </r>
  <r>
    <s v="Monthly-AE-April-2024-revised.csv"/>
    <x v="0"/>
    <s v="RXR"/>
    <s v="NHS ENGLAND NORTH WEST "/>
    <x v="92"/>
    <n v="12318"/>
    <n v="0"/>
    <n v="10055"/>
    <n v="0"/>
    <n v="0"/>
    <n v="0"/>
    <n v="4052"/>
    <n v="0"/>
    <n v="382"/>
    <n v="0"/>
    <n v="0"/>
    <n v="0"/>
    <n v="385"/>
    <n v="1113"/>
    <n v="3462"/>
    <n v="0"/>
    <n v="80"/>
    <n v="1663"/>
    <n v="22373"/>
    <n v="4434"/>
    <n v="5205"/>
  </r>
  <r>
    <s v="Monthly-AE-April-2024-revised.csv"/>
    <x v="0"/>
    <s v="RY4"/>
    <s v="NHS ENGLAND EAST OF ENGLAND "/>
    <x v="93"/>
    <n v="0"/>
    <n v="0"/>
    <n v="916"/>
    <n v="0"/>
    <n v="0"/>
    <n v="0"/>
    <n v="0"/>
    <n v="0"/>
    <n v="19"/>
    <n v="0"/>
    <n v="0"/>
    <n v="0"/>
    <n v="0"/>
    <n v="0"/>
    <n v="0"/>
    <n v="0"/>
    <n v="0"/>
    <n v="0"/>
    <n v="916"/>
    <n v="19"/>
    <n v="0"/>
  </r>
  <r>
    <s v="Monthly-AE-April-2024-revised.csv"/>
    <x v="0"/>
    <s v="AJN"/>
    <s v="NHS ENGLAND NORTH EAST AND YORKSHIRE "/>
    <x v="94"/>
    <n v="0"/>
    <n v="0"/>
    <n v="344"/>
    <n v="0"/>
    <n v="0"/>
    <n v="0"/>
    <n v="0"/>
    <n v="0"/>
    <n v="0"/>
    <n v="0"/>
    <n v="0"/>
    <n v="0"/>
    <n v="0"/>
    <n v="0"/>
    <n v="0"/>
    <n v="0"/>
    <n v="0"/>
    <n v="0"/>
    <n v="344"/>
    <n v="0"/>
    <n v="0"/>
  </r>
  <r>
    <s v="Monthly-AE-April-2024-revised.csv"/>
    <x v="0"/>
    <s v="NL7"/>
    <s v="NHS ENGLAND MIDLANDS "/>
    <x v="95"/>
    <n v="0"/>
    <n v="0"/>
    <n v="4045"/>
    <n v="0"/>
    <n v="0"/>
    <n v="0"/>
    <n v="0"/>
    <n v="0"/>
    <n v="0"/>
    <n v="0"/>
    <n v="0"/>
    <n v="0"/>
    <n v="0"/>
    <n v="0"/>
    <n v="0"/>
    <n v="0"/>
    <n v="0"/>
    <n v="0"/>
    <n v="4045"/>
    <n v="0"/>
    <n v="0"/>
  </r>
  <r>
    <s v="Monthly-AE-April-2024-revised.csv"/>
    <x v="0"/>
    <s v="R1H"/>
    <s v="NHS ENGLAND LONDON"/>
    <x v="96"/>
    <n v="23379"/>
    <n v="915"/>
    <n v="16891"/>
    <n v="0"/>
    <n v="0"/>
    <n v="0"/>
    <n v="11368"/>
    <n v="30"/>
    <n v="2835"/>
    <n v="0"/>
    <n v="0"/>
    <n v="0"/>
    <n v="880"/>
    <n v="1225"/>
    <n v="4700"/>
    <n v="0"/>
    <n v="0"/>
    <n v="1326"/>
    <n v="41185"/>
    <n v="14233"/>
    <n v="6026"/>
  </r>
  <r>
    <s v="Monthly-AE-April-2024-revised.csv"/>
    <x v="0"/>
    <s v="RA2"/>
    <s v="NHS ENGLAND SOUTH EAST "/>
    <x v="97"/>
    <n v="6572"/>
    <n v="0"/>
    <n v="1327"/>
    <n v="725"/>
    <n v="0"/>
    <n v="10"/>
    <n v="2006"/>
    <n v="0"/>
    <n v="0"/>
    <n v="192"/>
    <n v="0"/>
    <n v="0"/>
    <n v="333"/>
    <n v="1"/>
    <n v="2491"/>
    <n v="0"/>
    <n v="0"/>
    <n v="1025"/>
    <n v="7899"/>
    <n v="2006"/>
    <n v="3516"/>
  </r>
  <r>
    <s v="Monthly-AE-April-2024-revised.csv"/>
    <x v="0"/>
    <s v="RAJ"/>
    <s v="NHS ENGLAND EAST OF ENGLAND "/>
    <x v="98"/>
    <n v="28759"/>
    <n v="0"/>
    <n v="5982"/>
    <n v="589"/>
    <n v="0"/>
    <n v="138"/>
    <n v="7935"/>
    <n v="0"/>
    <n v="157"/>
    <n v="98"/>
    <n v="0"/>
    <n v="1"/>
    <n v="2656"/>
    <n v="5"/>
    <n v="8966"/>
    <n v="0"/>
    <n v="231"/>
    <n v="1276"/>
    <n v="34741"/>
    <n v="8092"/>
    <n v="10473"/>
  </r>
  <r>
    <s v="Monthly-AE-April-2024-revised.csv"/>
    <x v="0"/>
    <s v="RAL"/>
    <s v="NHS ENGLAND LONDON"/>
    <x v="99"/>
    <n v="18315"/>
    <n v="0"/>
    <n v="8065"/>
    <n v="0"/>
    <n v="0"/>
    <n v="0"/>
    <n v="7442"/>
    <n v="0"/>
    <n v="150"/>
    <n v="0"/>
    <n v="0"/>
    <n v="0"/>
    <n v="986"/>
    <n v="905"/>
    <n v="3827"/>
    <n v="0"/>
    <n v="0"/>
    <n v="524"/>
    <n v="26380"/>
    <n v="7592"/>
    <n v="4351"/>
  </r>
  <r>
    <s v="Monthly-AE-April-2024-revised.csv"/>
    <x v="0"/>
    <s v="RAX"/>
    <s v="NHS ENGLAND LONDON"/>
    <x v="100"/>
    <n v="6887"/>
    <n v="0"/>
    <n v="8057"/>
    <n v="0"/>
    <n v="0"/>
    <n v="0"/>
    <n v="3304"/>
    <n v="0"/>
    <n v="217"/>
    <n v="0"/>
    <n v="0"/>
    <n v="0"/>
    <n v="202"/>
    <n v="462"/>
    <n v="2145"/>
    <n v="0"/>
    <n v="148"/>
    <n v="690"/>
    <n v="14944"/>
    <n v="3521"/>
    <n v="2983"/>
  </r>
  <r>
    <s v="Monthly-AE-April-2024-revised.csv"/>
    <x v="0"/>
    <s v="RBD"/>
    <s v="NHS ENGLAND SOUTH WEST "/>
    <x v="101"/>
    <n v="4182"/>
    <n v="0"/>
    <n v="0"/>
    <n v="380"/>
    <n v="0"/>
    <n v="3966"/>
    <n v="1461"/>
    <n v="0"/>
    <n v="0"/>
    <n v="91"/>
    <n v="0"/>
    <n v="5"/>
    <n v="170"/>
    <n v="24"/>
    <n v="1866"/>
    <n v="0"/>
    <n v="0"/>
    <n v="511"/>
    <n v="4182"/>
    <n v="1461"/>
    <n v="2377"/>
  </r>
  <r>
    <s v="Monthly-AE-April-2024-revised.csv"/>
    <x v="0"/>
    <s v="RBK"/>
    <s v="NHS ENGLAND MIDLANDS "/>
    <x v="102"/>
    <n v="8277"/>
    <n v="0"/>
    <n v="3865"/>
    <n v="432"/>
    <n v="0"/>
    <n v="145"/>
    <n v="2857"/>
    <n v="0"/>
    <n v="136"/>
    <n v="74"/>
    <n v="0"/>
    <n v="0"/>
    <n v="852"/>
    <n v="79"/>
    <n v="3551"/>
    <n v="0"/>
    <n v="0"/>
    <n v="713"/>
    <n v="12142"/>
    <n v="2993"/>
    <n v="4264"/>
  </r>
  <r>
    <s v="Monthly-AE-April-2024-revised.csv"/>
    <x v="0"/>
    <s v="RCB"/>
    <s v="NHS ENGLAND NORTH EAST AND YORKSHIRE "/>
    <x v="103"/>
    <n v="11129"/>
    <n v="389"/>
    <n v="8439"/>
    <n v="0"/>
    <n v="0"/>
    <n v="26"/>
    <n v="6306"/>
    <n v="0"/>
    <n v="322"/>
    <n v="0"/>
    <n v="0"/>
    <n v="0"/>
    <n v="903"/>
    <n v="859"/>
    <n v="4468"/>
    <n v="2"/>
    <n v="0"/>
    <n v="1564"/>
    <n v="19957"/>
    <n v="6628"/>
    <n v="6034"/>
  </r>
  <r>
    <s v="Monthly-AE-April-2024-revised.csv"/>
    <x v="0"/>
    <s v="RCF"/>
    <s v="NHS ENGLAND NORTH EAST AND YORKSHIRE "/>
    <x v="104"/>
    <n v="5567"/>
    <n v="264"/>
    <n v="13"/>
    <n v="560"/>
    <n v="0"/>
    <n v="0"/>
    <n v="1916"/>
    <n v="0"/>
    <n v="0"/>
    <n v="0"/>
    <n v="0"/>
    <n v="0"/>
    <n v="363"/>
    <n v="119"/>
    <n v="1479"/>
    <n v="0"/>
    <n v="0"/>
    <n v="563"/>
    <n v="5844"/>
    <n v="1916"/>
    <n v="2042"/>
  </r>
  <r>
    <s v="Monthly-AE-April-2024-revised.csv"/>
    <x v="0"/>
    <s v="RD8"/>
    <s v="NHS ENGLAND EAST OF ENGLAND "/>
    <x v="105"/>
    <n v="7780"/>
    <n v="0"/>
    <n v="5601"/>
    <n v="622"/>
    <n v="0"/>
    <n v="144"/>
    <n v="3264"/>
    <n v="0"/>
    <n v="159"/>
    <n v="255"/>
    <n v="0"/>
    <n v="0"/>
    <n v="737"/>
    <n v="0"/>
    <n v="2055"/>
    <n v="0"/>
    <n v="0"/>
    <n v="411"/>
    <n v="13381"/>
    <n v="3423"/>
    <n v="2466"/>
  </r>
  <r>
    <s v="Monthly-AE-April-2024-revised.csv"/>
    <x v="0"/>
    <s v="RGN"/>
    <s v="NHS ENGLAND EAST OF ENGLAND "/>
    <x v="106"/>
    <n v="12628"/>
    <n v="0"/>
    <n v="4569"/>
    <n v="821"/>
    <n v="0"/>
    <n v="712"/>
    <n v="5703"/>
    <n v="0"/>
    <n v="579"/>
    <n v="251"/>
    <n v="0"/>
    <n v="87"/>
    <n v="449"/>
    <n v="803"/>
    <n v="3276"/>
    <n v="0"/>
    <n v="138"/>
    <n v="1452"/>
    <n v="17197"/>
    <n v="6282"/>
    <n v="4866"/>
  </r>
  <r>
    <s v="Monthly-AE-April-2024-revised.csv"/>
    <x v="0"/>
    <s v="RGT"/>
    <s v="NHS ENGLAND EAST OF ENGLAND "/>
    <x v="107"/>
    <n v="9929"/>
    <n v="0"/>
    <n v="5600"/>
    <n v="760"/>
    <n v="0"/>
    <n v="538"/>
    <n v="5184"/>
    <n v="0"/>
    <n v="74"/>
    <n v="342"/>
    <n v="0"/>
    <n v="24"/>
    <n v="547"/>
    <n v="663"/>
    <n v="2722"/>
    <n v="0"/>
    <n v="38"/>
    <n v="493"/>
    <n v="15529"/>
    <n v="5258"/>
    <n v="3253"/>
  </r>
  <r>
    <s v="Monthly-AE-April-2024-revised.csv"/>
    <x v="0"/>
    <s v="RJR"/>
    <s v="NHS ENGLAND NORTH WEST "/>
    <x v="108"/>
    <n v="5133"/>
    <n v="0"/>
    <n v="1751"/>
    <n v="0"/>
    <n v="0"/>
    <n v="0"/>
    <n v="2621"/>
    <n v="0"/>
    <n v="147"/>
    <n v="0"/>
    <n v="0"/>
    <n v="0"/>
    <n v="344"/>
    <n v="654"/>
    <n v="1800"/>
    <n v="0"/>
    <n v="0"/>
    <n v="1250"/>
    <n v="6884"/>
    <n v="2768"/>
    <n v="3050"/>
  </r>
  <r>
    <s v="Monthly-AE-April-2024-revised.csv"/>
    <x v="0"/>
    <s v="RK5"/>
    <s v="NHS ENGLAND MIDLANDS "/>
    <x v="109"/>
    <n v="10776"/>
    <n v="0"/>
    <n v="5411"/>
    <n v="23"/>
    <n v="0"/>
    <n v="144"/>
    <n v="3917"/>
    <n v="0"/>
    <n v="298"/>
    <n v="5"/>
    <n v="0"/>
    <n v="2"/>
    <n v="575"/>
    <n v="140"/>
    <n v="3383"/>
    <n v="0"/>
    <n v="1"/>
    <n v="340"/>
    <n v="16187"/>
    <n v="4215"/>
    <n v="3724"/>
  </r>
  <r>
    <s v="Monthly-AE-April-2024-revised.csv"/>
    <x v="0"/>
    <s v="RN5"/>
    <s v="NHS ENGLAND SOUTH EAST "/>
    <x v="110"/>
    <n v="12107"/>
    <n v="153"/>
    <n v="474"/>
    <n v="0"/>
    <n v="0"/>
    <n v="142"/>
    <n v="4679"/>
    <n v="0"/>
    <n v="0"/>
    <n v="0"/>
    <n v="0"/>
    <n v="0"/>
    <n v="636"/>
    <n v="37"/>
    <n v="4274"/>
    <n v="10"/>
    <n v="0"/>
    <n v="1057"/>
    <n v="12734"/>
    <n v="4679"/>
    <n v="5341"/>
  </r>
  <r>
    <s v="Monthly-AE-April-2024-revised.csv"/>
    <x v="0"/>
    <s v="RNN"/>
    <s v="NHS ENGLAND NORTH EAST AND YORKSHIRE "/>
    <x v="111"/>
    <n v="8482"/>
    <n v="0"/>
    <n v="1831"/>
    <n v="376"/>
    <n v="0"/>
    <n v="44"/>
    <n v="3656"/>
    <n v="0"/>
    <n v="28"/>
    <n v="95"/>
    <n v="0"/>
    <n v="1"/>
    <n v="592"/>
    <n v="574"/>
    <n v="2189"/>
    <n v="0"/>
    <n v="0"/>
    <n v="732"/>
    <n v="10313"/>
    <n v="3684"/>
    <n v="2921"/>
  </r>
  <r>
    <s v="Monthly-AE-April-2024-revised.csv"/>
    <x v="0"/>
    <s v="RNU"/>
    <s v="NHS ENGLAND SOUTH EAST "/>
    <x v="112"/>
    <n v="0"/>
    <n v="0"/>
    <n v="3874"/>
    <n v="0"/>
    <n v="0"/>
    <n v="0"/>
    <n v="0"/>
    <n v="0"/>
    <n v="403"/>
    <n v="0"/>
    <n v="0"/>
    <n v="0"/>
    <n v="0"/>
    <n v="0"/>
    <n v="0"/>
    <n v="0"/>
    <n v="0"/>
    <n v="0"/>
    <n v="3874"/>
    <n v="403"/>
    <n v="0"/>
  </r>
  <r>
    <s v="Monthly-AE-April-2024-revised.csv"/>
    <x v="0"/>
    <s v="RR7"/>
    <s v="NHS ENGLAND NORTH EAST AND YORKSHIRE "/>
    <x v="113"/>
    <n v="5637"/>
    <n v="0"/>
    <n v="3716"/>
    <n v="23"/>
    <n v="0"/>
    <n v="7"/>
    <n v="2581"/>
    <n v="0"/>
    <n v="55"/>
    <n v="11"/>
    <n v="0"/>
    <n v="0"/>
    <n v="989"/>
    <n v="1"/>
    <n v="1644"/>
    <n v="0"/>
    <n v="0"/>
    <n v="803"/>
    <n v="9353"/>
    <n v="2636"/>
    <n v="2447"/>
  </r>
  <r>
    <s v="Monthly-AE-April-2024-revised.csv"/>
    <x v="0"/>
    <s v="RTK"/>
    <s v="NHS ENGLAND SOUTH EAST "/>
    <x v="114"/>
    <n v="9838"/>
    <n v="0"/>
    <n v="0"/>
    <n v="0"/>
    <n v="0"/>
    <n v="0"/>
    <n v="3220"/>
    <n v="0"/>
    <n v="0"/>
    <n v="0"/>
    <n v="0"/>
    <n v="0"/>
    <n v="630"/>
    <n v="172"/>
    <n v="3140"/>
    <n v="0"/>
    <n v="0"/>
    <n v="604"/>
    <n v="9838"/>
    <n v="3220"/>
    <n v="3744"/>
  </r>
  <r>
    <s v="Monthly-AE-April-2024-revised.csv"/>
    <x v="0"/>
    <s v="RTQ"/>
    <s v="NHS ENGLAND SOUTH WEST "/>
    <x v="115"/>
    <n v="0"/>
    <n v="0"/>
    <n v="6718"/>
    <n v="0"/>
    <n v="0"/>
    <n v="0"/>
    <n v="0"/>
    <n v="0"/>
    <n v="32"/>
    <n v="0"/>
    <n v="0"/>
    <n v="0"/>
    <n v="0"/>
    <n v="0"/>
    <n v="0"/>
    <n v="0"/>
    <n v="0"/>
    <n v="34"/>
    <n v="6718"/>
    <n v="32"/>
    <n v="34"/>
  </r>
  <r>
    <s v="Monthly-AE-April-2024-revised.csv"/>
    <x v="0"/>
    <s v="RWA"/>
    <s v="NHS ENGLAND NORTH EAST AND YORKSHIRE "/>
    <x v="116"/>
    <n v="8942"/>
    <n v="0"/>
    <n v="4632"/>
    <n v="0"/>
    <n v="0"/>
    <n v="0"/>
    <n v="5108"/>
    <n v="0"/>
    <n v="382"/>
    <n v="0"/>
    <n v="0"/>
    <n v="0"/>
    <n v="1032"/>
    <n v="413"/>
    <n v="3458"/>
    <n v="0"/>
    <n v="0"/>
    <n v="1903"/>
    <n v="13574"/>
    <n v="5490"/>
    <n v="5361"/>
  </r>
  <r>
    <s v="Monthly-AE-April-2024-revised.csv"/>
    <x v="0"/>
    <s v="RWE"/>
    <s v="NHS ENGLAND MIDLANDS "/>
    <x v="117"/>
    <n v="21378"/>
    <n v="1812"/>
    <n v="0"/>
    <n v="0"/>
    <n v="0"/>
    <n v="0"/>
    <n v="8850"/>
    <n v="78"/>
    <n v="0"/>
    <n v="0"/>
    <n v="0"/>
    <n v="0"/>
    <n v="1558"/>
    <n v="839"/>
    <n v="6179"/>
    <n v="3"/>
    <n v="0"/>
    <n v="3480"/>
    <n v="23190"/>
    <n v="8928"/>
    <n v="9662"/>
  </r>
  <r>
    <s v="Monthly-AE-April-2024-revised.csv"/>
    <x v="0"/>
    <s v="RWF"/>
    <s v="NHS ENGLAND SOUTH EAST "/>
    <x v="118"/>
    <n v="17938"/>
    <n v="0"/>
    <n v="2136"/>
    <n v="718"/>
    <n v="0"/>
    <n v="172"/>
    <n v="3182"/>
    <n v="0"/>
    <n v="25"/>
    <n v="77"/>
    <n v="0"/>
    <n v="1"/>
    <n v="941"/>
    <n v="9"/>
    <n v="5320"/>
    <n v="0"/>
    <n v="0"/>
    <n v="995"/>
    <n v="20074"/>
    <n v="3207"/>
    <n v="6315"/>
  </r>
  <r>
    <s v="Monthly-AE-April-2024-revised.csv"/>
    <x v="0"/>
    <s v="RXK"/>
    <s v="NHS ENGLAND MIDLANDS "/>
    <x v="119"/>
    <n v="14441"/>
    <n v="1125"/>
    <n v="8898"/>
    <n v="999"/>
    <n v="0"/>
    <n v="0"/>
    <n v="6807"/>
    <n v="123"/>
    <n v="296"/>
    <n v="234"/>
    <n v="0"/>
    <n v="0"/>
    <n v="1567"/>
    <n v="409"/>
    <n v="2695"/>
    <n v="0"/>
    <n v="0"/>
    <n v="291"/>
    <n v="24464"/>
    <n v="7226"/>
    <n v="2986"/>
  </r>
  <r>
    <s v="Monthly-AE-April-2024-revised.csv"/>
    <x v="0"/>
    <s v="RXW"/>
    <s v="NHS ENGLAND MIDLANDS "/>
    <x v="120"/>
    <n v="10713"/>
    <n v="0"/>
    <n v="2246"/>
    <n v="0"/>
    <n v="0"/>
    <n v="0"/>
    <n v="6164"/>
    <n v="0"/>
    <n v="328"/>
    <n v="0"/>
    <n v="0"/>
    <n v="0"/>
    <n v="452"/>
    <n v="579"/>
    <n v="3008"/>
    <n v="0"/>
    <n v="45"/>
    <n v="2088"/>
    <n v="12959"/>
    <n v="6492"/>
    <n v="5141"/>
  </r>
  <r>
    <s v="Monthly-AE-April-2024-revised.csv"/>
    <x v="0"/>
    <s v="RY5"/>
    <s v="NHS ENGLAND MIDLANDS "/>
    <x v="121"/>
    <n v="0"/>
    <n v="0"/>
    <n v="8628"/>
    <n v="0"/>
    <n v="0"/>
    <n v="0"/>
    <n v="0"/>
    <n v="0"/>
    <n v="213"/>
    <n v="0"/>
    <n v="0"/>
    <n v="0"/>
    <n v="0"/>
    <n v="0"/>
    <n v="0"/>
    <n v="0"/>
    <n v="0"/>
    <n v="0"/>
    <n v="8628"/>
    <n v="213"/>
    <n v="0"/>
  </r>
  <r>
    <s v="Monthly-AE-April-2024-revised.csv"/>
    <x v="0"/>
    <s v="RYR"/>
    <s v="NHS ENGLAND SOUTH EAST "/>
    <x v="122"/>
    <n v="21306"/>
    <n v="1559"/>
    <n v="4897"/>
    <n v="1308"/>
    <n v="0"/>
    <n v="1095"/>
    <n v="9621"/>
    <n v="48"/>
    <n v="478"/>
    <n v="463"/>
    <n v="0"/>
    <n v="27"/>
    <n v="1533"/>
    <n v="1394"/>
    <n v="7759"/>
    <n v="24"/>
    <n v="30"/>
    <n v="1490"/>
    <n v="27762"/>
    <n v="10147"/>
    <n v="9303"/>
  </r>
  <r>
    <s v="Monthly-AE-April-2024-revised.csv"/>
    <x v="0"/>
    <s v="C82009"/>
    <s v="NHS ENGLAND MIDLANDS "/>
    <x v="123"/>
    <n v="0"/>
    <n v="0"/>
    <n v="296"/>
    <n v="0"/>
    <n v="0"/>
    <n v="0"/>
    <n v="0"/>
    <n v="0"/>
    <n v="0"/>
    <n v="0"/>
    <n v="0"/>
    <n v="0"/>
    <n v="0"/>
    <n v="0"/>
    <n v="0"/>
    <n v="0"/>
    <n v="0"/>
    <n v="0"/>
    <n v="296"/>
    <n v="0"/>
    <n v="0"/>
  </r>
  <r>
    <s v="Monthly-AE-April-2024-revised.csv"/>
    <x v="0"/>
    <s v="NNF09"/>
    <s v="NHS ENGLAND NORTH EAST AND YORKSHIRE "/>
    <x v="124"/>
    <n v="0"/>
    <n v="0"/>
    <n v="3849"/>
    <n v="0"/>
    <n v="0"/>
    <n v="0"/>
    <n v="0"/>
    <n v="0"/>
    <n v="908"/>
    <n v="0"/>
    <n v="0"/>
    <n v="0"/>
    <n v="0"/>
    <n v="0"/>
    <n v="0"/>
    <n v="0"/>
    <n v="0"/>
    <n v="0"/>
    <n v="3849"/>
    <n v="908"/>
    <n v="0"/>
  </r>
  <r>
    <s v="Monthly-AE-April-2024-revised.csv"/>
    <x v="0"/>
    <s v="NNF94"/>
    <s v="NHS ENGLAND NORTH EAST AND YORKSHIRE "/>
    <x v="125"/>
    <n v="0"/>
    <n v="0"/>
    <n v="2787"/>
    <n v="0"/>
    <n v="0"/>
    <n v="0"/>
    <n v="0"/>
    <n v="0"/>
    <n v="315"/>
    <n v="0"/>
    <n v="0"/>
    <n v="0"/>
    <n v="0"/>
    <n v="0"/>
    <n v="0"/>
    <n v="0"/>
    <n v="0"/>
    <n v="0"/>
    <n v="2787"/>
    <n v="315"/>
    <n v="0"/>
  </r>
  <r>
    <s v="Monthly-AE-April-2024-revised.csv"/>
    <x v="0"/>
    <s v="NNFA7"/>
    <s v="NHS ENGLAND NORTH EAST AND YORKSHIRE "/>
    <x v="126"/>
    <n v="0"/>
    <n v="0"/>
    <n v="1577"/>
    <n v="0"/>
    <n v="0"/>
    <n v="0"/>
    <n v="0"/>
    <n v="0"/>
    <n v="13"/>
    <n v="0"/>
    <n v="0"/>
    <n v="0"/>
    <n v="0"/>
    <n v="0"/>
    <n v="0"/>
    <n v="0"/>
    <n v="0"/>
    <n v="0"/>
    <n v="1577"/>
    <n v="13"/>
    <n v="0"/>
  </r>
  <r>
    <s v="Monthly-AE-April-2024-revised.csv"/>
    <x v="0"/>
    <s v="R1F"/>
    <s v="NHS ENGLAND SOUTH EAST "/>
    <x v="127"/>
    <n v="4088"/>
    <n v="0"/>
    <n v="2006"/>
    <n v="22"/>
    <n v="0"/>
    <n v="26"/>
    <n v="1779"/>
    <n v="0"/>
    <n v="1"/>
    <n v="10"/>
    <n v="0"/>
    <n v="0"/>
    <n v="185"/>
    <n v="50"/>
    <n v="1089"/>
    <n v="0"/>
    <n v="0"/>
    <n v="249"/>
    <n v="6094"/>
    <n v="1780"/>
    <n v="1338"/>
  </r>
  <r>
    <s v="Monthly-AE-April-2024-revised.csv"/>
    <x v="0"/>
    <s v="R1K"/>
    <s v="NHS ENGLAND LONDON"/>
    <x v="128"/>
    <n v="12755"/>
    <n v="0"/>
    <n v="14697"/>
    <n v="0"/>
    <n v="0"/>
    <n v="0"/>
    <n v="6154"/>
    <n v="0"/>
    <n v="181"/>
    <n v="0"/>
    <n v="0"/>
    <n v="0"/>
    <n v="673"/>
    <n v="686"/>
    <n v="6513"/>
    <n v="0"/>
    <n v="0"/>
    <n v="435"/>
    <n v="27452"/>
    <n v="6335"/>
    <n v="6948"/>
  </r>
  <r>
    <s v="Monthly-AE-April-2024-revised.csv"/>
    <x v="0"/>
    <s v="RAP"/>
    <s v="NHS ENGLAND LONDON"/>
    <x v="129"/>
    <n v="7727"/>
    <n v="516"/>
    <n v="7501"/>
    <n v="83"/>
    <n v="1"/>
    <n v="102"/>
    <n v="4606"/>
    <n v="1"/>
    <n v="911"/>
    <n v="44"/>
    <n v="0"/>
    <n v="14"/>
    <n v="199"/>
    <n v="834"/>
    <n v="1515"/>
    <n v="0"/>
    <n v="0"/>
    <n v="169"/>
    <n v="15744"/>
    <n v="5518"/>
    <n v="1684"/>
  </r>
  <r>
    <s v="Monthly-AE-April-2024-revised.csv"/>
    <x v="0"/>
    <s v="RBT"/>
    <s v="NHS ENGLAND NORTH WEST "/>
    <x v="130"/>
    <n v="6991"/>
    <n v="0"/>
    <n v="2496"/>
    <n v="158"/>
    <n v="0"/>
    <n v="83"/>
    <n v="3897"/>
    <n v="0"/>
    <n v="31"/>
    <n v="35"/>
    <n v="0"/>
    <n v="0"/>
    <n v="764"/>
    <n v="398"/>
    <n v="2453"/>
    <n v="0"/>
    <n v="0"/>
    <n v="1025"/>
    <n v="9487"/>
    <n v="3928"/>
    <n v="3478"/>
  </r>
  <r>
    <s v="Monthly-AE-April-2024-revised.csv"/>
    <x v="0"/>
    <s v="RC9"/>
    <s v="NHS ENGLAND EAST OF ENGLAND "/>
    <x v="131"/>
    <n v="15343"/>
    <n v="0"/>
    <n v="7895"/>
    <n v="0"/>
    <n v="0"/>
    <n v="1029"/>
    <n v="6075"/>
    <n v="0"/>
    <n v="0"/>
    <n v="0"/>
    <n v="0"/>
    <n v="0"/>
    <n v="80"/>
    <n v="22"/>
    <n v="4589"/>
    <n v="0"/>
    <n v="0"/>
    <n v="2122"/>
    <n v="23238"/>
    <n v="6075"/>
    <n v="6711"/>
  </r>
  <r>
    <s v="Monthly-AE-April-2024-revised.csv"/>
    <x v="0"/>
    <s v="RDE"/>
    <s v="NHS ENGLAND EAST OF ENGLAND "/>
    <x v="132"/>
    <n v="14264"/>
    <n v="0"/>
    <n v="12449"/>
    <n v="814"/>
    <n v="0"/>
    <n v="273"/>
    <n v="5880"/>
    <n v="0"/>
    <n v="172"/>
    <n v="0"/>
    <n v="0"/>
    <n v="0"/>
    <n v="1051"/>
    <n v="353"/>
    <n v="6088"/>
    <n v="0"/>
    <n v="331"/>
    <n v="985"/>
    <n v="26713"/>
    <n v="6052"/>
    <n v="7404"/>
  </r>
  <r>
    <s v="Monthly-AE-April-2024-revised.csv"/>
    <x v="0"/>
    <s v="RFS"/>
    <s v="NHS ENGLAND MIDLANDS "/>
    <x v="133"/>
    <n v="6813"/>
    <n v="0"/>
    <n v="1469"/>
    <n v="270"/>
    <n v="0"/>
    <n v="90"/>
    <n v="2969"/>
    <n v="0"/>
    <n v="202"/>
    <n v="99"/>
    <n v="0"/>
    <n v="3"/>
    <n v="894"/>
    <n v="142"/>
    <n v="2739"/>
    <n v="0"/>
    <n v="246"/>
    <n v="620"/>
    <n v="8282"/>
    <n v="3171"/>
    <n v="3605"/>
  </r>
  <r>
    <s v="Monthly-AE-April-2024-revised.csv"/>
    <x v="0"/>
    <s v="RHM"/>
    <s v="NHS ENGLAND SOUTH EAST "/>
    <x v="134"/>
    <n v="11282"/>
    <n v="1347"/>
    <n v="0"/>
    <n v="182"/>
    <n v="0"/>
    <n v="0"/>
    <n v="3842"/>
    <n v="70"/>
    <n v="0"/>
    <n v="52"/>
    <n v="0"/>
    <n v="0"/>
    <n v="387"/>
    <n v="13"/>
    <n v="3574"/>
    <n v="9"/>
    <n v="0"/>
    <n v="1552"/>
    <n v="12629"/>
    <n v="3912"/>
    <n v="5135"/>
  </r>
  <r>
    <s v="Monthly-AE-April-2024-revised.csv"/>
    <x v="0"/>
    <s v="RJ1"/>
    <s v="NHS ENGLAND LONDON"/>
    <x v="135"/>
    <n v="10365"/>
    <n v="767"/>
    <n v="6320"/>
    <n v="0"/>
    <n v="0"/>
    <n v="0"/>
    <n v="4172"/>
    <n v="0"/>
    <n v="248"/>
    <n v="0"/>
    <n v="0"/>
    <n v="0"/>
    <n v="153"/>
    <n v="34"/>
    <n v="2090"/>
    <n v="0"/>
    <n v="0"/>
    <n v="249"/>
    <n v="17452"/>
    <n v="4420"/>
    <n v="2339"/>
  </r>
  <r>
    <s v="Monthly-AE-April-2024-revised.csv"/>
    <x v="0"/>
    <s v="RJ6"/>
    <s v="NHS ENGLAND LONDON"/>
    <x v="136"/>
    <n v="12926"/>
    <n v="0"/>
    <n v="4996"/>
    <n v="17"/>
    <n v="0"/>
    <n v="0"/>
    <n v="4171"/>
    <n v="0"/>
    <n v="0"/>
    <n v="9"/>
    <n v="0"/>
    <n v="0"/>
    <n v="432"/>
    <n v="558"/>
    <n v="1380"/>
    <n v="0"/>
    <n v="0"/>
    <n v="96"/>
    <n v="17922"/>
    <n v="4171"/>
    <n v="1476"/>
  </r>
  <r>
    <s v="Monthly-AE-April-2024-revised.csv"/>
    <x v="0"/>
    <s v="RJ7"/>
    <s v="NHS ENGLAND LONDON"/>
    <x v="137"/>
    <n v="8344"/>
    <n v="0"/>
    <n v="3193"/>
    <n v="1017"/>
    <n v="0"/>
    <n v="0"/>
    <n v="2429"/>
    <n v="0"/>
    <n v="0"/>
    <n v="114"/>
    <n v="0"/>
    <n v="0"/>
    <n v="492"/>
    <n v="774"/>
    <n v="2435"/>
    <n v="0"/>
    <n v="0"/>
    <n v="816"/>
    <n v="11537"/>
    <n v="2429"/>
    <n v="3251"/>
  </r>
  <r>
    <s v="Monthly-AE-April-2024-revised.csv"/>
    <x v="0"/>
    <s v="RJC"/>
    <s v="NHS ENGLAND MIDLANDS "/>
    <x v="138"/>
    <n v="8132"/>
    <n v="0"/>
    <n v="409"/>
    <n v="17"/>
    <n v="0"/>
    <n v="0"/>
    <n v="2155"/>
    <n v="0"/>
    <n v="0"/>
    <n v="0"/>
    <n v="0"/>
    <n v="0"/>
    <n v="290"/>
    <n v="17"/>
    <n v="2297"/>
    <n v="0"/>
    <n v="0"/>
    <n v="697"/>
    <n v="8541"/>
    <n v="2155"/>
    <n v="2994"/>
  </r>
  <r>
    <s v="Monthly-AE-April-2024-revised.csv"/>
    <x v="0"/>
    <s v="RK9"/>
    <s v="NHS ENGLAND SOUTH WEST "/>
    <x v="139"/>
    <n v="8342"/>
    <n v="166"/>
    <n v="4652"/>
    <n v="0"/>
    <n v="0"/>
    <n v="0"/>
    <n v="5042"/>
    <n v="0"/>
    <n v="238"/>
    <n v="0"/>
    <n v="0"/>
    <n v="0"/>
    <n v="548"/>
    <n v="675"/>
    <n v="2740"/>
    <n v="0"/>
    <n v="0"/>
    <n v="1106"/>
    <n v="13160"/>
    <n v="5280"/>
    <n v="3846"/>
  </r>
  <r>
    <s v="Monthly-AE-April-2024-revised.csv"/>
    <x v="0"/>
    <s v="RKB"/>
    <s v="NHS ENGLAND MIDLANDS "/>
    <x v="140"/>
    <n v="11311"/>
    <n v="1904"/>
    <n v="7661"/>
    <n v="46"/>
    <n v="0"/>
    <n v="118"/>
    <n v="5329"/>
    <n v="66"/>
    <n v="243"/>
    <n v="18"/>
    <n v="0"/>
    <n v="1"/>
    <n v="267"/>
    <n v="90"/>
    <n v="2906"/>
    <n v="106"/>
    <n v="87"/>
    <n v="1640"/>
    <n v="20876"/>
    <n v="5638"/>
    <n v="4739"/>
  </r>
  <r>
    <s v="Monthly-AE-April-2024-revised.csv"/>
    <x v="0"/>
    <s v="RLT"/>
    <s v="NHS ENGLAND MIDLANDS "/>
    <x v="141"/>
    <n v="6653"/>
    <n v="0"/>
    <n v="1835"/>
    <n v="0"/>
    <n v="0"/>
    <n v="0"/>
    <n v="2101"/>
    <n v="0"/>
    <n v="43"/>
    <n v="0"/>
    <n v="0"/>
    <n v="0"/>
    <n v="505"/>
    <n v="254"/>
    <n v="936"/>
    <n v="0"/>
    <n v="0"/>
    <n v="37"/>
    <n v="8488"/>
    <n v="2144"/>
    <n v="973"/>
  </r>
  <r>
    <s v="Monthly-AE-April-2024-revised.csv"/>
    <x v="0"/>
    <s v="RM1"/>
    <s v="NHS ENGLAND EAST OF ENGLAND "/>
    <x v="142"/>
    <n v="11148"/>
    <n v="0"/>
    <n v="8817"/>
    <n v="464"/>
    <n v="0"/>
    <n v="0"/>
    <n v="3421"/>
    <n v="0"/>
    <n v="2"/>
    <n v="79"/>
    <n v="0"/>
    <n v="0"/>
    <n v="626"/>
    <n v="114"/>
    <n v="2512"/>
    <n v="0"/>
    <n v="0"/>
    <n v="1701"/>
    <n v="19965"/>
    <n v="3423"/>
    <n v="4213"/>
  </r>
  <r>
    <s v="Monthly-AE-April-2024-revised.csv"/>
    <x v="0"/>
    <s v="RMP"/>
    <s v="NHS ENGLAND NORTH WEST "/>
    <x v="143"/>
    <n v="7768"/>
    <n v="0"/>
    <n v="2645"/>
    <n v="445"/>
    <n v="0"/>
    <n v="260"/>
    <n v="3746"/>
    <n v="0"/>
    <n v="0"/>
    <n v="0"/>
    <n v="0"/>
    <n v="0"/>
    <n v="576"/>
    <n v="98"/>
    <n v="2368"/>
    <n v="0"/>
    <n v="0"/>
    <n v="636"/>
    <n v="10413"/>
    <n v="3746"/>
    <n v="3004"/>
  </r>
  <r>
    <s v="Monthly-AE-April-2024-revised.csv"/>
    <x v="0"/>
    <s v="RNZ"/>
    <s v="NHS ENGLAND SOUTH WEST "/>
    <x v="144"/>
    <n v="4179"/>
    <n v="350"/>
    <n v="1880"/>
    <n v="313"/>
    <n v="0"/>
    <n v="0"/>
    <n v="1707"/>
    <n v="0"/>
    <n v="0"/>
    <n v="104"/>
    <n v="0"/>
    <n v="0"/>
    <n v="469"/>
    <n v="6"/>
    <n v="1378"/>
    <n v="0"/>
    <n v="0"/>
    <n v="887"/>
    <n v="6409"/>
    <n v="1707"/>
    <n v="2265"/>
  </r>
  <r>
    <s v="Monthly-AE-April-2024-revised.csv"/>
    <x v="0"/>
    <s v="RP5"/>
    <s v="NHS ENGLAND NORTH EAST AND YORKSHIRE "/>
    <x v="145"/>
    <n v="12754"/>
    <n v="0"/>
    <n v="3328"/>
    <n v="0"/>
    <n v="0"/>
    <n v="0"/>
    <n v="4103"/>
    <n v="0"/>
    <n v="0"/>
    <n v="0"/>
    <n v="0"/>
    <n v="0"/>
    <n v="783"/>
    <n v="168"/>
    <n v="3995"/>
    <n v="0"/>
    <n v="419"/>
    <n v="1075"/>
    <n v="16082"/>
    <n v="4103"/>
    <n v="5489"/>
  </r>
  <r>
    <s v="Monthly-AE-April-2024-revised.csv"/>
    <x v="0"/>
    <s v="RPA"/>
    <s v="NHS ENGLAND SOUTH EAST "/>
    <x v="146"/>
    <n v="8540"/>
    <n v="0"/>
    <n v="6817"/>
    <n v="367"/>
    <n v="0"/>
    <n v="1147"/>
    <n v="2638"/>
    <n v="0"/>
    <n v="480"/>
    <n v="77"/>
    <n v="0"/>
    <n v="0"/>
    <n v="414"/>
    <n v="521"/>
    <n v="2277"/>
    <n v="0"/>
    <n v="0"/>
    <n v="1202"/>
    <n v="15357"/>
    <n v="3118"/>
    <n v="3479"/>
  </r>
  <r>
    <s v="Monthly-AE-April-2024-revised.csv"/>
    <x v="0"/>
    <s v="RQM"/>
    <s v="NHS ENGLAND LONDON"/>
    <x v="147"/>
    <n v="18886"/>
    <n v="0"/>
    <n v="5831"/>
    <n v="901"/>
    <n v="0"/>
    <n v="0"/>
    <n v="4549"/>
    <n v="0"/>
    <n v="128"/>
    <n v="0"/>
    <n v="0"/>
    <n v="0"/>
    <n v="905"/>
    <n v="26"/>
    <n v="2657"/>
    <n v="0"/>
    <n v="0"/>
    <n v="370"/>
    <n v="24717"/>
    <n v="4677"/>
    <n v="3027"/>
  </r>
  <r>
    <s v="Monthly-AE-April-2024-revised.csv"/>
    <x v="0"/>
    <s v="RQW"/>
    <s v="NHS ENGLAND EAST OF ENGLAND "/>
    <x v="148"/>
    <n v="7323"/>
    <n v="0"/>
    <n v="1962"/>
    <n v="0"/>
    <n v="0"/>
    <n v="766"/>
    <n v="3558"/>
    <n v="0"/>
    <n v="0"/>
    <n v="0"/>
    <n v="0"/>
    <n v="0"/>
    <n v="583"/>
    <n v="202"/>
    <n v="2161"/>
    <n v="0"/>
    <n v="0"/>
    <n v="433"/>
    <n v="9285"/>
    <n v="3558"/>
    <n v="2594"/>
  </r>
  <r>
    <s v="Monthly-AE-April-2024-revised.csv"/>
    <x v="0"/>
    <s v="RR8"/>
    <s v="NHS ENGLAND NORTH EAST AND YORKSHIRE "/>
    <x v="149"/>
    <n v="16864"/>
    <n v="746"/>
    <n v="11864"/>
    <n v="43"/>
    <n v="0"/>
    <n v="46"/>
    <n v="6569"/>
    <n v="0"/>
    <n v="88"/>
    <n v="11"/>
    <n v="0"/>
    <n v="0"/>
    <n v="1838"/>
    <n v="203"/>
    <n v="3688"/>
    <n v="0"/>
    <n v="0"/>
    <n v="1242"/>
    <n v="29474"/>
    <n v="6657"/>
    <n v="4930"/>
  </r>
  <r>
    <s v="Monthly-AE-April-2024-revised.csv"/>
    <x v="0"/>
    <s v="RRF"/>
    <s v="NHS ENGLAND NORTH WEST "/>
    <x v="150"/>
    <n v="7150"/>
    <n v="0"/>
    <n v="5383"/>
    <n v="0"/>
    <n v="0"/>
    <n v="0"/>
    <n v="3557"/>
    <n v="0"/>
    <n v="30"/>
    <n v="0"/>
    <n v="0"/>
    <n v="0"/>
    <n v="1069"/>
    <n v="516"/>
    <n v="2087"/>
    <n v="0"/>
    <n v="0"/>
    <n v="819"/>
    <n v="12533"/>
    <n v="3587"/>
    <n v="2906"/>
  </r>
  <r>
    <s v="Monthly-AE-April-2024-revised.csv"/>
    <x v="0"/>
    <s v="RTE"/>
    <s v="NHS ENGLAND SOUTH WEST "/>
    <x v="151"/>
    <n v="12328"/>
    <n v="0"/>
    <n v="0"/>
    <n v="212"/>
    <n v="0"/>
    <n v="0"/>
    <n v="5098"/>
    <n v="0"/>
    <n v="0"/>
    <n v="64"/>
    <n v="0"/>
    <n v="0"/>
    <n v="308"/>
    <n v="859"/>
    <n v="2669"/>
    <n v="0"/>
    <n v="0"/>
    <n v="1865"/>
    <n v="12328"/>
    <n v="5098"/>
    <n v="4534"/>
  </r>
  <r>
    <s v="Monthly-AE-April-2024-revised.csv"/>
    <x v="0"/>
    <s v="RTF"/>
    <s v="NHS ENGLAND NORTH EAST AND YORKSHIRE "/>
    <x v="152"/>
    <n v="9458"/>
    <n v="0"/>
    <n v="12043"/>
    <n v="0"/>
    <n v="0"/>
    <n v="0"/>
    <n v="3071"/>
    <n v="0"/>
    <n v="0"/>
    <n v="0"/>
    <n v="0"/>
    <n v="0"/>
    <n v="79"/>
    <n v="3"/>
    <n v="4336"/>
    <n v="0"/>
    <n v="37"/>
    <n v="1623"/>
    <n v="21501"/>
    <n v="3071"/>
    <n v="5996"/>
  </r>
  <r>
    <s v="Monthly-AE-April-2024-revised.csv"/>
    <x v="0"/>
    <s v="RTR"/>
    <s v="NHS ENGLAND NORTH EAST AND YORKSHIRE "/>
    <x v="153"/>
    <n v="7825"/>
    <n v="0"/>
    <n v="9064"/>
    <n v="0"/>
    <n v="0"/>
    <n v="965"/>
    <n v="3915"/>
    <n v="0"/>
    <n v="480"/>
    <n v="0"/>
    <n v="0"/>
    <n v="70"/>
    <n v="418"/>
    <n v="28"/>
    <n v="2644"/>
    <n v="0"/>
    <n v="98"/>
    <n v="2153"/>
    <n v="16889"/>
    <n v="4395"/>
    <n v="4895"/>
  </r>
  <r>
    <s v="Monthly-AE-April-2024-revised.csv"/>
    <x v="0"/>
    <s v="RVR"/>
    <s v="NHS ENGLAND LONDON"/>
    <x v="154"/>
    <n v="10936"/>
    <n v="323"/>
    <n v="1477"/>
    <n v="371"/>
    <n v="1"/>
    <n v="33"/>
    <n v="2995"/>
    <n v="0"/>
    <n v="70"/>
    <n v="40"/>
    <n v="0"/>
    <n v="0"/>
    <n v="263"/>
    <n v="651"/>
    <n v="1833"/>
    <n v="3"/>
    <n v="0"/>
    <n v="112"/>
    <n v="12736"/>
    <n v="3065"/>
    <n v="1948"/>
  </r>
  <r>
    <s v="Monthly-AE-April-2024-revised.csv"/>
    <x v="0"/>
    <s v="RVV"/>
    <s v="NHS ENGLAND SOUTH EAST "/>
    <x v="155"/>
    <n v="12256"/>
    <n v="0"/>
    <n v="11721"/>
    <n v="0"/>
    <n v="0"/>
    <n v="0"/>
    <n v="6442"/>
    <n v="0"/>
    <n v="310"/>
    <n v="0"/>
    <n v="0"/>
    <n v="0"/>
    <n v="482"/>
    <n v="1207"/>
    <n v="3541"/>
    <n v="0"/>
    <n v="510"/>
    <n v="1047"/>
    <n v="23977"/>
    <n v="6752"/>
    <n v="5098"/>
  </r>
  <r>
    <s v="Monthly-AE-April-2024-revised.csv"/>
    <x v="0"/>
    <s v="RWD"/>
    <s v="NHS ENGLAND MIDLANDS "/>
    <x v="156"/>
    <n v="9608"/>
    <n v="0"/>
    <n v="10108"/>
    <n v="2"/>
    <n v="0"/>
    <n v="0"/>
    <n v="6171"/>
    <n v="0"/>
    <n v="1081"/>
    <n v="1"/>
    <n v="0"/>
    <n v="0"/>
    <n v="1090"/>
    <n v="693"/>
    <n v="4148"/>
    <n v="0"/>
    <n v="0"/>
    <n v="1203"/>
    <n v="19716"/>
    <n v="7252"/>
    <n v="5351"/>
  </r>
  <r>
    <s v="Monthly-AE-April-2024-revised.csv"/>
    <x v="0"/>
    <s v="RWH"/>
    <s v="NHS ENGLAND EAST OF ENGLAND "/>
    <x v="157"/>
    <n v="8880"/>
    <n v="0"/>
    <n v="6559"/>
    <n v="12"/>
    <n v="0"/>
    <n v="420"/>
    <n v="4928"/>
    <n v="0"/>
    <n v="54"/>
    <n v="7"/>
    <n v="0"/>
    <n v="4"/>
    <n v="175"/>
    <n v="22"/>
    <n v="3219"/>
    <n v="0"/>
    <n v="67"/>
    <n v="255"/>
    <n v="15439"/>
    <n v="4982"/>
    <n v="3541"/>
  </r>
  <r>
    <s v="Monthly-AE-April-2024-revised.csv"/>
    <x v="0"/>
    <s v="RWJ"/>
    <s v="NHS ENGLAND NORTH WEST "/>
    <x v="158"/>
    <n v="7129"/>
    <n v="0"/>
    <n v="1004"/>
    <n v="496"/>
    <n v="0"/>
    <n v="153"/>
    <n v="3027"/>
    <n v="0"/>
    <n v="16"/>
    <n v="189"/>
    <n v="0"/>
    <n v="1"/>
    <n v="756"/>
    <n v="308"/>
    <n v="2388"/>
    <n v="0"/>
    <n v="82"/>
    <n v="750"/>
    <n v="8133"/>
    <n v="3043"/>
    <n v="3220"/>
  </r>
  <r>
    <s v="Monthly-AE-April-2024-revised.csv"/>
    <x v="0"/>
    <s v="RWW"/>
    <s v="NHS ENGLAND NORTH WEST "/>
    <x v="159"/>
    <n v="6727"/>
    <n v="0"/>
    <n v="3182"/>
    <n v="284"/>
    <n v="0"/>
    <n v="126"/>
    <n v="3288"/>
    <n v="0"/>
    <n v="52"/>
    <n v="109"/>
    <n v="0"/>
    <n v="2"/>
    <n v="664"/>
    <n v="651"/>
    <n v="1807"/>
    <n v="0"/>
    <n v="0"/>
    <n v="239"/>
    <n v="9909"/>
    <n v="3340"/>
    <n v="2046"/>
  </r>
  <r>
    <s v="Monthly-AE-April-2024-revised.csv"/>
    <x v="0"/>
    <s v="RXF"/>
    <s v="NHS ENGLAND NORTH EAST AND YORKSHIRE "/>
    <x v="160"/>
    <n v="17513"/>
    <n v="162"/>
    <n v="5006"/>
    <n v="120"/>
    <n v="0"/>
    <n v="100"/>
    <n v="7000"/>
    <n v="0"/>
    <n v="473"/>
    <n v="11"/>
    <n v="0"/>
    <n v="5"/>
    <n v="2264"/>
    <n v="114"/>
    <n v="3563"/>
    <n v="0"/>
    <n v="149"/>
    <n v="899"/>
    <n v="22681"/>
    <n v="7473"/>
    <n v="4611"/>
  </r>
  <r>
    <s v="Monthly-AE-April-2024-revised.csv"/>
    <x v="0"/>
    <s v="RXP"/>
    <s v="NHS ENGLAND NORTH EAST AND YORKSHIRE "/>
    <x v="161"/>
    <n v="12647"/>
    <n v="0"/>
    <n v="4146"/>
    <n v="0"/>
    <n v="0"/>
    <n v="6275"/>
    <n v="5388"/>
    <n v="0"/>
    <n v="0"/>
    <n v="0"/>
    <n v="0"/>
    <n v="0"/>
    <n v="2269"/>
    <n v="13"/>
    <n v="4306"/>
    <n v="0"/>
    <n v="0"/>
    <n v="742"/>
    <n v="16793"/>
    <n v="5388"/>
    <n v="5048"/>
  </r>
  <r>
    <s v="Monthly-AE-April-2024-revised.csv"/>
    <x v="0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6"/>
    <n v="55"/>
    <n v="0"/>
    <n v="0"/>
    <n v="61"/>
  </r>
  <r>
    <s v="Monthly-AE-April-2024-revised.csv"/>
    <x v="0"/>
    <s v="RYJ"/>
    <s v="NHS ENGLAND LONDON"/>
    <x v="163"/>
    <n v="11395"/>
    <n v="3944"/>
    <n v="6932"/>
    <n v="0"/>
    <n v="0"/>
    <n v="387"/>
    <n v="4969"/>
    <n v="33"/>
    <n v="392"/>
    <n v="0"/>
    <n v="0"/>
    <n v="0"/>
    <n v="669"/>
    <n v="152"/>
    <n v="4019"/>
    <n v="0"/>
    <n v="0"/>
    <n v="1112"/>
    <n v="22271"/>
    <n v="5394"/>
    <n v="5131"/>
  </r>
  <r>
    <s v="Monthly-AE-April-2024-revised.csv"/>
    <x v="0"/>
    <s v="ARN03"/>
    <s v="NHS ENGLAND NORTH EAST AND YORKSHIRE "/>
    <x v="164"/>
    <n v="0"/>
    <n v="0"/>
    <n v="2189"/>
    <n v="0"/>
    <n v="0"/>
    <n v="305"/>
    <n v="0"/>
    <n v="0"/>
    <n v="0"/>
    <n v="0"/>
    <n v="0"/>
    <n v="0"/>
    <n v="0"/>
    <n v="0"/>
    <n v="0"/>
    <n v="0"/>
    <n v="0"/>
    <n v="0"/>
    <n v="2189"/>
    <n v="0"/>
    <n v="0"/>
  </r>
  <r>
    <s v="Monthly-AE-April-2024-revised.csv"/>
    <x v="0"/>
    <s v="RD1"/>
    <s v="NHS ENGLAND SOUTH WEST "/>
    <x v="165"/>
    <n v="8258"/>
    <n v="0"/>
    <n v="0"/>
    <n v="0"/>
    <n v="0"/>
    <n v="0"/>
    <n v="3304"/>
    <n v="0"/>
    <n v="0"/>
    <n v="0"/>
    <n v="0"/>
    <n v="0"/>
    <n v="772"/>
    <n v="39"/>
    <n v="2421"/>
    <n v="0"/>
    <n v="14"/>
    <n v="1602"/>
    <n v="8258"/>
    <n v="3304"/>
    <n v="4037"/>
  </r>
  <r>
    <s v="Monthly-AE-April-2024-revised.csv"/>
    <x v="0"/>
    <s v="RDR"/>
    <s v="NHS ENGLAND SOUTH EAST "/>
    <x v="166"/>
    <n v="0"/>
    <n v="0"/>
    <n v="12252"/>
    <n v="0"/>
    <n v="0"/>
    <n v="0"/>
    <n v="0"/>
    <n v="0"/>
    <n v="394"/>
    <n v="0"/>
    <n v="0"/>
    <n v="0"/>
    <n v="0"/>
    <n v="0"/>
    <n v="0"/>
    <n v="0"/>
    <n v="0"/>
    <n v="0"/>
    <n v="12252"/>
    <n v="394"/>
    <n v="0"/>
  </r>
  <r>
    <s v="Monthly-AE-April-2024-revised.csv"/>
    <x v="0"/>
    <s v="RF4"/>
    <s v="NHS ENGLAND LONDON"/>
    <x v="167"/>
    <n v="12585"/>
    <n v="2426"/>
    <n v="13415"/>
    <n v="0"/>
    <n v="0"/>
    <n v="0"/>
    <n v="5543"/>
    <n v="378"/>
    <n v="292"/>
    <n v="0"/>
    <n v="0"/>
    <n v="0"/>
    <n v="721"/>
    <n v="657"/>
    <n v="7837"/>
    <n v="0"/>
    <n v="0"/>
    <n v="475"/>
    <n v="28426"/>
    <n v="6213"/>
    <n v="8312"/>
  </r>
  <r>
    <s v="Monthly-AE-April-2024-revised.csv"/>
    <x v="0"/>
    <s v="RHQ"/>
    <s v="NHS ENGLAND NORTH EAST AND YORKSHIRE "/>
    <x v="168"/>
    <n v="8906"/>
    <n v="1137"/>
    <n v="7457"/>
    <n v="401"/>
    <n v="1"/>
    <n v="1151"/>
    <n v="4356"/>
    <n v="0"/>
    <n v="172"/>
    <n v="175"/>
    <n v="0"/>
    <n v="22"/>
    <n v="1236"/>
    <n v="5"/>
    <n v="3737"/>
    <n v="0"/>
    <n v="0"/>
    <n v="2799"/>
    <n v="17500"/>
    <n v="4528"/>
    <n v="6536"/>
  </r>
  <r>
    <s v="Monthly-AE-April-2024-revised.csv"/>
    <x v="0"/>
    <s v="RJ2"/>
    <s v="NHS ENGLAND LONDON"/>
    <x v="169"/>
    <n v="13071"/>
    <n v="0"/>
    <n v="11391"/>
    <n v="36"/>
    <n v="0"/>
    <n v="0"/>
    <n v="7203"/>
    <n v="0"/>
    <n v="1446"/>
    <n v="5"/>
    <n v="0"/>
    <n v="0"/>
    <n v="1091"/>
    <n v="733"/>
    <n v="3639"/>
    <n v="0"/>
    <n v="0"/>
    <n v="1341"/>
    <n v="24462"/>
    <n v="8649"/>
    <n v="4980"/>
  </r>
  <r>
    <s v="Monthly-AE-April-2024-revised.csv"/>
    <x v="0"/>
    <s v="RKE"/>
    <s v="NHS ENGLAND LONDON"/>
    <x v="170"/>
    <n v="8958"/>
    <n v="0"/>
    <n v="0"/>
    <n v="0"/>
    <n v="0"/>
    <n v="0"/>
    <n v="2515"/>
    <n v="0"/>
    <n v="0"/>
    <n v="0"/>
    <n v="0"/>
    <n v="0"/>
    <n v="196"/>
    <n v="428"/>
    <n v="1004"/>
    <n v="0"/>
    <n v="0"/>
    <n v="44"/>
    <n v="8958"/>
    <n v="2515"/>
    <n v="1048"/>
  </r>
  <r>
    <s v="Monthly-AE-April-2024-revised.csv"/>
    <x v="0"/>
    <s v="RN7"/>
    <s v="NHS ENGLAND SOUTH EAST "/>
    <x v="171"/>
    <n v="10890"/>
    <n v="0"/>
    <n v="3474"/>
    <n v="0"/>
    <n v="0"/>
    <n v="0"/>
    <n v="3338"/>
    <n v="0"/>
    <n v="61"/>
    <n v="0"/>
    <n v="0"/>
    <n v="0"/>
    <n v="909"/>
    <n v="120"/>
    <n v="2813"/>
    <n v="0"/>
    <n v="0"/>
    <n v="433"/>
    <n v="14364"/>
    <n v="3399"/>
    <n v="3246"/>
  </r>
  <r>
    <s v="Monthly-AE-April-2024-revised.csv"/>
    <x v="0"/>
    <s v="RTX"/>
    <s v="NHS ENGLAND NORTH WEST "/>
    <x v="172"/>
    <n v="8617"/>
    <n v="0"/>
    <n v="2740"/>
    <n v="148"/>
    <n v="0"/>
    <n v="632"/>
    <n v="2626"/>
    <n v="0"/>
    <n v="104"/>
    <n v="32"/>
    <n v="0"/>
    <n v="40"/>
    <n v="511"/>
    <n v="354"/>
    <n v="2977"/>
    <n v="0"/>
    <n v="17"/>
    <n v="966"/>
    <n v="11357"/>
    <n v="2730"/>
    <n v="3960"/>
  </r>
  <r>
    <s v="Monthly-AE-April-2024-revised.csv"/>
    <x v="0"/>
    <s v="RWX"/>
    <s v="NHS ENGLAND SOUTH EAST "/>
    <x v="173"/>
    <n v="0"/>
    <n v="0"/>
    <n v="1440"/>
    <n v="0"/>
    <n v="0"/>
    <n v="0"/>
    <n v="0"/>
    <n v="0"/>
    <n v="21"/>
    <n v="0"/>
    <n v="0"/>
    <n v="0"/>
    <n v="0"/>
    <n v="0"/>
    <n v="0"/>
    <n v="0"/>
    <n v="38"/>
    <n v="0"/>
    <n v="1440"/>
    <n v="21"/>
    <n v="38"/>
  </r>
  <r>
    <s v="Monthly-AE-April-2024-revised.csv"/>
    <x v="0"/>
    <s v="RBN"/>
    <s v="NHS ENGLAND NORTH WEST "/>
    <x v="174"/>
    <n v="16959"/>
    <n v="0"/>
    <n v="7515"/>
    <n v="414"/>
    <n v="0"/>
    <n v="0"/>
    <n v="7393"/>
    <n v="0"/>
    <n v="169"/>
    <n v="59"/>
    <n v="0"/>
    <n v="0"/>
    <n v="563"/>
    <n v="302"/>
    <n v="7177"/>
    <n v="0"/>
    <n v="0"/>
    <n v="613"/>
    <n v="24474"/>
    <n v="7562"/>
    <n v="7790"/>
  </r>
  <r>
    <s v="Monthly-AE-April-2024-revised.csv"/>
    <x v="0"/>
    <s v="RH5"/>
    <s v="NHS ENGLAND SOUTH WEST "/>
    <x v="175"/>
    <n v="12901"/>
    <n v="0"/>
    <n v="9795"/>
    <n v="0"/>
    <n v="0"/>
    <n v="1"/>
    <n v="4809"/>
    <n v="0"/>
    <n v="111"/>
    <n v="0"/>
    <n v="0"/>
    <n v="0"/>
    <n v="433"/>
    <n v="20"/>
    <n v="3336"/>
    <n v="0"/>
    <n v="0"/>
    <n v="2148"/>
    <n v="22696"/>
    <n v="4920"/>
    <n v="5484"/>
  </r>
  <r>
    <s v="Monthly-AE-April-2024-revised.csv"/>
    <x v="0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72"/>
    <n v="0"/>
    <n v="0"/>
    <n v="172"/>
  </r>
  <r>
    <s v="Monthly-AE-April-2024-revised.csv"/>
    <x v="0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0"/>
    <n v="23"/>
  </r>
  <r>
    <s v="Monthly-AE-April-2024-revised.csv"/>
    <x v="0"/>
    <s v="RMC"/>
    <s v="NHS ENGLAND NORTH WEST "/>
    <x v="178"/>
    <n v="7570"/>
    <n v="0"/>
    <n v="3317"/>
    <n v="124"/>
    <n v="0"/>
    <n v="145"/>
    <n v="4055"/>
    <n v="0"/>
    <n v="312"/>
    <n v="46"/>
    <n v="0"/>
    <n v="5"/>
    <n v="484"/>
    <n v="656"/>
    <n v="2272"/>
    <n v="0"/>
    <n v="63"/>
    <n v="761"/>
    <n v="10887"/>
    <n v="4367"/>
    <n v="3096"/>
  </r>
  <r>
    <s v="Monthly-AE-April-2024-revised.csv"/>
    <x v="0"/>
    <s v="RN3"/>
    <s v="NHS ENGLAND SOUTH WEST "/>
    <x v="179"/>
    <n v="5212"/>
    <n v="0"/>
    <n v="5502"/>
    <n v="0"/>
    <n v="0"/>
    <n v="171"/>
    <n v="2283"/>
    <n v="0"/>
    <n v="339"/>
    <n v="0"/>
    <n v="0"/>
    <n v="1"/>
    <n v="431"/>
    <n v="118"/>
    <n v="2261"/>
    <n v="0"/>
    <n v="0"/>
    <n v="1425"/>
    <n v="10714"/>
    <n v="2622"/>
    <n v="3686"/>
  </r>
  <r>
    <s v="Monthly-AE-April-2024-revised.csv"/>
    <x v="0"/>
    <s v="RTD"/>
    <s v="NHS ENGLAND NORTH EAST AND YORKSHIRE "/>
    <x v="180"/>
    <n v="11690"/>
    <n v="1659"/>
    <n v="5200"/>
    <n v="0"/>
    <n v="0"/>
    <n v="783"/>
    <n v="5019"/>
    <n v="161"/>
    <n v="0"/>
    <n v="0"/>
    <n v="0"/>
    <n v="0"/>
    <n v="683"/>
    <n v="122"/>
    <n v="3477"/>
    <n v="28"/>
    <n v="0"/>
    <n v="2948"/>
    <n v="18549"/>
    <n v="5180"/>
    <n v="6453"/>
  </r>
  <r>
    <s v="Monthly-AE-April-2024-revised.csv"/>
    <x v="0"/>
    <s v="R0A"/>
    <s v="NHS ENGLAND NORTH WEST "/>
    <x v="181"/>
    <n v="23565"/>
    <n v="3203"/>
    <n v="11520"/>
    <n v="3030"/>
    <n v="522"/>
    <n v="968"/>
    <n v="11068"/>
    <n v="93"/>
    <n v="737"/>
    <n v="1294"/>
    <n v="12"/>
    <n v="93"/>
    <n v="3573"/>
    <n v="623"/>
    <n v="5256"/>
    <n v="170"/>
    <n v="148"/>
    <n v="503"/>
    <n v="38288"/>
    <n v="11898"/>
    <n v="6077"/>
  </r>
  <r>
    <s v="Monthly-AE-April-2024-revised.csv"/>
    <x v="0"/>
    <s v="RAS"/>
    <s v="NHS ENGLAND LONDON"/>
    <x v="182"/>
    <n v="5629"/>
    <n v="0"/>
    <n v="6741"/>
    <n v="0"/>
    <n v="0"/>
    <n v="0"/>
    <n v="2550"/>
    <n v="0"/>
    <n v="41"/>
    <n v="0"/>
    <n v="0"/>
    <n v="0"/>
    <n v="302"/>
    <n v="16"/>
    <n v="2720"/>
    <n v="0"/>
    <n v="0"/>
    <n v="191"/>
    <n v="12370"/>
    <n v="2591"/>
    <n v="2911"/>
  </r>
  <r>
    <s v="Monthly-AE-April-2024-revised.csv"/>
    <x v="0"/>
    <s v="RBL"/>
    <s v="NHS ENGLAND NORTH WEST "/>
    <x v="183"/>
    <n v="7595"/>
    <n v="0"/>
    <n v="2639"/>
    <n v="125"/>
    <n v="0"/>
    <n v="183"/>
    <n v="3922"/>
    <n v="0"/>
    <n v="47"/>
    <n v="43"/>
    <n v="0"/>
    <n v="5"/>
    <n v="723"/>
    <n v="362"/>
    <n v="2175"/>
    <n v="0"/>
    <n v="0"/>
    <n v="1712"/>
    <n v="10234"/>
    <n v="3969"/>
    <n v="3887"/>
  </r>
  <r>
    <s v="Monthly-AE-April-2024-revised.csv"/>
    <x v="0"/>
    <s v="RCD"/>
    <s v="NHS ENGLAND NORTH EAST AND YORKSHIRE "/>
    <x v="184"/>
    <n v="4751"/>
    <n v="0"/>
    <n v="835"/>
    <n v="209"/>
    <n v="0"/>
    <n v="23"/>
    <n v="1543"/>
    <n v="0"/>
    <n v="1"/>
    <n v="47"/>
    <n v="0"/>
    <n v="0"/>
    <n v="320"/>
    <n v="66"/>
    <n v="1257"/>
    <n v="0"/>
    <n v="0"/>
    <n v="457"/>
    <n v="5586"/>
    <n v="1544"/>
    <n v="1714"/>
  </r>
  <r>
    <s v="Monthly-AE-April-2024-revised.csv"/>
    <x v="0"/>
    <s v="RCX"/>
    <s v="NHS ENGLAND EAST OF ENGLAND "/>
    <x v="185"/>
    <n v="6228"/>
    <n v="0"/>
    <n v="1182"/>
    <n v="31"/>
    <n v="0"/>
    <n v="0"/>
    <n v="2119"/>
    <n v="0"/>
    <n v="0"/>
    <n v="7"/>
    <n v="0"/>
    <n v="0"/>
    <n v="352"/>
    <n v="142"/>
    <n v="2283"/>
    <n v="0"/>
    <n v="0"/>
    <n v="652"/>
    <n v="7410"/>
    <n v="2119"/>
    <n v="2935"/>
  </r>
  <r>
    <s v="Monthly-AE-April-2024-revised.csv"/>
    <x v="0"/>
    <s v="RH8"/>
    <s v="NHS ENGLAND SOUTH WEST "/>
    <x v="186"/>
    <n v="11828"/>
    <n v="503"/>
    <n v="3905"/>
    <n v="1217"/>
    <n v="0"/>
    <n v="47"/>
    <n v="3836"/>
    <n v="45"/>
    <n v="45"/>
    <n v="399"/>
    <n v="0"/>
    <n v="0"/>
    <n v="840"/>
    <n v="20"/>
    <n v="4125"/>
    <n v="0"/>
    <n v="0"/>
    <n v="2202"/>
    <n v="16236"/>
    <n v="3926"/>
    <n v="6327"/>
  </r>
  <r>
    <s v="Monthly-AE-April-2024-revised.csv"/>
    <x v="0"/>
    <s v="RHW"/>
    <s v="NHS ENGLAND SOUTH EAST "/>
    <x v="187"/>
    <n v="11556"/>
    <n v="2317"/>
    <n v="0"/>
    <n v="631"/>
    <n v="27"/>
    <n v="0"/>
    <n v="4261"/>
    <n v="17"/>
    <n v="0"/>
    <n v="184"/>
    <n v="0"/>
    <n v="0"/>
    <n v="722"/>
    <n v="0"/>
    <n v="2510"/>
    <n v="1"/>
    <n v="0"/>
    <n v="887"/>
    <n v="13873"/>
    <n v="4278"/>
    <n v="3398"/>
  </r>
  <r>
    <s v="Monthly-AE-April-2024-revised.csv"/>
    <x v="0"/>
    <s v="RJL"/>
    <s v="NHS ENGLAND NORTH EAST AND YORKSHIRE "/>
    <x v="188"/>
    <n v="15035"/>
    <n v="0"/>
    <n v="489"/>
    <n v="0"/>
    <n v="0"/>
    <n v="0"/>
    <n v="3943"/>
    <n v="0"/>
    <n v="2"/>
    <n v="0"/>
    <n v="0"/>
    <n v="0"/>
    <n v="594"/>
    <n v="723"/>
    <n v="4816"/>
    <n v="0"/>
    <n v="0"/>
    <n v="356"/>
    <n v="15524"/>
    <n v="3945"/>
    <n v="5172"/>
  </r>
  <r>
    <s v="Monthly-AE-April-2024-revised.csv"/>
    <x v="0"/>
    <s v="RQ3"/>
    <s v="NHS ENGLAND MIDLANDS "/>
    <x v="189"/>
    <n v="5028"/>
    <n v="0"/>
    <n v="0"/>
    <n v="0"/>
    <n v="0"/>
    <n v="0"/>
    <n v="859"/>
    <n v="0"/>
    <n v="0"/>
    <n v="0"/>
    <n v="0"/>
    <n v="0"/>
    <n v="0"/>
    <n v="6"/>
    <n v="990"/>
    <n v="0"/>
    <n v="0"/>
    <n v="179"/>
    <n v="5028"/>
    <n v="859"/>
    <n v="1169"/>
  </r>
  <r>
    <s v="Monthly-AE-April-2024-revised.csv"/>
    <x v="0"/>
    <s v="C83023"/>
    <s v="NHS ENGLAND MIDLANDS "/>
    <x v="190"/>
    <n v="0"/>
    <n v="0"/>
    <n v="773"/>
    <n v="0"/>
    <n v="0"/>
    <n v="0"/>
    <n v="0"/>
    <n v="0"/>
    <n v="0"/>
    <n v="0"/>
    <n v="0"/>
    <n v="0"/>
    <n v="0"/>
    <n v="0"/>
    <n v="0"/>
    <n v="0"/>
    <n v="0"/>
    <n v="3"/>
    <n v="773"/>
    <n v="0"/>
    <n v="3"/>
  </r>
  <r>
    <s v="Monthly-AE-April-2024-revised.csv"/>
    <x v="0"/>
    <s v="NNJ14"/>
    <s v="NHS ENGLAND MIDLANDS "/>
    <x v="191"/>
    <n v="0"/>
    <n v="0"/>
    <n v="353"/>
    <n v="0"/>
    <n v="0"/>
    <n v="2256"/>
    <n v="0"/>
    <n v="0"/>
    <n v="0"/>
    <n v="0"/>
    <n v="0"/>
    <n v="0"/>
    <n v="0"/>
    <n v="0"/>
    <n v="0"/>
    <n v="0"/>
    <n v="0"/>
    <n v="0"/>
    <n v="353"/>
    <n v="0"/>
    <n v="0"/>
  </r>
  <r>
    <s v="Monthly-AE-April-2024-revised.csv"/>
    <x v="0"/>
    <s v="RGR"/>
    <s v="NHS ENGLAND EAST OF ENGLAND "/>
    <x v="192"/>
    <n v="7275"/>
    <n v="0"/>
    <n v="702"/>
    <n v="42"/>
    <n v="0"/>
    <n v="0"/>
    <n v="2688"/>
    <n v="0"/>
    <n v="0"/>
    <n v="0"/>
    <n v="0"/>
    <n v="0"/>
    <n v="567"/>
    <n v="531"/>
    <n v="1968"/>
    <n v="0"/>
    <n v="0"/>
    <n v="593"/>
    <n v="7977"/>
    <n v="2688"/>
    <n v="2561"/>
  </r>
  <r>
    <s v="Monthly-AE-April-2024-revised.csv"/>
    <x v="0"/>
    <s v="RM3"/>
    <s v="NHS ENGLAND NORTH WEST "/>
    <x v="193"/>
    <n v="24552"/>
    <n v="0"/>
    <n v="8892"/>
    <n v="0"/>
    <n v="0"/>
    <n v="0"/>
    <n v="10220"/>
    <n v="0"/>
    <n v="233"/>
    <n v="0"/>
    <n v="0"/>
    <n v="0"/>
    <n v="1230"/>
    <n v="782"/>
    <n v="7145"/>
    <n v="0"/>
    <n v="454"/>
    <n v="1643"/>
    <n v="33444"/>
    <n v="10453"/>
    <n v="9242"/>
  </r>
  <r>
    <s v="Monthly-AE-April-2024-revised.csv"/>
    <x v="0"/>
    <s v="RHU"/>
    <s v="NHS ENGLAND SOUTH EAST "/>
    <x v="194"/>
    <n v="9965"/>
    <n v="803"/>
    <n v="3105"/>
    <n v="1335"/>
    <n v="0"/>
    <n v="819"/>
    <n v="4851"/>
    <n v="4"/>
    <n v="70"/>
    <n v="687"/>
    <n v="0"/>
    <n v="14"/>
    <n v="1470"/>
    <n v="14"/>
    <n v="3503"/>
    <n v="0"/>
    <n v="0"/>
    <n v="2536"/>
    <n v="13873"/>
    <n v="4925"/>
    <n v="6039"/>
  </r>
  <r>
    <s v="Monthly-AE-April-2024-revised.csv"/>
    <x v="0"/>
    <s v="NLX"/>
    <s v="NHS ENGLAND SOUTH WEST "/>
    <x v="195"/>
    <n v="0"/>
    <n v="0"/>
    <n v="8116"/>
    <n v="0"/>
    <n v="0"/>
    <n v="242"/>
    <n v="0"/>
    <n v="0"/>
    <n v="498"/>
    <n v="0"/>
    <n v="0"/>
    <n v="40"/>
    <n v="0"/>
    <n v="0"/>
    <n v="0"/>
    <n v="0"/>
    <n v="0"/>
    <n v="0"/>
    <n v="8116"/>
    <n v="498"/>
    <n v="0"/>
  </r>
  <r>
    <s v="Monthly-AE-April-2024-revised.csv"/>
    <x v="0"/>
    <s v="RTH"/>
    <s v="NHS ENGLAND SOUTH EAST "/>
    <x v="196"/>
    <n v="11325"/>
    <n v="1862"/>
    <n v="2329"/>
    <n v="1397"/>
    <n v="0"/>
    <n v="100"/>
    <n v="3965"/>
    <n v="0"/>
    <n v="8"/>
    <n v="353"/>
    <n v="0"/>
    <n v="0"/>
    <n v="687"/>
    <n v="0"/>
    <n v="4141"/>
    <n v="125"/>
    <n v="23"/>
    <n v="4439"/>
    <n v="15516"/>
    <n v="3973"/>
    <n v="8728"/>
  </r>
  <r>
    <s v="Monthly-AE-April-2024-revised.csv"/>
    <x v="1"/>
    <s v="Total "/>
    <s v="Total "/>
    <x v="197"/>
    <n v="1341059"/>
    <n v="50804"/>
    <n v="771286"/>
    <n v="30969"/>
    <n v="691"/>
    <n v="45859"/>
    <n v="534979"/>
    <n v="1866"/>
    <n v="26223"/>
    <n v="7976"/>
    <n v="12"/>
    <n v="629"/>
    <n v="92266"/>
    <n v="42078"/>
    <n v="398116"/>
    <n v="1442"/>
    <n v="4376"/>
    <n v="140179"/>
    <n v="2163149"/>
    <n v="563068"/>
    <n v="544113"/>
  </r>
  <r>
    <s v="Monthly-AE-August-2024.csv"/>
    <x v="2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40"/>
  </r>
  <r>
    <s v="Monthly-AE-August-2024.csv"/>
    <x v="2"/>
    <s v="RW1"/>
    <s v="NHS ENGLAND SOUTH EAST "/>
    <x v="46"/>
    <n v="0"/>
    <n v="0"/>
    <n v="2876"/>
    <n v="0"/>
    <n v="0"/>
    <n v="0"/>
    <n v="0"/>
    <n v="0"/>
    <n v="27"/>
    <n v="0"/>
    <n v="0"/>
    <n v="0"/>
    <n v="0"/>
    <n v="0"/>
    <n v="0"/>
    <n v="0"/>
    <n v="1"/>
    <n v="151"/>
    <n v="2876"/>
    <n v="27"/>
    <n v="152"/>
  </r>
  <r>
    <s v="Monthly-AE-August-2024.csv"/>
    <x v="2"/>
    <s v="RWY"/>
    <s v="NHS ENGLAND NORTH EAST AND YORKSHIRE "/>
    <x v="10"/>
    <n v="14746"/>
    <n v="0"/>
    <n v="0"/>
    <n v="0"/>
    <n v="0"/>
    <n v="0"/>
    <n v="4154"/>
    <n v="0"/>
    <n v="0"/>
    <n v="0"/>
    <n v="0"/>
    <n v="0"/>
    <n v="884"/>
    <n v="2"/>
    <n v="2882"/>
    <n v="0"/>
    <n v="0"/>
    <n v="381"/>
    <n v="14746"/>
    <n v="4154"/>
    <n v="3263"/>
  </r>
  <r>
    <s v="Monthly-AE-August-2024.csv"/>
    <x v="2"/>
    <s v="C82009"/>
    <s v="NHS ENGLAND MIDLANDS "/>
    <x v="123"/>
    <n v="0"/>
    <n v="0"/>
    <n v="280"/>
    <n v="0"/>
    <n v="0"/>
    <n v="0"/>
    <n v="0"/>
    <n v="0"/>
    <n v="0"/>
    <n v="0"/>
    <n v="0"/>
    <n v="0"/>
    <n v="0"/>
    <n v="0"/>
    <n v="0"/>
    <n v="0"/>
    <n v="0"/>
    <n v="0"/>
    <n v="280"/>
    <n v="0"/>
    <n v="0"/>
  </r>
  <r>
    <s v="Monthly-AE-August-2024.csv"/>
    <x v="2"/>
    <s v="C82038"/>
    <s v="NHS ENGLAND MIDLANDS "/>
    <x v="31"/>
    <n v="0"/>
    <n v="0"/>
    <n v="355"/>
    <n v="0"/>
    <n v="0"/>
    <n v="0"/>
    <n v="0"/>
    <n v="0"/>
    <n v="0"/>
    <n v="0"/>
    <n v="0"/>
    <n v="0"/>
    <n v="0"/>
    <n v="0"/>
    <n v="0"/>
    <n v="0"/>
    <n v="0"/>
    <n v="0"/>
    <n v="355"/>
    <n v="0"/>
    <n v="0"/>
  </r>
  <r>
    <s v="Monthly-AE-August-2024.csv"/>
    <x v="2"/>
    <s v="G0Q0L"/>
    <s v="NHS ENGLAND LONDON"/>
    <x v="32"/>
    <n v="0"/>
    <n v="0"/>
    <n v="2493"/>
    <n v="0"/>
    <n v="0"/>
    <n v="0"/>
    <n v="0"/>
    <n v="0"/>
    <n v="6"/>
    <n v="0"/>
    <n v="0"/>
    <n v="0"/>
    <n v="0"/>
    <n v="0"/>
    <n v="0"/>
    <n v="0"/>
    <n v="0"/>
    <n v="0"/>
    <n v="2493"/>
    <n v="6"/>
    <n v="0"/>
  </r>
  <r>
    <s v="Monthly-AE-August-2024.csv"/>
    <x v="2"/>
    <s v="K6K0R"/>
    <s v="NHS ENGLAND LONDON"/>
    <x v="33"/>
    <n v="0"/>
    <n v="0"/>
    <n v="2641"/>
    <n v="0"/>
    <n v="0"/>
    <n v="0"/>
    <n v="0"/>
    <n v="0"/>
    <n v="7"/>
    <n v="0"/>
    <n v="0"/>
    <n v="0"/>
    <n v="0"/>
    <n v="0"/>
    <n v="0"/>
    <n v="0"/>
    <n v="0"/>
    <n v="0"/>
    <n v="2641"/>
    <n v="7"/>
    <n v="0"/>
  </r>
  <r>
    <s v="Monthly-AE-August-2024.csv"/>
    <x v="2"/>
    <s v="NL7"/>
    <s v="NHS ENGLAND MIDLANDS "/>
    <x v="95"/>
    <n v="0"/>
    <n v="0"/>
    <n v="3772"/>
    <n v="0"/>
    <n v="0"/>
    <n v="0"/>
    <n v="0"/>
    <n v="0"/>
    <n v="0"/>
    <n v="0"/>
    <n v="0"/>
    <n v="0"/>
    <n v="0"/>
    <n v="0"/>
    <n v="0"/>
    <n v="0"/>
    <n v="0"/>
    <n v="0"/>
    <n v="3772"/>
    <n v="0"/>
    <n v="0"/>
  </r>
  <r>
    <s v="Monthly-AE-August-2024.csv"/>
    <x v="2"/>
    <s v="NQT5F"/>
    <s v="NHS ENGLAND NORTH WEST "/>
    <x v="20"/>
    <n v="0"/>
    <n v="0"/>
    <n v="1619"/>
    <n v="0"/>
    <n v="0"/>
    <n v="0"/>
    <n v="0"/>
    <n v="0"/>
    <n v="2"/>
    <n v="0"/>
    <n v="0"/>
    <n v="0"/>
    <n v="0"/>
    <n v="0"/>
    <n v="0"/>
    <n v="0"/>
    <n v="0"/>
    <n v="0"/>
    <n v="1619"/>
    <n v="2"/>
    <n v="0"/>
  </r>
  <r>
    <s v="Monthly-AE-August-2024.csv"/>
    <x v="2"/>
    <s v="NQT5H"/>
    <s v="NHS ENGLAND SOUTH WEST "/>
    <x v="21"/>
    <n v="0"/>
    <n v="0"/>
    <n v="1035"/>
    <n v="0"/>
    <n v="0"/>
    <n v="0"/>
    <n v="0"/>
    <n v="0"/>
    <n v="8"/>
    <n v="0"/>
    <n v="0"/>
    <n v="0"/>
    <n v="0"/>
    <n v="0"/>
    <n v="0"/>
    <n v="0"/>
    <n v="0"/>
    <n v="0"/>
    <n v="1035"/>
    <n v="8"/>
    <n v="0"/>
  </r>
  <r>
    <s v="Monthly-AE-August-2024.csv"/>
    <x v="2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</r>
  <r>
    <s v="Monthly-AE-August-2024.csv"/>
    <x v="2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17"/>
    <n v="65"/>
    <n v="0"/>
    <n v="0"/>
    <n v="82"/>
  </r>
  <r>
    <s v="Monthly-AE-August-2024.csv"/>
    <x v="2"/>
    <s v="RYF"/>
    <s v="NHS ENGLAND SOUTH WEST "/>
    <x v="74"/>
    <n v="0"/>
    <n v="0"/>
    <n v="1676"/>
    <n v="0"/>
    <n v="0"/>
    <n v="0"/>
    <n v="0"/>
    <n v="0"/>
    <n v="133"/>
    <n v="0"/>
    <n v="0"/>
    <n v="0"/>
    <n v="0"/>
    <n v="0"/>
    <n v="0"/>
    <n v="0"/>
    <n v="0"/>
    <n v="0"/>
    <n v="1676"/>
    <n v="133"/>
    <n v="0"/>
  </r>
  <r>
    <s v="Monthly-AE-August-2024.csv"/>
    <x v="2"/>
    <s v="RYY"/>
    <s v="NHS ENGLAND SOUTH EAST "/>
    <x v="48"/>
    <n v="0"/>
    <n v="0"/>
    <n v="15433"/>
    <n v="0"/>
    <n v="0"/>
    <n v="0"/>
    <n v="0"/>
    <n v="0"/>
    <n v="90"/>
    <n v="0"/>
    <n v="0"/>
    <n v="0"/>
    <n v="0"/>
    <n v="0"/>
    <n v="0"/>
    <n v="0"/>
    <n v="0"/>
    <n v="0"/>
    <n v="15433"/>
    <n v="90"/>
    <n v="0"/>
  </r>
  <r>
    <s v="Monthly-AE-August-2024.csv"/>
    <x v="2"/>
    <s v="Y02147"/>
    <s v="NHS ENGLAND LONDON"/>
    <x v="29"/>
    <n v="0"/>
    <n v="0"/>
    <n v="7179"/>
    <n v="0"/>
    <n v="0"/>
    <n v="491"/>
    <n v="0"/>
    <n v="0"/>
    <n v="55"/>
    <n v="0"/>
    <n v="0"/>
    <n v="1"/>
    <n v="0"/>
    <n v="0"/>
    <n v="0"/>
    <n v="0"/>
    <n v="0"/>
    <n v="0"/>
    <n v="7179"/>
    <n v="55"/>
    <n v="0"/>
  </r>
  <r>
    <s v="Monthly-AE-August-2024.csv"/>
    <x v="2"/>
    <s v="Y02532"/>
    <s v="NHS ENGLAND NORTH WEST "/>
    <x v="15"/>
    <n v="0"/>
    <n v="0"/>
    <n v="1532"/>
    <n v="0"/>
    <n v="0"/>
    <n v="0"/>
    <n v="0"/>
    <n v="0"/>
    <n v="0"/>
    <n v="0"/>
    <n v="0"/>
    <n v="0"/>
    <n v="0"/>
    <n v="0"/>
    <n v="0"/>
    <n v="0"/>
    <n v="0"/>
    <n v="0"/>
    <n v="1532"/>
    <n v="0"/>
    <n v="0"/>
  </r>
  <r>
    <s v="Monthly-AE-August-2024.csv"/>
    <x v="2"/>
    <s v="8J094"/>
    <s v="NHS ENGLAND MIDLANDS "/>
    <x v="2"/>
    <n v="0"/>
    <n v="0"/>
    <n v="0"/>
    <n v="0"/>
    <n v="0"/>
    <n v="2100"/>
    <n v="0"/>
    <n v="0"/>
    <n v="0"/>
    <n v="0"/>
    <n v="0"/>
    <n v="0"/>
    <n v="0"/>
    <n v="0"/>
    <n v="0"/>
    <n v="0"/>
    <n v="0"/>
    <n v="0"/>
    <n v="0"/>
    <n v="0"/>
    <n v="0"/>
  </r>
  <r>
    <s v="Monthly-AE-August-2024.csv"/>
    <x v="2"/>
    <s v="AQN04"/>
    <s v="NHS ENGLAND SOUTH EAST "/>
    <x v="4"/>
    <n v="0"/>
    <n v="0"/>
    <n v="3066"/>
    <n v="0"/>
    <n v="0"/>
    <n v="11"/>
    <n v="0"/>
    <n v="0"/>
    <n v="8"/>
    <n v="0"/>
    <n v="0"/>
    <n v="0"/>
    <n v="0"/>
    <n v="0"/>
    <n v="0"/>
    <n v="0"/>
    <n v="0"/>
    <n v="0"/>
    <n v="3066"/>
    <n v="8"/>
    <n v="0"/>
  </r>
  <r>
    <s v="Monthly-AE-August-2024.csv"/>
    <x v="2"/>
    <s v="DT301"/>
    <s v="NHS ENGLAND EAST OF ENGLAND "/>
    <x v="19"/>
    <n v="0"/>
    <n v="0"/>
    <n v="2150"/>
    <n v="0"/>
    <n v="0"/>
    <n v="0"/>
    <n v="0"/>
    <n v="0"/>
    <n v="47"/>
    <n v="0"/>
    <n v="0"/>
    <n v="0"/>
    <n v="0"/>
    <n v="0"/>
    <n v="0"/>
    <n v="0"/>
    <n v="0"/>
    <n v="0"/>
    <n v="2150"/>
    <n v="47"/>
    <n v="0"/>
  </r>
  <r>
    <s v="Monthly-AE-August-2024.csv"/>
    <x v="2"/>
    <s v="NQTE4"/>
    <s v="NHS ENGLAND MIDLANDS "/>
    <x v="6"/>
    <n v="0"/>
    <n v="0"/>
    <n v="2889"/>
    <n v="0"/>
    <n v="0"/>
    <n v="0"/>
    <n v="0"/>
    <n v="0"/>
    <n v="0"/>
    <n v="0"/>
    <n v="0"/>
    <n v="0"/>
    <n v="0"/>
    <n v="0"/>
    <n v="0"/>
    <n v="0"/>
    <n v="0"/>
    <n v="0"/>
    <n v="2889"/>
    <n v="0"/>
    <n v="0"/>
  </r>
  <r>
    <s v="Monthly-AE-August-2024.csv"/>
    <x v="2"/>
    <s v="NTV0B"/>
    <s v="NHS ENGLAND SOUTH EAST "/>
    <x v="23"/>
    <n v="0"/>
    <n v="0"/>
    <n v="2331"/>
    <n v="0"/>
    <n v="0"/>
    <n v="0"/>
    <n v="0"/>
    <n v="0"/>
    <n v="20"/>
    <n v="0"/>
    <n v="0"/>
    <n v="0"/>
    <n v="0"/>
    <n v="0"/>
    <n v="0"/>
    <n v="0"/>
    <n v="0"/>
    <n v="0"/>
    <n v="2331"/>
    <n v="20"/>
    <n v="0"/>
  </r>
  <r>
    <s v="Monthly-AE-August-2024.csv"/>
    <x v="2"/>
    <s v="NTV0W"/>
    <s v="NHS ENGLAND SOUTH EAST "/>
    <x v="24"/>
    <n v="0"/>
    <n v="0"/>
    <n v="2491"/>
    <n v="0"/>
    <n v="0"/>
    <n v="0"/>
    <n v="0"/>
    <n v="0"/>
    <n v="36"/>
    <n v="0"/>
    <n v="0"/>
    <n v="0"/>
    <n v="0"/>
    <n v="0"/>
    <n v="0"/>
    <n v="0"/>
    <n v="0"/>
    <n v="0"/>
    <n v="2491"/>
    <n v="36"/>
    <n v="0"/>
  </r>
  <r>
    <s v="Monthly-AE-August-2024.csv"/>
    <x v="2"/>
    <s v="NV693"/>
    <s v="NHS ENGLAND NORTH WEST "/>
    <x v="76"/>
    <n v="0"/>
    <n v="0"/>
    <n v="1053"/>
    <n v="0"/>
    <n v="0"/>
    <n v="0"/>
    <n v="0"/>
    <n v="0"/>
    <n v="0"/>
    <n v="0"/>
    <n v="0"/>
    <n v="0"/>
    <n v="0"/>
    <n v="0"/>
    <n v="0"/>
    <n v="0"/>
    <n v="0"/>
    <n v="0"/>
    <n v="1053"/>
    <n v="0"/>
    <n v="0"/>
  </r>
  <r>
    <s v="Monthly-AE-August-2024.csv"/>
    <x v="2"/>
    <s v="RA9"/>
    <s v="NHS ENGLAND SOUTH WEST "/>
    <x v="7"/>
    <n v="6432"/>
    <n v="0"/>
    <n v="3643"/>
    <n v="396"/>
    <n v="0"/>
    <n v="176"/>
    <n v="2930"/>
    <n v="0"/>
    <n v="27"/>
    <n v="160"/>
    <n v="0"/>
    <n v="2"/>
    <n v="318"/>
    <n v="33"/>
    <n v="2114"/>
    <n v="0"/>
    <n v="0"/>
    <n v="1134"/>
    <n v="10075"/>
    <n v="2957"/>
    <n v="3248"/>
  </r>
  <r>
    <s v="Monthly-AE-August-2024.csv"/>
    <x v="2"/>
    <s v="RFF"/>
    <s v="NHS ENGLAND NORTH EAST AND YORKSHIRE "/>
    <x v="26"/>
    <n v="8490"/>
    <n v="0"/>
    <n v="0"/>
    <n v="46"/>
    <n v="0"/>
    <n v="0"/>
    <n v="1896"/>
    <n v="0"/>
    <n v="0"/>
    <n v="0"/>
    <n v="0"/>
    <n v="0"/>
    <n v="224"/>
    <n v="0"/>
    <n v="2878"/>
    <n v="0"/>
    <n v="0"/>
    <n v="489"/>
    <n v="8490"/>
    <n v="1896"/>
    <n v="3367"/>
  </r>
  <r>
    <s v="Monthly-AE-August-2024.csv"/>
    <x v="2"/>
    <s v="RV9"/>
    <s v="NHS ENGLAND NORTH EAST AND YORKSHIRE "/>
    <x v="67"/>
    <n v="0"/>
    <n v="0"/>
    <n v="1116"/>
    <n v="0"/>
    <n v="0"/>
    <n v="66"/>
    <n v="0"/>
    <n v="0"/>
    <n v="6"/>
    <n v="0"/>
    <n v="0"/>
    <n v="1"/>
    <n v="0"/>
    <n v="0"/>
    <n v="0"/>
    <n v="0"/>
    <n v="0"/>
    <n v="0"/>
    <n v="1116"/>
    <n v="6"/>
    <n v="0"/>
  </r>
  <r>
    <s v="Monthly-AE-August-2024.csv"/>
    <x v="2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0"/>
    <n v="120"/>
  </r>
  <r>
    <s v="Monthly-AE-August-2024.csv"/>
    <x v="2"/>
    <s v="RY5"/>
    <s v="NHS ENGLAND MIDLANDS "/>
    <x v="121"/>
    <n v="0"/>
    <n v="0"/>
    <n v="8664"/>
    <n v="0"/>
    <n v="0"/>
    <n v="0"/>
    <n v="0"/>
    <n v="0"/>
    <n v="434"/>
    <n v="0"/>
    <n v="0"/>
    <n v="0"/>
    <n v="0"/>
    <n v="0"/>
    <n v="0"/>
    <n v="0"/>
    <n v="0"/>
    <n v="0"/>
    <n v="8664"/>
    <n v="434"/>
    <n v="0"/>
  </r>
  <r>
    <s v="Monthly-AE-August-2024.csv"/>
    <x v="2"/>
    <s v="RY8"/>
    <s v="NHS ENGLAND MIDLANDS "/>
    <x v="13"/>
    <n v="0"/>
    <n v="0"/>
    <n v="6151"/>
    <n v="0"/>
    <n v="0"/>
    <n v="1504"/>
    <n v="0"/>
    <n v="0"/>
    <n v="34"/>
    <n v="0"/>
    <n v="0"/>
    <n v="2"/>
    <n v="0"/>
    <n v="0"/>
    <n v="0"/>
    <n v="0"/>
    <n v="0"/>
    <n v="0"/>
    <n v="6151"/>
    <n v="34"/>
    <n v="0"/>
  </r>
  <r>
    <s v="Monthly-AE-August-2024.csv"/>
    <x v="2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August-2024.csv"/>
    <x v="2"/>
    <s v="Y02615"/>
    <s v="NHS ENGLAND MIDLANDS "/>
    <x v="16"/>
    <n v="0"/>
    <n v="0"/>
    <n v="6192"/>
    <n v="0"/>
    <n v="0"/>
    <n v="0"/>
    <n v="0"/>
    <n v="0"/>
    <n v="0"/>
    <n v="0"/>
    <n v="0"/>
    <n v="0"/>
    <n v="0"/>
    <n v="0"/>
    <n v="0"/>
    <n v="0"/>
    <n v="0"/>
    <n v="0"/>
    <n v="6192"/>
    <n v="0"/>
    <n v="0"/>
  </r>
  <r>
    <s v="Monthly-AE-August-2024.csv"/>
    <x v="2"/>
    <s v="Y03007"/>
    <s v="NHS ENGLAND MIDLANDS "/>
    <x v="17"/>
    <n v="0"/>
    <n v="0"/>
    <n v="0"/>
    <n v="0"/>
    <n v="0"/>
    <n v="1942"/>
    <n v="0"/>
    <n v="0"/>
    <n v="0"/>
    <n v="0"/>
    <n v="0"/>
    <n v="0"/>
    <n v="0"/>
    <n v="0"/>
    <n v="0"/>
    <n v="0"/>
    <n v="0"/>
    <n v="0"/>
    <n v="0"/>
    <n v="0"/>
    <n v="0"/>
  </r>
  <r>
    <s v="Monthly-AE-August-2024.csv"/>
    <x v="2"/>
    <s v="Y03218"/>
    <s v="NHS ENGLAND LONDON"/>
    <x v="18"/>
    <n v="0"/>
    <n v="0"/>
    <n v="1074"/>
    <n v="0"/>
    <n v="0"/>
    <n v="0"/>
    <n v="0"/>
    <n v="0"/>
    <n v="0"/>
    <n v="0"/>
    <n v="0"/>
    <n v="0"/>
    <n v="0"/>
    <n v="0"/>
    <n v="0"/>
    <n v="0"/>
    <n v="0"/>
    <n v="0"/>
    <n v="1074"/>
    <n v="0"/>
    <n v="0"/>
  </r>
  <r>
    <s v="Monthly-AE-August-2024.csv"/>
    <x v="2"/>
    <s v="AAH"/>
    <s v="NHS ENGLAND SOUTH WEST "/>
    <x v="0"/>
    <n v="0"/>
    <n v="0"/>
    <n v="552"/>
    <n v="0"/>
    <n v="0"/>
    <n v="0"/>
    <n v="0"/>
    <n v="0"/>
    <n v="0"/>
    <n v="0"/>
    <n v="0"/>
    <n v="0"/>
    <n v="0"/>
    <n v="0"/>
    <n v="0"/>
    <n v="0"/>
    <n v="0"/>
    <n v="0"/>
    <n v="552"/>
    <n v="0"/>
    <n v="0"/>
  </r>
  <r>
    <s v="Monthly-AE-August-2024.csv"/>
    <x v="2"/>
    <s v="NDJ"/>
    <s v="NHS ENGLAND SOUTH EAST "/>
    <x v="51"/>
    <n v="0"/>
    <n v="0"/>
    <n v="2361"/>
    <n v="0"/>
    <n v="0"/>
    <n v="0"/>
    <n v="0"/>
    <n v="0"/>
    <n v="0"/>
    <n v="0"/>
    <n v="0"/>
    <n v="0"/>
    <n v="0"/>
    <n v="0"/>
    <n v="0"/>
    <n v="0"/>
    <n v="0"/>
    <n v="0"/>
    <n v="2361"/>
    <n v="0"/>
    <n v="0"/>
  </r>
  <r>
    <s v="Monthly-AE-August-2024.csv"/>
    <x v="2"/>
    <s v="NQT51"/>
    <s v="NHS ENGLAND SOUTH EAST "/>
    <x v="39"/>
    <n v="0"/>
    <n v="0"/>
    <n v="1151"/>
    <n v="0"/>
    <n v="0"/>
    <n v="0"/>
    <n v="0"/>
    <n v="0"/>
    <n v="0"/>
    <n v="0"/>
    <n v="0"/>
    <n v="0"/>
    <n v="0"/>
    <n v="0"/>
    <n v="0"/>
    <n v="0"/>
    <n v="0"/>
    <n v="0"/>
    <n v="1151"/>
    <n v="0"/>
    <n v="0"/>
  </r>
  <r>
    <s v="Monthly-AE-August-2024.csv"/>
    <x v="2"/>
    <s v="R0B"/>
    <s v="NHS ENGLAND NORTH EAST AND YORKSHIRE "/>
    <x v="44"/>
    <n v="10568"/>
    <n v="1333"/>
    <n v="5515"/>
    <n v="441"/>
    <n v="0"/>
    <n v="1275"/>
    <n v="4269"/>
    <n v="37"/>
    <n v="108"/>
    <n v="188"/>
    <n v="0"/>
    <n v="10"/>
    <n v="450"/>
    <n v="1"/>
    <n v="4184"/>
    <n v="13"/>
    <n v="0"/>
    <n v="1155"/>
    <n v="17416"/>
    <n v="4414"/>
    <n v="5352"/>
  </r>
  <r>
    <s v="Monthly-AE-August-2024.csv"/>
    <x v="2"/>
    <s v="RGR"/>
    <s v="NHS ENGLAND EAST OF ENGLAND "/>
    <x v="192"/>
    <n v="7363"/>
    <n v="0"/>
    <n v="712"/>
    <n v="63"/>
    <n v="0"/>
    <n v="0"/>
    <n v="2488"/>
    <n v="0"/>
    <n v="0"/>
    <n v="0"/>
    <n v="0"/>
    <n v="0"/>
    <n v="465"/>
    <n v="260"/>
    <n v="1950"/>
    <n v="0"/>
    <n v="0"/>
    <n v="555"/>
    <n v="8075"/>
    <n v="2488"/>
    <n v="2505"/>
  </r>
  <r>
    <s v="Monthly-AE-August-2024.csv"/>
    <x v="2"/>
    <s v="RJN"/>
    <s v="NHS ENGLAND NORTH WEST "/>
    <x v="40"/>
    <n v="4125"/>
    <n v="0"/>
    <n v="0"/>
    <n v="89"/>
    <n v="0"/>
    <n v="37"/>
    <n v="1995"/>
    <n v="0"/>
    <n v="0"/>
    <n v="0"/>
    <n v="0"/>
    <n v="0"/>
    <n v="186"/>
    <n v="70"/>
    <n v="867"/>
    <n v="0"/>
    <n v="0"/>
    <n v="170"/>
    <n v="4125"/>
    <n v="1995"/>
    <n v="1037"/>
  </r>
  <r>
    <s v="Monthly-AE-August-2024.csv"/>
    <x v="2"/>
    <s v="RK9"/>
    <s v="NHS ENGLAND SOUTH WEST "/>
    <x v="139"/>
    <n v="8907"/>
    <n v="144"/>
    <n v="5284"/>
    <n v="0"/>
    <n v="0"/>
    <n v="0"/>
    <n v="4568"/>
    <n v="0"/>
    <n v="57"/>
    <n v="0"/>
    <n v="0"/>
    <n v="0"/>
    <n v="690"/>
    <n v="297"/>
    <n v="2956"/>
    <n v="0"/>
    <n v="0"/>
    <n v="1252"/>
    <n v="14335"/>
    <n v="4625"/>
    <n v="4208"/>
  </r>
  <r>
    <s v="Monthly-AE-August-2024.csv"/>
    <x v="2"/>
    <s v="RNU"/>
    <s v="NHS ENGLAND SOUTH EAST "/>
    <x v="112"/>
    <n v="0"/>
    <n v="0"/>
    <n v="3643"/>
    <n v="0"/>
    <n v="0"/>
    <n v="0"/>
    <n v="0"/>
    <n v="0"/>
    <n v="308"/>
    <n v="0"/>
    <n v="0"/>
    <n v="0"/>
    <n v="0"/>
    <n v="0"/>
    <n v="0"/>
    <n v="0"/>
    <n v="0"/>
    <n v="0"/>
    <n v="3643"/>
    <n v="308"/>
    <n v="0"/>
  </r>
  <r>
    <s v="Monthly-AE-August-2024.csv"/>
    <x v="2"/>
    <s v="Y07709"/>
    <s v="NHS ENGLAND SOUTH EAST "/>
    <x v="38"/>
    <n v="0"/>
    <n v="0"/>
    <n v="2115"/>
    <n v="0"/>
    <n v="0"/>
    <n v="0"/>
    <n v="0"/>
    <n v="0"/>
    <n v="0"/>
    <n v="0"/>
    <n v="0"/>
    <n v="0"/>
    <n v="0"/>
    <n v="0"/>
    <n v="0"/>
    <n v="0"/>
    <n v="0"/>
    <n v="0"/>
    <n v="2115"/>
    <n v="0"/>
    <n v="0"/>
  </r>
  <r>
    <s v="Monthly-AE-August-2024.csv"/>
    <x v="2"/>
    <s v="L83087"/>
    <s v="NHS ENGLAND SOUTH WEST "/>
    <x v="5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96"/>
    <n v="0"/>
    <n v="0"/>
  </r>
  <r>
    <s v="Monthly-AE-August-2024.csv"/>
    <x v="2"/>
    <s v="NTP11"/>
    <s v="NHS ENGLAND SOUTH EAST "/>
    <x v="34"/>
    <n v="0"/>
    <n v="0"/>
    <n v="5004"/>
    <n v="0"/>
    <n v="0"/>
    <n v="0"/>
    <n v="0"/>
    <n v="0"/>
    <n v="163"/>
    <n v="0"/>
    <n v="0"/>
    <n v="0"/>
    <n v="0"/>
    <n v="0"/>
    <n v="0"/>
    <n v="0"/>
    <n v="0"/>
    <n v="0"/>
    <n v="5004"/>
    <n v="163"/>
    <n v="0"/>
  </r>
  <r>
    <s v="Monthly-AE-August-2024.csv"/>
    <x v="2"/>
    <s v="RA2"/>
    <s v="NHS ENGLAND SOUTH EAST "/>
    <x v="97"/>
    <n v="6150"/>
    <n v="0"/>
    <n v="1404"/>
    <n v="587"/>
    <n v="0"/>
    <n v="14"/>
    <n v="758"/>
    <n v="0"/>
    <n v="0"/>
    <n v="49"/>
    <n v="0"/>
    <n v="0"/>
    <n v="60"/>
    <n v="0"/>
    <n v="2479"/>
    <n v="0"/>
    <n v="0"/>
    <n v="992"/>
    <n v="7554"/>
    <n v="758"/>
    <n v="3471"/>
  </r>
  <r>
    <s v="Monthly-AE-August-2024.csv"/>
    <x v="2"/>
    <s v="REM"/>
    <s v="NHS ENGLAND NORTH WEST "/>
    <x v="35"/>
    <n v="14900"/>
    <n v="1770"/>
    <n v="7379"/>
    <n v="376"/>
    <n v="0"/>
    <n v="0"/>
    <n v="6858"/>
    <n v="62"/>
    <n v="102"/>
    <n v="73"/>
    <n v="0"/>
    <n v="0"/>
    <n v="1621"/>
    <n v="644"/>
    <n v="5096"/>
    <n v="0"/>
    <n v="0"/>
    <n v="2527"/>
    <n v="24049"/>
    <n v="7022"/>
    <n v="7623"/>
  </r>
  <r>
    <s v="Monthly-AE-August-2024.csv"/>
    <x v="2"/>
    <s v="RQ3"/>
    <s v="NHS ENGLAND MIDLANDS "/>
    <x v="189"/>
    <n v="3730"/>
    <n v="0"/>
    <n v="0"/>
    <n v="0"/>
    <n v="0"/>
    <n v="0"/>
    <n v="148"/>
    <n v="0"/>
    <n v="0"/>
    <n v="0"/>
    <n v="0"/>
    <n v="0"/>
    <n v="0"/>
    <n v="0"/>
    <n v="861"/>
    <n v="0"/>
    <n v="0"/>
    <n v="150"/>
    <n v="3730"/>
    <n v="148"/>
    <n v="1011"/>
  </r>
  <r>
    <s v="Monthly-AE-August-2024.csv"/>
    <x v="2"/>
    <s v="RQX"/>
    <s v="NHS ENGLAND LONDON"/>
    <x v="36"/>
    <n v="10373"/>
    <n v="0"/>
    <n v="0"/>
    <n v="3"/>
    <n v="0"/>
    <n v="0"/>
    <n v="1335"/>
    <n v="0"/>
    <n v="0"/>
    <n v="0"/>
    <n v="0"/>
    <n v="0"/>
    <n v="167"/>
    <n v="16"/>
    <n v="1742"/>
    <n v="0"/>
    <n v="0"/>
    <n v="316"/>
    <n v="10373"/>
    <n v="1335"/>
    <n v="2058"/>
  </r>
  <r>
    <s v="Monthly-AE-August-2024.csv"/>
    <x v="2"/>
    <s v="RR7"/>
    <s v="NHS ENGLAND NORTH EAST AND YORKSHIRE "/>
    <x v="113"/>
    <n v="5352"/>
    <n v="0"/>
    <n v="3468"/>
    <n v="30"/>
    <n v="0"/>
    <n v="0"/>
    <n v="2427"/>
    <n v="0"/>
    <n v="28"/>
    <n v="3"/>
    <n v="0"/>
    <n v="0"/>
    <n v="943"/>
    <n v="0"/>
    <n v="1457"/>
    <n v="0"/>
    <n v="0"/>
    <n v="49"/>
    <n v="8820"/>
    <n v="2455"/>
    <n v="1506"/>
  </r>
  <r>
    <s v="Monthly-AE-August-2024.csv"/>
    <x v="2"/>
    <s v="RRV"/>
    <s v="NHS ENGLAND LONDON"/>
    <x v="28"/>
    <n v="12262"/>
    <n v="0"/>
    <n v="0"/>
    <n v="247"/>
    <n v="0"/>
    <n v="0"/>
    <n v="2915"/>
    <n v="0"/>
    <n v="0"/>
    <n v="0"/>
    <n v="0"/>
    <n v="0"/>
    <n v="220"/>
    <n v="50"/>
    <n v="1429"/>
    <n v="0"/>
    <n v="0"/>
    <n v="255"/>
    <n v="12262"/>
    <n v="2915"/>
    <n v="1684"/>
  </r>
  <r>
    <s v="Monthly-AE-August-2024.csv"/>
    <x v="2"/>
    <s v="Y02428"/>
    <s v="NHS ENGLAND EAST OF ENGLAND "/>
    <x v="49"/>
    <n v="0"/>
    <n v="0"/>
    <n v="2395"/>
    <n v="0"/>
    <n v="0"/>
    <n v="0"/>
    <n v="0"/>
    <n v="0"/>
    <n v="0"/>
    <n v="0"/>
    <n v="0"/>
    <n v="0"/>
    <n v="0"/>
    <n v="0"/>
    <n v="0"/>
    <n v="0"/>
    <n v="0"/>
    <n v="0"/>
    <n v="2395"/>
    <n v="0"/>
    <n v="0"/>
  </r>
  <r>
    <s v="Monthly-AE-August-2024.csv"/>
    <x v="2"/>
    <s v="RBD"/>
    <s v="NHS ENGLAND SOUTH WEST "/>
    <x v="101"/>
    <n v="4587"/>
    <n v="0"/>
    <n v="0"/>
    <n v="363"/>
    <n v="0"/>
    <n v="4493"/>
    <n v="1653"/>
    <n v="0"/>
    <n v="0"/>
    <n v="87"/>
    <n v="0"/>
    <n v="14"/>
    <n v="189"/>
    <n v="42"/>
    <n v="1899"/>
    <n v="0"/>
    <n v="0"/>
    <n v="489"/>
    <n v="4587"/>
    <n v="1653"/>
    <n v="2388"/>
  </r>
  <r>
    <s v="Monthly-AE-August-2024.csv"/>
    <x v="2"/>
    <s v="RDU"/>
    <s v="NHS ENGLAND SOUTH EAST "/>
    <x v="82"/>
    <n v="21240"/>
    <n v="1000"/>
    <n v="10368"/>
    <n v="0"/>
    <n v="0"/>
    <n v="0"/>
    <n v="8383"/>
    <n v="0"/>
    <n v="41"/>
    <n v="0"/>
    <n v="0"/>
    <n v="0"/>
    <n v="2172"/>
    <n v="95"/>
    <n v="5446"/>
    <n v="0"/>
    <n v="0"/>
    <n v="262"/>
    <n v="32608"/>
    <n v="8424"/>
    <n v="5708"/>
  </r>
  <r>
    <s v="Monthly-AE-August-2024.csv"/>
    <x v="2"/>
    <s v="RNQ"/>
    <s v="NHS ENGLAND MIDLANDS "/>
    <x v="64"/>
    <n v="9006"/>
    <n v="0"/>
    <n v="8229"/>
    <n v="341"/>
    <n v="0"/>
    <n v="0"/>
    <n v="3205"/>
    <n v="0"/>
    <n v="44"/>
    <n v="0"/>
    <n v="0"/>
    <n v="0"/>
    <n v="1361"/>
    <n v="0"/>
    <n v="1974"/>
    <n v="0"/>
    <n v="0"/>
    <n v="211"/>
    <n v="17235"/>
    <n v="3249"/>
    <n v="2185"/>
  </r>
  <r>
    <s v="Monthly-AE-August-2024.csv"/>
    <x v="2"/>
    <s v="RTP"/>
    <s v="NHS ENGLAND SOUTH EAST "/>
    <x v="66"/>
    <n v="9840"/>
    <n v="0"/>
    <n v="0"/>
    <n v="0"/>
    <n v="0"/>
    <n v="0"/>
    <n v="2527"/>
    <n v="0"/>
    <n v="0"/>
    <n v="0"/>
    <n v="0"/>
    <n v="0"/>
    <n v="457"/>
    <n v="308"/>
    <n v="3099"/>
    <n v="0"/>
    <n v="0"/>
    <n v="798"/>
    <n v="9840"/>
    <n v="2527"/>
    <n v="3897"/>
  </r>
  <r>
    <s v="Monthly-AE-August-2024.csv"/>
    <x v="2"/>
    <s v="RWF"/>
    <s v="NHS ENGLAND SOUTH EAST "/>
    <x v="118"/>
    <n v="16301"/>
    <n v="0"/>
    <n v="2179"/>
    <n v="771"/>
    <n v="0"/>
    <n v="173"/>
    <n v="2651"/>
    <n v="0"/>
    <n v="7"/>
    <n v="62"/>
    <n v="0"/>
    <n v="0"/>
    <n v="640"/>
    <n v="12"/>
    <n v="4915"/>
    <n v="0"/>
    <n v="0"/>
    <n v="884"/>
    <n v="18480"/>
    <n v="2658"/>
    <n v="5799"/>
  </r>
  <r>
    <s v="Monthly-AE-August-2024.csv"/>
    <x v="2"/>
    <s v="RWX"/>
    <s v="NHS ENGLAND SOUTH EAST "/>
    <x v="173"/>
    <n v="0"/>
    <n v="0"/>
    <n v="1441"/>
    <n v="0"/>
    <n v="0"/>
    <n v="0"/>
    <n v="0"/>
    <n v="0"/>
    <n v="11"/>
    <n v="0"/>
    <n v="0"/>
    <n v="0"/>
    <n v="0"/>
    <n v="0"/>
    <n v="0"/>
    <n v="0"/>
    <n v="46"/>
    <n v="0"/>
    <n v="1441"/>
    <n v="11"/>
    <n v="46"/>
  </r>
  <r>
    <s v="Monthly-AE-August-2024.csv"/>
    <x v="2"/>
    <s v="RXL"/>
    <s v="NHS ENGLAND NORTH WEST "/>
    <x v="72"/>
    <n v="8668"/>
    <n v="0"/>
    <n v="10210"/>
    <n v="286"/>
    <n v="0"/>
    <n v="280"/>
    <n v="4133"/>
    <n v="0"/>
    <n v="42"/>
    <n v="88"/>
    <n v="0"/>
    <n v="0"/>
    <n v="527"/>
    <n v="566"/>
    <n v="2542"/>
    <n v="0"/>
    <n v="0"/>
    <n v="1246"/>
    <n v="18878"/>
    <n v="4175"/>
    <n v="3788"/>
  </r>
  <r>
    <s v="Monthly-AE-August-2024.csv"/>
    <x v="2"/>
    <s v="RY4"/>
    <s v="NHS ENGLAND EAST OF ENGLAND "/>
    <x v="93"/>
    <n v="0"/>
    <n v="0"/>
    <n v="1042"/>
    <n v="0"/>
    <n v="0"/>
    <n v="0"/>
    <n v="0"/>
    <n v="0"/>
    <n v="56"/>
    <n v="0"/>
    <n v="0"/>
    <n v="0"/>
    <n v="0"/>
    <n v="0"/>
    <n v="0"/>
    <n v="0"/>
    <n v="0"/>
    <n v="0"/>
    <n v="1042"/>
    <n v="56"/>
    <n v="0"/>
  </r>
  <r>
    <s v="Monthly-AE-August-2024.csv"/>
    <x v="2"/>
    <s v="AXG"/>
    <s v="NHS ENGLAND SOUTH WEST "/>
    <x v="30"/>
    <n v="0"/>
    <n v="0"/>
    <n v="2574"/>
    <n v="0"/>
    <n v="0"/>
    <n v="0"/>
    <n v="0"/>
    <n v="0"/>
    <n v="11"/>
    <n v="0"/>
    <n v="0"/>
    <n v="0"/>
    <n v="0"/>
    <n v="0"/>
    <n v="0"/>
    <n v="0"/>
    <n v="0"/>
    <n v="0"/>
    <n v="2574"/>
    <n v="11"/>
    <n v="0"/>
  </r>
  <r>
    <s v="Monthly-AE-August-2024.csv"/>
    <x v="2"/>
    <s v="NNJ"/>
    <s v="NHS ENGLAND MIDLANDS "/>
    <x v="43"/>
    <n v="0"/>
    <n v="0"/>
    <n v="1836"/>
    <n v="0"/>
    <n v="0"/>
    <n v="0"/>
    <n v="0"/>
    <n v="0"/>
    <n v="1"/>
    <n v="0"/>
    <n v="0"/>
    <n v="0"/>
    <n v="0"/>
    <n v="0"/>
    <n v="0"/>
    <n v="0"/>
    <n v="0"/>
    <n v="0"/>
    <n v="1836"/>
    <n v="1"/>
    <n v="0"/>
  </r>
  <r>
    <s v="Monthly-AE-August-2024.csv"/>
    <x v="2"/>
    <s v="RA7"/>
    <s v="NHS ENGLAND SOUTH WEST "/>
    <x v="78"/>
    <n v="14153"/>
    <n v="2323"/>
    <n v="0"/>
    <n v="0"/>
    <n v="0"/>
    <n v="0"/>
    <n v="4271"/>
    <n v="97"/>
    <n v="0"/>
    <n v="0"/>
    <n v="0"/>
    <n v="0"/>
    <n v="796"/>
    <n v="82"/>
    <n v="4993"/>
    <n v="10"/>
    <n v="0"/>
    <n v="1412"/>
    <n v="16476"/>
    <n v="4368"/>
    <n v="6415"/>
  </r>
  <r>
    <s v="Monthly-AE-August-2024.csv"/>
    <x v="2"/>
    <s v="RAJ"/>
    <s v="NHS ENGLAND EAST OF ENGLAND "/>
    <x v="98"/>
    <n v="28003"/>
    <n v="0"/>
    <n v="5633"/>
    <n v="7"/>
    <n v="0"/>
    <n v="0"/>
    <n v="8638"/>
    <n v="0"/>
    <n v="110"/>
    <n v="1"/>
    <n v="0"/>
    <n v="0"/>
    <n v="2818"/>
    <n v="12"/>
    <n v="8820"/>
    <n v="0"/>
    <n v="217"/>
    <n v="1156"/>
    <n v="33636"/>
    <n v="8748"/>
    <n v="10193"/>
  </r>
  <r>
    <s v="Monthly-AE-August-2024.csv"/>
    <x v="2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55"/>
    <n v="0"/>
    <n v="0"/>
    <n v="155"/>
  </r>
  <r>
    <s v="Monthly-AE-August-2024.csv"/>
    <x v="2"/>
    <s v="RCU"/>
    <s v="NHS ENGLAND NORTH EAST AND YORKSHIRE "/>
    <x v="81"/>
    <n v="3483"/>
    <n v="0"/>
    <n v="0"/>
    <n v="317"/>
    <n v="0"/>
    <n v="0"/>
    <n v="159"/>
    <n v="0"/>
    <n v="0"/>
    <n v="21"/>
    <n v="0"/>
    <n v="0"/>
    <n v="1"/>
    <n v="0"/>
    <n v="715"/>
    <n v="0"/>
    <n v="0"/>
    <n v="70"/>
    <n v="3483"/>
    <n v="159"/>
    <n v="785"/>
  </r>
  <r>
    <s v="Monthly-AE-August-2024.csv"/>
    <x v="2"/>
    <s v="REP"/>
    <s v="NHS ENGLAND NORTH WEST "/>
    <x v="83"/>
    <n v="0"/>
    <n v="1297"/>
    <n v="0"/>
    <n v="0"/>
    <n v="133"/>
    <n v="0"/>
    <n v="0"/>
    <n v="161"/>
    <n v="0"/>
    <n v="0"/>
    <n v="0"/>
    <n v="0"/>
    <n v="0"/>
    <n v="0"/>
    <n v="0"/>
    <n v="100"/>
    <n v="0"/>
    <n v="11"/>
    <n v="1297"/>
    <n v="161"/>
    <n v="111"/>
  </r>
  <r>
    <s v="Monthly-AE-August-2024.csv"/>
    <x v="2"/>
    <s v="RJ6"/>
    <s v="NHS ENGLAND LONDON"/>
    <x v="136"/>
    <n v="12064"/>
    <n v="0"/>
    <n v="4545"/>
    <n v="0"/>
    <n v="0"/>
    <n v="0"/>
    <n v="3900"/>
    <n v="0"/>
    <n v="0"/>
    <n v="0"/>
    <n v="0"/>
    <n v="0"/>
    <n v="465"/>
    <n v="485"/>
    <n v="1384"/>
    <n v="0"/>
    <n v="0"/>
    <n v="118"/>
    <n v="16609"/>
    <n v="3900"/>
    <n v="1502"/>
  </r>
  <r>
    <s v="Monthly-AE-August-2024.csv"/>
    <x v="2"/>
    <s v="RJR"/>
    <s v="NHS ENGLAND NORTH WEST "/>
    <x v="108"/>
    <n v="4794"/>
    <n v="0"/>
    <n v="2183"/>
    <n v="0"/>
    <n v="0"/>
    <n v="0"/>
    <n v="2638"/>
    <n v="0"/>
    <n v="173"/>
    <n v="0"/>
    <n v="0"/>
    <n v="0"/>
    <n v="303"/>
    <n v="634"/>
    <n v="1541"/>
    <n v="0"/>
    <n v="0"/>
    <n v="1094"/>
    <n v="6977"/>
    <n v="2811"/>
    <n v="2635"/>
  </r>
  <r>
    <s v="Monthly-AE-August-2024.csv"/>
    <x v="2"/>
    <s v="RLQ"/>
    <s v="NHS ENGLAND MIDLANDS "/>
    <x v="86"/>
    <n v="5824"/>
    <n v="1104"/>
    <n v="191"/>
    <n v="119"/>
    <n v="0"/>
    <n v="0"/>
    <n v="2317"/>
    <n v="0"/>
    <n v="0"/>
    <n v="28"/>
    <n v="0"/>
    <n v="0"/>
    <n v="402"/>
    <n v="241"/>
    <n v="1821"/>
    <n v="0"/>
    <n v="0"/>
    <n v="626"/>
    <n v="7119"/>
    <n v="2317"/>
    <n v="2447"/>
  </r>
  <r>
    <s v="Monthly-AE-August-2024.csv"/>
    <x v="2"/>
    <s v="RMC"/>
    <s v="NHS ENGLAND NORTH WEST "/>
    <x v="178"/>
    <n v="7196"/>
    <n v="0"/>
    <n v="3435"/>
    <n v="36"/>
    <n v="0"/>
    <n v="58"/>
    <n v="3074"/>
    <n v="0"/>
    <n v="172"/>
    <n v="14"/>
    <n v="0"/>
    <n v="0"/>
    <n v="694"/>
    <n v="428"/>
    <n v="2141"/>
    <n v="0"/>
    <n v="94"/>
    <n v="640"/>
    <n v="10631"/>
    <n v="3246"/>
    <n v="2875"/>
  </r>
  <r>
    <s v="Monthly-AE-August-2024.csv"/>
    <x v="2"/>
    <s v="RPA"/>
    <s v="NHS ENGLAND SOUTH EAST "/>
    <x v="146"/>
    <n v="8254"/>
    <n v="0"/>
    <n v="6525"/>
    <n v="245"/>
    <n v="0"/>
    <n v="863"/>
    <n v="2698"/>
    <n v="0"/>
    <n v="448"/>
    <n v="55"/>
    <n v="0"/>
    <n v="0"/>
    <n v="405"/>
    <n v="572"/>
    <n v="1805"/>
    <n v="0"/>
    <n v="0"/>
    <n v="622"/>
    <n v="14779"/>
    <n v="3146"/>
    <n v="2427"/>
  </r>
  <r>
    <s v="Monthly-AE-August-2024.csv"/>
    <x v="2"/>
    <s v="RQW"/>
    <s v="NHS ENGLAND EAST OF ENGLAND "/>
    <x v="148"/>
    <n v="7939"/>
    <n v="0"/>
    <n v="1429"/>
    <n v="0"/>
    <n v="0"/>
    <n v="543"/>
    <n v="3654"/>
    <n v="0"/>
    <n v="0"/>
    <n v="0"/>
    <n v="0"/>
    <n v="0"/>
    <n v="395"/>
    <n v="85"/>
    <n v="2104"/>
    <n v="0"/>
    <n v="0"/>
    <n v="412"/>
    <n v="9368"/>
    <n v="3654"/>
    <n v="2516"/>
  </r>
  <r>
    <s v="Monthly-AE-August-2024.csv"/>
    <x v="2"/>
    <s v="RTQ"/>
    <s v="NHS ENGLAND SOUTH WEST "/>
    <x v="115"/>
    <n v="0"/>
    <n v="0"/>
    <n v="7444"/>
    <n v="0"/>
    <n v="0"/>
    <n v="0"/>
    <n v="0"/>
    <n v="0"/>
    <n v="29"/>
    <n v="0"/>
    <n v="0"/>
    <n v="0"/>
    <n v="0"/>
    <n v="0"/>
    <n v="0"/>
    <n v="0"/>
    <n v="0"/>
    <n v="19"/>
    <n v="7444"/>
    <n v="29"/>
    <n v="19"/>
  </r>
  <r>
    <s v="Monthly-AE-August-2024.csv"/>
    <x v="2"/>
    <s v="RVW"/>
    <s v="NHS ENGLAND NORTH EAST AND YORKSHIRE "/>
    <x v="90"/>
    <n v="4447"/>
    <n v="0"/>
    <n v="10672"/>
    <n v="0"/>
    <n v="0"/>
    <n v="0"/>
    <n v="1585"/>
    <n v="0"/>
    <n v="21"/>
    <n v="0"/>
    <n v="0"/>
    <n v="0"/>
    <n v="61"/>
    <n v="0"/>
    <n v="1552"/>
    <n v="0"/>
    <n v="481"/>
    <n v="1813"/>
    <n v="15119"/>
    <n v="1606"/>
    <n v="3846"/>
  </r>
  <r>
    <s v="Monthly-AE-August-2024.csv"/>
    <x v="2"/>
    <s v="RWD"/>
    <s v="NHS ENGLAND MIDLANDS "/>
    <x v="156"/>
    <n v="9359"/>
    <n v="0"/>
    <n v="9710"/>
    <n v="0"/>
    <n v="0"/>
    <n v="0"/>
    <n v="6096"/>
    <n v="0"/>
    <n v="910"/>
    <n v="0"/>
    <n v="0"/>
    <n v="0"/>
    <n v="1146"/>
    <n v="732"/>
    <n v="4105"/>
    <n v="0"/>
    <n v="0"/>
    <n v="1092"/>
    <n v="19069"/>
    <n v="7006"/>
    <n v="5197"/>
  </r>
  <r>
    <s v="Monthly-AE-August-2024.csv"/>
    <x v="2"/>
    <s v="RWE"/>
    <s v="NHS ENGLAND MIDLANDS "/>
    <x v="117"/>
    <n v="20272"/>
    <n v="1837"/>
    <n v="0"/>
    <n v="0"/>
    <n v="0"/>
    <n v="0"/>
    <n v="8227"/>
    <n v="2"/>
    <n v="0"/>
    <n v="0"/>
    <n v="0"/>
    <n v="0"/>
    <n v="1536"/>
    <n v="662"/>
    <n v="5941"/>
    <n v="2"/>
    <n v="0"/>
    <n v="3262"/>
    <n v="22109"/>
    <n v="8229"/>
    <n v="9205"/>
  </r>
  <r>
    <s v="Monthly-AE-August-2024.csv"/>
    <x v="2"/>
    <s v="RXW"/>
    <s v="NHS ENGLAND MIDLANDS "/>
    <x v="120"/>
    <n v="10059"/>
    <n v="0"/>
    <n v="2342"/>
    <n v="0"/>
    <n v="0"/>
    <n v="0"/>
    <n v="5314"/>
    <n v="0"/>
    <n v="176"/>
    <n v="0"/>
    <n v="0"/>
    <n v="0"/>
    <n v="590"/>
    <n v="546"/>
    <n v="3126"/>
    <n v="0"/>
    <n v="155"/>
    <n v="1825"/>
    <n v="12401"/>
    <n v="5490"/>
    <n v="5106"/>
  </r>
  <r>
    <s v="Monthly-AE-August-2024.csv"/>
    <x v="2"/>
    <s v="Y02676"/>
    <s v="NHS ENGLAND SOUTH EAST "/>
    <x v="37"/>
    <n v="0"/>
    <n v="0"/>
    <n v="1843"/>
    <n v="0"/>
    <n v="0"/>
    <n v="0"/>
    <n v="0"/>
    <n v="0"/>
    <n v="0"/>
    <n v="0"/>
    <n v="0"/>
    <n v="0"/>
    <n v="0"/>
    <n v="0"/>
    <n v="0"/>
    <n v="0"/>
    <n v="0"/>
    <n v="0"/>
    <n v="1843"/>
    <n v="0"/>
    <n v="0"/>
  </r>
  <r>
    <s v="Monthly-AE-August-2024.csv"/>
    <x v="2"/>
    <s v="AD913"/>
    <s v="NHS ENGLAND LONDON"/>
    <x v="3"/>
    <n v="0"/>
    <n v="0"/>
    <n v="3826"/>
    <n v="0"/>
    <n v="0"/>
    <n v="169"/>
    <n v="0"/>
    <n v="0"/>
    <n v="8"/>
    <n v="0"/>
    <n v="0"/>
    <n v="0"/>
    <n v="0"/>
    <n v="0"/>
    <n v="0"/>
    <n v="0"/>
    <n v="0"/>
    <n v="0"/>
    <n v="3826"/>
    <n v="8"/>
    <n v="0"/>
  </r>
  <r>
    <s v="Monthly-AE-August-2024.csv"/>
    <x v="2"/>
    <s v="ARN03"/>
    <s v="NHS ENGLAND NORTH EAST AND YORKSHIRE "/>
    <x v="164"/>
    <n v="0"/>
    <n v="0"/>
    <n v="1911"/>
    <n v="0"/>
    <n v="0"/>
    <n v="279"/>
    <n v="0"/>
    <n v="0"/>
    <n v="0"/>
    <n v="0"/>
    <n v="0"/>
    <n v="0"/>
    <n v="0"/>
    <n v="0"/>
    <n v="0"/>
    <n v="0"/>
    <n v="0"/>
    <n v="0"/>
    <n v="1911"/>
    <n v="0"/>
    <n v="0"/>
  </r>
  <r>
    <s v="Monthly-AE-August-2024.csv"/>
    <x v="2"/>
    <s v="NLX"/>
    <s v="NHS ENGLAND SOUTH WEST "/>
    <x v="195"/>
    <n v="0"/>
    <n v="0"/>
    <n v="8236"/>
    <n v="0"/>
    <n v="0"/>
    <n v="306"/>
    <n v="0"/>
    <n v="0"/>
    <n v="278"/>
    <n v="0"/>
    <n v="0"/>
    <n v="61"/>
    <n v="0"/>
    <n v="0"/>
    <n v="0"/>
    <n v="0"/>
    <n v="0"/>
    <n v="0"/>
    <n v="8236"/>
    <n v="278"/>
    <n v="0"/>
  </r>
  <r>
    <s v="Monthly-AE-August-2024.csv"/>
    <x v="2"/>
    <s v="NNJ07"/>
    <s v="NHS ENGLAND MIDLANDS "/>
    <x v="52"/>
    <n v="0"/>
    <n v="0"/>
    <n v="5267"/>
    <n v="0"/>
    <n v="0"/>
    <n v="540"/>
    <n v="0"/>
    <n v="0"/>
    <n v="13"/>
    <n v="0"/>
    <n v="0"/>
    <n v="0"/>
    <n v="0"/>
    <n v="0"/>
    <n v="0"/>
    <n v="0"/>
    <n v="0"/>
    <n v="0"/>
    <n v="5267"/>
    <n v="13"/>
    <n v="0"/>
  </r>
  <r>
    <s v="Monthly-AE-August-2024.csv"/>
    <x v="2"/>
    <s v="NNJ0H"/>
    <s v="NHS ENGLAND MIDLANDS "/>
    <x v="53"/>
    <n v="0"/>
    <n v="0"/>
    <n v="158"/>
    <n v="0"/>
    <n v="0"/>
    <n v="2036"/>
    <n v="0"/>
    <n v="0"/>
    <n v="0"/>
    <n v="0"/>
    <n v="0"/>
    <n v="0"/>
    <n v="0"/>
    <n v="0"/>
    <n v="0"/>
    <n v="0"/>
    <n v="0"/>
    <n v="0"/>
    <n v="158"/>
    <n v="0"/>
    <n v="0"/>
  </r>
  <r>
    <s v="Monthly-AE-August-2024.csv"/>
    <x v="2"/>
    <s v="NNJ12"/>
    <s v="NHS ENGLAND MIDLANDS "/>
    <x v="54"/>
    <n v="0"/>
    <n v="0"/>
    <n v="84"/>
    <n v="0"/>
    <n v="0"/>
    <n v="414"/>
    <n v="0"/>
    <n v="0"/>
    <n v="0"/>
    <n v="0"/>
    <n v="0"/>
    <n v="0"/>
    <n v="0"/>
    <n v="0"/>
    <n v="0"/>
    <n v="0"/>
    <n v="0"/>
    <n v="0"/>
    <n v="84"/>
    <n v="0"/>
    <n v="0"/>
  </r>
  <r>
    <s v="Monthly-AE-August-2024.csv"/>
    <x v="2"/>
    <s v="NNJ13"/>
    <s v="NHS ENGLAND MIDLANDS "/>
    <x v="55"/>
    <n v="0"/>
    <n v="0"/>
    <n v="75"/>
    <n v="0"/>
    <n v="0"/>
    <n v="374"/>
    <n v="0"/>
    <n v="0"/>
    <n v="0"/>
    <n v="0"/>
    <n v="0"/>
    <n v="0"/>
    <n v="0"/>
    <n v="0"/>
    <n v="0"/>
    <n v="0"/>
    <n v="0"/>
    <n v="0"/>
    <n v="75"/>
    <n v="0"/>
    <n v="0"/>
  </r>
  <r>
    <s v="Monthly-AE-August-2024.csv"/>
    <x v="2"/>
    <s v="NNJ14"/>
    <s v="NHS ENGLAND MIDLANDS "/>
    <x v="191"/>
    <n v="0"/>
    <n v="0"/>
    <n v="555"/>
    <n v="0"/>
    <n v="0"/>
    <n v="2220"/>
    <n v="0"/>
    <n v="0"/>
    <n v="1"/>
    <n v="0"/>
    <n v="0"/>
    <n v="0"/>
    <n v="0"/>
    <n v="0"/>
    <n v="0"/>
    <n v="0"/>
    <n v="0"/>
    <n v="0"/>
    <n v="555"/>
    <n v="1"/>
    <n v="0"/>
  </r>
  <r>
    <s v="Monthly-AE-August-2024.csv"/>
    <x v="2"/>
    <s v="NNJ15"/>
    <s v="NHS ENGLAND MIDLANDS "/>
    <x v="56"/>
    <n v="0"/>
    <n v="0"/>
    <n v="98"/>
    <n v="0"/>
    <n v="0"/>
    <n v="337"/>
    <n v="0"/>
    <n v="0"/>
    <n v="0"/>
    <n v="0"/>
    <n v="0"/>
    <n v="0"/>
    <n v="0"/>
    <n v="0"/>
    <n v="0"/>
    <n v="0"/>
    <n v="0"/>
    <n v="0"/>
    <n v="98"/>
    <n v="0"/>
    <n v="0"/>
  </r>
  <r>
    <s v="Monthly-AE-August-2024.csv"/>
    <x v="2"/>
    <s v="NTPAD"/>
    <s v="NHS ENGLAND SOUTH EAST "/>
    <x v="22"/>
    <n v="0"/>
    <n v="0"/>
    <n v="5199"/>
    <n v="0"/>
    <n v="0"/>
    <n v="273"/>
    <n v="0"/>
    <n v="0"/>
    <n v="15"/>
    <n v="0"/>
    <n v="0"/>
    <n v="0"/>
    <n v="0"/>
    <n v="0"/>
    <n v="0"/>
    <n v="0"/>
    <n v="0"/>
    <n v="0"/>
    <n v="5199"/>
    <n v="15"/>
    <n v="0"/>
  </r>
  <r>
    <s v="Monthly-AE-August-2024.csv"/>
    <x v="2"/>
    <s v="R0A"/>
    <s v="NHS ENGLAND NORTH WEST "/>
    <x v="181"/>
    <n v="21610"/>
    <n v="2878"/>
    <n v="10782"/>
    <n v="3238"/>
    <n v="507"/>
    <n v="1028"/>
    <n v="8773"/>
    <n v="54"/>
    <n v="486"/>
    <n v="1126"/>
    <n v="5"/>
    <n v="78"/>
    <n v="3009"/>
    <n v="171"/>
    <n v="5500"/>
    <n v="166"/>
    <n v="192"/>
    <n v="407"/>
    <n v="35270"/>
    <n v="9313"/>
    <n v="6265"/>
  </r>
  <r>
    <s v="Monthly-AE-August-2024.csv"/>
    <x v="2"/>
    <s v="R1K"/>
    <s v="NHS ENGLAND LONDON"/>
    <x v="128"/>
    <n v="12312"/>
    <n v="0"/>
    <n v="13540"/>
    <n v="0"/>
    <n v="0"/>
    <n v="0"/>
    <n v="5394"/>
    <n v="0"/>
    <n v="69"/>
    <n v="0"/>
    <n v="0"/>
    <n v="0"/>
    <n v="613"/>
    <n v="315"/>
    <n v="6468"/>
    <n v="0"/>
    <n v="0"/>
    <n v="413"/>
    <n v="25852"/>
    <n v="5463"/>
    <n v="6881"/>
  </r>
  <r>
    <s v="Monthly-AE-August-2024.csv"/>
    <x v="2"/>
    <s v="RBK"/>
    <s v="NHS ENGLAND MIDLANDS "/>
    <x v="102"/>
    <n v="8140"/>
    <n v="0"/>
    <n v="3856"/>
    <n v="9"/>
    <n v="0"/>
    <n v="148"/>
    <n v="2010"/>
    <n v="0"/>
    <n v="51"/>
    <n v="1"/>
    <n v="0"/>
    <n v="0"/>
    <n v="494"/>
    <n v="28"/>
    <n v="3467"/>
    <n v="0"/>
    <n v="0"/>
    <n v="641"/>
    <n v="11996"/>
    <n v="2061"/>
    <n v="4108"/>
  </r>
  <r>
    <s v="Monthly-AE-August-2024.csv"/>
    <x v="2"/>
    <s v="RCX"/>
    <s v="NHS ENGLAND EAST OF ENGLAND "/>
    <x v="185"/>
    <n v="6630"/>
    <n v="0"/>
    <n v="1196"/>
    <n v="0"/>
    <n v="0"/>
    <n v="0"/>
    <n v="2298"/>
    <n v="0"/>
    <n v="0"/>
    <n v="0"/>
    <n v="0"/>
    <n v="0"/>
    <n v="207"/>
    <n v="63"/>
    <n v="1959"/>
    <n v="0"/>
    <n v="0"/>
    <n v="244"/>
    <n v="7826"/>
    <n v="2298"/>
    <n v="2203"/>
  </r>
  <r>
    <s v="Monthly-AE-August-2024.csv"/>
    <x v="2"/>
    <s v="RF4"/>
    <s v="NHS ENGLAND LONDON"/>
    <x v="167"/>
    <n v="11649"/>
    <n v="2203"/>
    <n v="11348"/>
    <n v="0"/>
    <n v="0"/>
    <n v="0"/>
    <n v="4999"/>
    <n v="249"/>
    <n v="69"/>
    <n v="0"/>
    <n v="0"/>
    <n v="0"/>
    <n v="620"/>
    <n v="630"/>
    <n v="7338"/>
    <n v="0"/>
    <n v="0"/>
    <n v="374"/>
    <n v="25200"/>
    <n v="5317"/>
    <n v="7712"/>
  </r>
  <r>
    <s v="Monthly-AE-August-2024.csv"/>
    <x v="2"/>
    <s v="RN3"/>
    <s v="NHS ENGLAND SOUTH WEST "/>
    <x v="179"/>
    <n v="5235"/>
    <n v="0"/>
    <n v="5541"/>
    <n v="0"/>
    <n v="0"/>
    <n v="4"/>
    <n v="2055"/>
    <n v="0"/>
    <n v="157"/>
    <n v="0"/>
    <n v="0"/>
    <n v="0"/>
    <n v="602"/>
    <n v="0"/>
    <n v="2433"/>
    <n v="0"/>
    <n v="0"/>
    <n v="1248"/>
    <n v="10776"/>
    <n v="2212"/>
    <n v="3681"/>
  </r>
  <r>
    <s v="Monthly-AE-August-2024.csv"/>
    <x v="2"/>
    <s v="RR8"/>
    <s v="NHS ENGLAND NORTH EAST AND YORKSHIRE "/>
    <x v="149"/>
    <n v="16116"/>
    <n v="686"/>
    <n v="10138"/>
    <n v="61"/>
    <n v="0"/>
    <n v="35"/>
    <n v="5972"/>
    <n v="0"/>
    <n v="32"/>
    <n v="13"/>
    <n v="0"/>
    <n v="0"/>
    <n v="1581"/>
    <n v="67"/>
    <n v="3607"/>
    <n v="0"/>
    <n v="0"/>
    <n v="1142"/>
    <n v="26940"/>
    <n v="6004"/>
    <n v="4749"/>
  </r>
  <r>
    <s v="Monthly-AE-August-2024.csv"/>
    <x v="2"/>
    <s v="RRF"/>
    <s v="NHS ENGLAND NORTH WEST "/>
    <x v="150"/>
    <n v="6825"/>
    <n v="0"/>
    <n v="4797"/>
    <n v="0"/>
    <n v="0"/>
    <n v="0"/>
    <n v="3138"/>
    <n v="0"/>
    <n v="14"/>
    <n v="0"/>
    <n v="0"/>
    <n v="0"/>
    <n v="1217"/>
    <n v="206"/>
    <n v="2387"/>
    <n v="0"/>
    <n v="0"/>
    <n v="679"/>
    <n v="11622"/>
    <n v="3152"/>
    <n v="3066"/>
  </r>
  <r>
    <s v="Monthly-AE-August-2024.csv"/>
    <x v="2"/>
    <s v="RRK"/>
    <s v="NHS ENGLAND MIDLANDS "/>
    <x v="87"/>
    <n v="31490"/>
    <n v="363"/>
    <n v="1511"/>
    <n v="31"/>
    <n v="0"/>
    <n v="252"/>
    <n v="12017"/>
    <n v="0"/>
    <n v="34"/>
    <n v="19"/>
    <n v="0"/>
    <n v="1"/>
    <n v="2750"/>
    <n v="1600"/>
    <n v="11641"/>
    <n v="0"/>
    <n v="0"/>
    <n v="5192"/>
    <n v="33364"/>
    <n v="12051"/>
    <n v="16833"/>
  </r>
  <r>
    <s v="Monthly-AE-August-2024.csv"/>
    <x v="2"/>
    <s v="RTG"/>
    <s v="NHS ENGLAND MIDLANDS "/>
    <x v="88"/>
    <n v="19069"/>
    <n v="0"/>
    <n v="8871"/>
    <n v="388"/>
    <n v="0"/>
    <n v="32"/>
    <n v="7987"/>
    <n v="0"/>
    <n v="0"/>
    <n v="124"/>
    <n v="0"/>
    <n v="0"/>
    <n v="828"/>
    <n v="639"/>
    <n v="4062"/>
    <n v="0"/>
    <n v="1"/>
    <n v="2481"/>
    <n v="27940"/>
    <n v="7987"/>
    <n v="6544"/>
  </r>
  <r>
    <s v="Monthly-AE-August-2024.csv"/>
    <x v="2"/>
    <s v="RTX"/>
    <s v="NHS ENGLAND NORTH WEST "/>
    <x v="172"/>
    <n v="8644"/>
    <n v="0"/>
    <n v="3291"/>
    <n v="164"/>
    <n v="0"/>
    <n v="726"/>
    <n v="2490"/>
    <n v="0"/>
    <n v="58"/>
    <n v="17"/>
    <n v="0"/>
    <n v="75"/>
    <n v="554"/>
    <n v="256"/>
    <n v="3028"/>
    <n v="0"/>
    <n v="24"/>
    <n v="874"/>
    <n v="11935"/>
    <n v="2548"/>
    <n v="3926"/>
  </r>
  <r>
    <s v="Monthly-AE-August-2024.csv"/>
    <x v="2"/>
    <s v="RVJ"/>
    <s v="NHS ENGLAND SOUTH WEST "/>
    <x v="89"/>
    <n v="8834"/>
    <n v="0"/>
    <n v="0"/>
    <n v="11"/>
    <n v="0"/>
    <n v="0"/>
    <n v="3410"/>
    <n v="0"/>
    <n v="0"/>
    <n v="4"/>
    <n v="0"/>
    <n v="0"/>
    <n v="662"/>
    <n v="83"/>
    <n v="2664"/>
    <n v="0"/>
    <n v="0"/>
    <n v="1798"/>
    <n v="8834"/>
    <n v="3410"/>
    <n v="4462"/>
  </r>
  <r>
    <s v="Monthly-AE-August-2024.csv"/>
    <x v="2"/>
    <s v="RW4"/>
    <s v="NHS ENGLAND NORTH WEST "/>
    <x v="42"/>
    <n v="0"/>
    <n v="0"/>
    <n v="11716"/>
    <n v="0"/>
    <n v="0"/>
    <n v="0"/>
    <n v="0"/>
    <n v="0"/>
    <n v="107"/>
    <n v="0"/>
    <n v="0"/>
    <n v="0"/>
    <n v="0"/>
    <n v="0"/>
    <n v="0"/>
    <n v="0"/>
    <n v="0"/>
    <n v="64"/>
    <n v="11716"/>
    <n v="107"/>
    <n v="64"/>
  </r>
  <r>
    <s v="Monthly-AE-August-2024.csv"/>
    <x v="2"/>
    <s v="RWJ"/>
    <s v="NHS ENGLAND NORTH WEST "/>
    <x v="158"/>
    <n v="7521"/>
    <n v="0"/>
    <n v="902"/>
    <n v="207"/>
    <n v="0"/>
    <n v="43"/>
    <n v="2914"/>
    <n v="0"/>
    <n v="8"/>
    <n v="77"/>
    <n v="0"/>
    <n v="0"/>
    <n v="636"/>
    <n v="90"/>
    <n v="2567"/>
    <n v="0"/>
    <n v="84"/>
    <n v="782"/>
    <n v="8423"/>
    <n v="2922"/>
    <n v="3433"/>
  </r>
  <r>
    <s v="Monthly-AE-August-2024.csv"/>
    <x v="2"/>
    <s v="RWW"/>
    <s v="NHS ENGLAND NORTH WEST "/>
    <x v="159"/>
    <n v="6457"/>
    <n v="0"/>
    <n v="2811"/>
    <n v="218"/>
    <n v="0"/>
    <n v="139"/>
    <n v="3266"/>
    <n v="0"/>
    <n v="43"/>
    <n v="75"/>
    <n v="0"/>
    <n v="1"/>
    <n v="833"/>
    <n v="569"/>
    <n v="1717"/>
    <n v="0"/>
    <n v="0"/>
    <n v="123"/>
    <n v="9268"/>
    <n v="3309"/>
    <n v="1840"/>
  </r>
  <r>
    <s v="Monthly-AE-August-2024.csv"/>
    <x v="2"/>
    <s v="RXF"/>
    <s v="NHS ENGLAND NORTH EAST AND YORKSHIRE "/>
    <x v="160"/>
    <n v="15391"/>
    <n v="151"/>
    <n v="5579"/>
    <n v="124"/>
    <n v="0"/>
    <n v="76"/>
    <n v="5982"/>
    <n v="0"/>
    <n v="163"/>
    <n v="4"/>
    <n v="0"/>
    <n v="0"/>
    <n v="2271"/>
    <n v="118"/>
    <n v="3544"/>
    <n v="0"/>
    <n v="165"/>
    <n v="806"/>
    <n v="21121"/>
    <n v="6145"/>
    <n v="4515"/>
  </r>
  <r>
    <s v="Monthly-AE-August-2024.csv"/>
    <x v="2"/>
    <s v="RXQ"/>
    <s v="NHS ENGLAND SOUTH EAST "/>
    <x v="11"/>
    <n v="9083"/>
    <n v="1106"/>
    <n v="3295"/>
    <n v="1"/>
    <n v="0"/>
    <n v="0"/>
    <n v="3045"/>
    <n v="0"/>
    <n v="119"/>
    <n v="1"/>
    <n v="0"/>
    <n v="0"/>
    <n v="257"/>
    <n v="114"/>
    <n v="4044"/>
    <n v="759"/>
    <n v="0"/>
    <n v="1635"/>
    <n v="13484"/>
    <n v="3164"/>
    <n v="6438"/>
  </r>
  <r>
    <s v="Monthly-AE-August-2024.csv"/>
    <x v="2"/>
    <s v="RYJ"/>
    <s v="NHS ENGLAND LONDON"/>
    <x v="163"/>
    <n v="10815"/>
    <n v="3847"/>
    <n v="7157"/>
    <n v="0"/>
    <n v="0"/>
    <n v="401"/>
    <n v="4454"/>
    <n v="45"/>
    <n v="259"/>
    <n v="0"/>
    <n v="0"/>
    <n v="0"/>
    <n v="660"/>
    <n v="170"/>
    <n v="3799"/>
    <n v="1"/>
    <n v="0"/>
    <n v="1067"/>
    <n v="21819"/>
    <n v="4758"/>
    <n v="4867"/>
  </r>
  <r>
    <s v="Monthly-AE-August-2024.csv"/>
    <x v="2"/>
    <s v="ACH01"/>
    <s v="NHS ENGLAND SOUTH EAST "/>
    <x v="50"/>
    <n v="0"/>
    <n v="0"/>
    <n v="5170"/>
    <n v="0"/>
    <n v="0"/>
    <n v="0"/>
    <n v="0"/>
    <n v="0"/>
    <n v="0"/>
    <n v="0"/>
    <n v="0"/>
    <n v="0"/>
    <n v="0"/>
    <n v="0"/>
    <n v="0"/>
    <n v="0"/>
    <n v="0"/>
    <n v="0"/>
    <n v="5170"/>
    <n v="0"/>
    <n v="0"/>
  </r>
  <r>
    <s v="Monthly-AE-August-2024.csv"/>
    <x v="2"/>
    <s v="AJN"/>
    <s v="NHS ENGLAND NORTH EAST AND YORKSHIRE "/>
    <x v="94"/>
    <n v="0"/>
    <n v="0"/>
    <n v="381"/>
    <n v="0"/>
    <n v="0"/>
    <n v="0"/>
    <n v="0"/>
    <n v="0"/>
    <n v="0"/>
    <n v="0"/>
    <n v="0"/>
    <n v="0"/>
    <n v="0"/>
    <n v="0"/>
    <n v="0"/>
    <n v="0"/>
    <n v="0"/>
    <n v="0"/>
    <n v="381"/>
    <n v="0"/>
    <n v="0"/>
  </r>
  <r>
    <s v="Monthly-AE-August-2024.csv"/>
    <x v="2"/>
    <s v="NNF09"/>
    <s v="NHS ENGLAND NORTH EAST AND YORKSHIRE "/>
    <x v="124"/>
    <n v="0"/>
    <n v="0"/>
    <n v="3487"/>
    <n v="0"/>
    <n v="0"/>
    <n v="0"/>
    <n v="0"/>
    <n v="0"/>
    <n v="218"/>
    <n v="0"/>
    <n v="0"/>
    <n v="0"/>
    <n v="0"/>
    <n v="0"/>
    <n v="0"/>
    <n v="0"/>
    <n v="0"/>
    <n v="0"/>
    <n v="3487"/>
    <n v="218"/>
    <n v="0"/>
  </r>
  <r>
    <s v="Monthly-AE-August-2024.csv"/>
    <x v="2"/>
    <s v="NNF16"/>
    <s v="NHS ENGLAND NORTH EAST AND YORKSHIRE "/>
    <x v="198"/>
    <n v="0"/>
    <n v="0"/>
    <n v="1838"/>
    <n v="0"/>
    <n v="0"/>
    <n v="0"/>
    <n v="0"/>
    <n v="0"/>
    <n v="37"/>
    <n v="0"/>
    <n v="0"/>
    <n v="0"/>
    <n v="0"/>
    <n v="0"/>
    <n v="0"/>
    <n v="0"/>
    <n v="0"/>
    <n v="0"/>
    <n v="1838"/>
    <n v="37"/>
    <n v="0"/>
  </r>
  <r>
    <s v="Monthly-AE-August-2024.csv"/>
    <x v="2"/>
    <s v="NNF94"/>
    <s v="NHS ENGLAND NORTH EAST AND YORKSHIRE "/>
    <x v="125"/>
    <n v="0"/>
    <n v="0"/>
    <n v="2910"/>
    <n v="0"/>
    <n v="0"/>
    <n v="0"/>
    <n v="0"/>
    <n v="0"/>
    <n v="169"/>
    <n v="0"/>
    <n v="0"/>
    <n v="0"/>
    <n v="0"/>
    <n v="0"/>
    <n v="0"/>
    <n v="0"/>
    <n v="0"/>
    <n v="0"/>
    <n v="2910"/>
    <n v="169"/>
    <n v="0"/>
  </r>
  <r>
    <s v="Monthly-AE-August-2024.csv"/>
    <x v="2"/>
    <s v="NNFA7"/>
    <s v="NHS ENGLAND NORTH EAST AND YORKSHIRE "/>
    <x v="126"/>
    <n v="0"/>
    <n v="0"/>
    <n v="1541"/>
    <n v="0"/>
    <n v="0"/>
    <n v="0"/>
    <n v="0"/>
    <n v="0"/>
    <n v="15"/>
    <n v="0"/>
    <n v="0"/>
    <n v="0"/>
    <n v="0"/>
    <n v="0"/>
    <n v="0"/>
    <n v="0"/>
    <n v="0"/>
    <n v="0"/>
    <n v="1541"/>
    <n v="15"/>
    <n v="0"/>
  </r>
  <r>
    <s v="Monthly-AE-August-2024.csv"/>
    <x v="2"/>
    <s v="NR3"/>
    <s v="NHS ENGLAND MIDLANDS "/>
    <x v="57"/>
    <n v="0"/>
    <n v="0"/>
    <n v="4789"/>
    <n v="0"/>
    <n v="0"/>
    <n v="241"/>
    <n v="0"/>
    <n v="0"/>
    <n v="92"/>
    <n v="0"/>
    <n v="0"/>
    <n v="0"/>
    <n v="0"/>
    <n v="0"/>
    <n v="0"/>
    <n v="0"/>
    <n v="0"/>
    <n v="0"/>
    <n v="4789"/>
    <n v="92"/>
    <n v="0"/>
  </r>
  <r>
    <s v="Monthly-AE-August-2024.csv"/>
    <x v="2"/>
    <s v="R1D"/>
    <s v="NHS ENGLAND MIDLANDS "/>
    <x v="58"/>
    <n v="0"/>
    <n v="0"/>
    <n v="3262"/>
    <n v="0"/>
    <n v="0"/>
    <n v="1"/>
    <n v="0"/>
    <n v="0"/>
    <n v="3"/>
    <n v="0"/>
    <n v="0"/>
    <n v="0"/>
    <n v="0"/>
    <n v="0"/>
    <n v="0"/>
    <n v="0"/>
    <n v="0"/>
    <n v="0"/>
    <n v="3262"/>
    <n v="3"/>
    <n v="0"/>
  </r>
  <r>
    <s v="Monthly-AE-August-2024.csv"/>
    <x v="2"/>
    <s v="R1F"/>
    <s v="NHS ENGLAND SOUTH EAST "/>
    <x v="127"/>
    <n v="4455"/>
    <n v="282"/>
    <n v="1791"/>
    <n v="20"/>
    <n v="0"/>
    <n v="22"/>
    <n v="1900"/>
    <n v="0"/>
    <n v="0"/>
    <n v="5"/>
    <n v="0"/>
    <n v="0"/>
    <n v="171"/>
    <n v="34"/>
    <n v="1144"/>
    <n v="0"/>
    <n v="0"/>
    <n v="308"/>
    <n v="6528"/>
    <n v="1900"/>
    <n v="1452"/>
  </r>
  <r>
    <s v="Monthly-AE-August-2024.csv"/>
    <x v="2"/>
    <s v="RAE"/>
    <s v="NHS ENGLAND NORTH EAST AND YORKSHIRE "/>
    <x v="79"/>
    <n v="8798"/>
    <n v="1061"/>
    <n v="2757"/>
    <n v="0"/>
    <n v="0"/>
    <n v="0"/>
    <n v="2109"/>
    <n v="0"/>
    <n v="0"/>
    <n v="0"/>
    <n v="0"/>
    <n v="0"/>
    <n v="643"/>
    <n v="64"/>
    <n v="2459"/>
    <n v="0"/>
    <n v="28"/>
    <n v="1356"/>
    <n v="12616"/>
    <n v="2109"/>
    <n v="3843"/>
  </r>
  <r>
    <s v="Monthly-AE-August-2024.csv"/>
    <x v="2"/>
    <s v="RBS"/>
    <s v="NHS ENGLAND NORTH WEST "/>
    <x v="80"/>
    <n v="3843"/>
    <n v="0"/>
    <n v="0"/>
    <n v="0"/>
    <n v="0"/>
    <n v="0"/>
    <n v="290"/>
    <n v="0"/>
    <n v="0"/>
    <n v="0"/>
    <n v="0"/>
    <n v="0"/>
    <n v="0"/>
    <n v="0"/>
    <n v="693"/>
    <n v="0"/>
    <n v="0"/>
    <n v="268"/>
    <n v="3843"/>
    <n v="290"/>
    <n v="961"/>
  </r>
  <r>
    <s v="Monthly-AE-August-2024.csv"/>
    <x v="2"/>
    <s v="RC9"/>
    <s v="NHS ENGLAND EAST OF ENGLAND "/>
    <x v="131"/>
    <n v="15388"/>
    <n v="0"/>
    <n v="6452"/>
    <n v="0"/>
    <n v="0"/>
    <n v="959"/>
    <n v="5874"/>
    <n v="0"/>
    <n v="0"/>
    <n v="0"/>
    <n v="0"/>
    <n v="0"/>
    <n v="82"/>
    <n v="3"/>
    <n v="4343"/>
    <n v="0"/>
    <n v="0"/>
    <n v="2235"/>
    <n v="21840"/>
    <n v="5874"/>
    <n v="6578"/>
  </r>
  <r>
    <s v="Monthly-AE-August-2024.csv"/>
    <x v="2"/>
    <s v="RCF"/>
    <s v="NHS ENGLAND NORTH EAST AND YORKSHIRE "/>
    <x v="104"/>
    <n v="5712"/>
    <n v="250"/>
    <n v="0"/>
    <n v="466"/>
    <n v="0"/>
    <n v="0"/>
    <n v="2335"/>
    <n v="0"/>
    <n v="0"/>
    <n v="0"/>
    <n v="0"/>
    <n v="0"/>
    <n v="419"/>
    <n v="101"/>
    <n v="1463"/>
    <n v="0"/>
    <n v="0"/>
    <n v="504"/>
    <n v="5962"/>
    <n v="2335"/>
    <n v="1967"/>
  </r>
  <r>
    <s v="Monthly-AE-August-2024.csv"/>
    <x v="2"/>
    <s v="RD8"/>
    <s v="NHS ENGLAND EAST OF ENGLAND "/>
    <x v="105"/>
    <n v="7730"/>
    <n v="0"/>
    <n v="4619"/>
    <n v="535"/>
    <n v="0"/>
    <n v="173"/>
    <n v="2694"/>
    <n v="0"/>
    <n v="50"/>
    <n v="169"/>
    <n v="0"/>
    <n v="0"/>
    <n v="384"/>
    <n v="0"/>
    <n v="2146"/>
    <n v="0"/>
    <n v="0"/>
    <n v="406"/>
    <n v="12349"/>
    <n v="2744"/>
    <n v="2552"/>
  </r>
  <r>
    <s v="Monthly-AE-August-2024.csv"/>
    <x v="2"/>
    <s v="REF"/>
    <s v="NHS ENGLAND SOUTH WEST "/>
    <x v="60"/>
    <n v="6978"/>
    <n v="0"/>
    <n v="13933"/>
    <n v="0"/>
    <n v="0"/>
    <n v="0"/>
    <n v="4106"/>
    <n v="0"/>
    <n v="1106"/>
    <n v="0"/>
    <n v="0"/>
    <n v="0"/>
    <n v="691"/>
    <n v="375"/>
    <n v="2357"/>
    <n v="0"/>
    <n v="85"/>
    <n v="1365"/>
    <n v="20911"/>
    <n v="5212"/>
    <n v="3807"/>
  </r>
  <r>
    <s v="Monthly-AE-August-2024.csv"/>
    <x v="2"/>
    <s v="RGP"/>
    <s v="NHS ENGLAND EAST OF ENGLAND "/>
    <x v="61"/>
    <n v="7757"/>
    <n v="0"/>
    <n v="1390"/>
    <n v="0"/>
    <n v="0"/>
    <n v="0"/>
    <n v="3175"/>
    <n v="0"/>
    <n v="0"/>
    <n v="0"/>
    <n v="0"/>
    <n v="0"/>
    <n v="622"/>
    <n v="269"/>
    <n v="1697"/>
    <n v="0"/>
    <n v="0"/>
    <n v="364"/>
    <n v="9147"/>
    <n v="3175"/>
    <n v="2061"/>
  </r>
  <r>
    <s v="Monthly-AE-August-2024.csv"/>
    <x v="2"/>
    <s v="RH8"/>
    <s v="NHS ENGLAND SOUTH WEST "/>
    <x v="186"/>
    <n v="12797"/>
    <n v="0"/>
    <n v="4349"/>
    <n v="1256"/>
    <n v="0"/>
    <n v="88"/>
    <n v="4835"/>
    <n v="0"/>
    <n v="38"/>
    <n v="417"/>
    <n v="0"/>
    <n v="3"/>
    <n v="923"/>
    <n v="18"/>
    <n v="3964"/>
    <n v="0"/>
    <n v="0"/>
    <n v="2052"/>
    <n v="17146"/>
    <n v="4873"/>
    <n v="6016"/>
  </r>
  <r>
    <s v="Monthly-AE-August-2024.csv"/>
    <x v="2"/>
    <s v="RJ2"/>
    <s v="NHS ENGLAND LONDON"/>
    <x v="169"/>
    <n v="13116"/>
    <n v="0"/>
    <n v="9639"/>
    <n v="0"/>
    <n v="0"/>
    <n v="0"/>
    <n v="6100"/>
    <n v="0"/>
    <n v="963"/>
    <n v="0"/>
    <n v="0"/>
    <n v="0"/>
    <n v="909"/>
    <n v="317"/>
    <n v="4035"/>
    <n v="0"/>
    <n v="0"/>
    <n v="1440"/>
    <n v="22755"/>
    <n v="7063"/>
    <n v="5475"/>
  </r>
  <r>
    <s v="Monthly-AE-August-2024.csv"/>
    <x v="2"/>
    <s v="RJ7"/>
    <s v="NHS ENGLAND LONDON"/>
    <x v="137"/>
    <n v="7874"/>
    <n v="0"/>
    <n v="3433"/>
    <n v="430"/>
    <n v="0"/>
    <n v="0"/>
    <n v="2229"/>
    <n v="0"/>
    <n v="0"/>
    <n v="56"/>
    <n v="0"/>
    <n v="0"/>
    <n v="516"/>
    <n v="643"/>
    <n v="2501"/>
    <n v="0"/>
    <n v="0"/>
    <n v="757"/>
    <n v="11307"/>
    <n v="2229"/>
    <n v="3258"/>
  </r>
  <r>
    <s v="Monthly-AE-August-2024.csv"/>
    <x v="2"/>
    <s v="RJC"/>
    <s v="NHS ENGLAND MIDLANDS "/>
    <x v="138"/>
    <n v="7904"/>
    <n v="0"/>
    <n v="387"/>
    <n v="0"/>
    <n v="0"/>
    <n v="0"/>
    <n v="2064"/>
    <n v="0"/>
    <n v="0"/>
    <n v="0"/>
    <n v="0"/>
    <n v="0"/>
    <n v="227"/>
    <n v="3"/>
    <n v="2159"/>
    <n v="0"/>
    <n v="0"/>
    <n v="829"/>
    <n v="8291"/>
    <n v="2064"/>
    <n v="2988"/>
  </r>
  <r>
    <s v="Monthly-AE-August-2024.csv"/>
    <x v="2"/>
    <s v="RK5"/>
    <s v="NHS ENGLAND MIDLANDS "/>
    <x v="109"/>
    <n v="10030"/>
    <n v="0"/>
    <n v="5073"/>
    <n v="342"/>
    <n v="0"/>
    <n v="125"/>
    <n v="2611"/>
    <n v="0"/>
    <n v="83"/>
    <n v="101"/>
    <n v="0"/>
    <n v="5"/>
    <n v="219"/>
    <n v="27"/>
    <n v="3583"/>
    <n v="0"/>
    <n v="0"/>
    <n v="286"/>
    <n v="15103"/>
    <n v="2694"/>
    <n v="3869"/>
  </r>
  <r>
    <s v="Monthly-AE-August-2024.csv"/>
    <x v="2"/>
    <s v="RL4"/>
    <s v="NHS ENGLAND MIDLANDS "/>
    <x v="85"/>
    <n v="12199"/>
    <n v="0"/>
    <n v="6590"/>
    <n v="70"/>
    <n v="0"/>
    <n v="791"/>
    <n v="3643"/>
    <n v="0"/>
    <n v="23"/>
    <n v="9"/>
    <n v="0"/>
    <n v="0"/>
    <n v="1004"/>
    <n v="182"/>
    <n v="5672"/>
    <n v="0"/>
    <n v="0"/>
    <n v="892"/>
    <n v="18789"/>
    <n v="3666"/>
    <n v="6564"/>
  </r>
  <r>
    <s v="Monthly-AE-August-2024.csv"/>
    <x v="2"/>
    <s v="RLT"/>
    <s v="NHS ENGLAND MIDLANDS "/>
    <x v="141"/>
    <n v="6068"/>
    <n v="0"/>
    <n v="1727"/>
    <n v="0"/>
    <n v="0"/>
    <n v="0"/>
    <n v="2011"/>
    <n v="0"/>
    <n v="16"/>
    <n v="0"/>
    <n v="0"/>
    <n v="0"/>
    <n v="505"/>
    <n v="56"/>
    <n v="1119"/>
    <n v="0"/>
    <n v="0"/>
    <n v="30"/>
    <n v="7795"/>
    <n v="2027"/>
    <n v="1149"/>
  </r>
  <r>
    <s v="Monthly-AE-August-2024.csv"/>
    <x v="2"/>
    <s v="RNA"/>
    <s v="NHS ENGLAND MIDLANDS "/>
    <x v="63"/>
    <n v="8675"/>
    <n v="0"/>
    <n v="3924"/>
    <n v="0"/>
    <n v="0"/>
    <n v="713"/>
    <n v="2155"/>
    <n v="0"/>
    <n v="30"/>
    <n v="0"/>
    <n v="0"/>
    <n v="0"/>
    <n v="1944"/>
    <n v="11"/>
    <n v="3596"/>
    <n v="0"/>
    <n v="0"/>
    <n v="2091"/>
    <n v="12599"/>
    <n v="2185"/>
    <n v="5687"/>
  </r>
  <r>
    <s v="Monthly-AE-August-2024.csv"/>
    <x v="2"/>
    <s v="RNN"/>
    <s v="NHS ENGLAND NORTH EAST AND YORKSHIRE "/>
    <x v="111"/>
    <n v="8417"/>
    <n v="0"/>
    <n v="1977"/>
    <n v="389"/>
    <n v="0"/>
    <n v="39"/>
    <n v="3254"/>
    <n v="0"/>
    <n v="52"/>
    <n v="80"/>
    <n v="0"/>
    <n v="3"/>
    <n v="570"/>
    <n v="379"/>
    <n v="2330"/>
    <n v="0"/>
    <n v="0"/>
    <n v="683"/>
    <n v="10394"/>
    <n v="3306"/>
    <n v="3013"/>
  </r>
  <r>
    <s v="Monthly-AE-August-2024.csv"/>
    <x v="2"/>
    <s v="RNS"/>
    <s v="NHS ENGLAND MIDLANDS "/>
    <x v="41"/>
    <n v="9338"/>
    <n v="584"/>
    <n v="1949"/>
    <n v="1322"/>
    <n v="0"/>
    <n v="69"/>
    <n v="3165"/>
    <n v="13"/>
    <n v="21"/>
    <n v="374"/>
    <n v="0"/>
    <n v="2"/>
    <n v="526"/>
    <n v="721"/>
    <n v="1925"/>
    <n v="0"/>
    <n v="0"/>
    <n v="1155"/>
    <n v="11871"/>
    <n v="3199"/>
    <n v="3080"/>
  </r>
  <r>
    <s v="Monthly-AE-August-2024.csv"/>
    <x v="2"/>
    <s v="RP5"/>
    <s v="NHS ENGLAND NORTH EAST AND YORKSHIRE "/>
    <x v="145"/>
    <n v="12903"/>
    <n v="0"/>
    <n v="3593"/>
    <n v="0"/>
    <n v="0"/>
    <n v="0"/>
    <n v="4532"/>
    <n v="0"/>
    <n v="4"/>
    <n v="0"/>
    <n v="0"/>
    <n v="0"/>
    <n v="984"/>
    <n v="82"/>
    <n v="4240"/>
    <n v="0"/>
    <n v="416"/>
    <n v="921"/>
    <n v="16496"/>
    <n v="4536"/>
    <n v="5577"/>
  </r>
  <r>
    <s v="Monthly-AE-August-2024.csv"/>
    <x v="2"/>
    <s v="RP6"/>
    <s v="NHS ENGLAND LONDON"/>
    <x v="65"/>
    <n v="0"/>
    <n v="5681"/>
    <n v="0"/>
    <n v="0"/>
    <n v="0"/>
    <n v="0"/>
    <n v="0"/>
    <n v="106"/>
    <n v="0"/>
    <n v="0"/>
    <n v="0"/>
    <n v="0"/>
    <n v="0"/>
    <n v="0"/>
    <n v="0"/>
    <n v="1"/>
    <n v="0"/>
    <n v="235"/>
    <n v="5681"/>
    <n v="106"/>
    <n v="236"/>
  </r>
  <r>
    <s v="Monthly-AE-August-2024.csv"/>
    <x v="2"/>
    <s v="RQM"/>
    <s v="NHS ENGLAND LONDON"/>
    <x v="147"/>
    <n v="17554"/>
    <n v="0"/>
    <n v="5324"/>
    <n v="578"/>
    <n v="0"/>
    <n v="0"/>
    <n v="4169"/>
    <n v="0"/>
    <n v="23"/>
    <n v="0"/>
    <n v="0"/>
    <n v="0"/>
    <n v="321"/>
    <n v="37"/>
    <n v="2560"/>
    <n v="0"/>
    <n v="0"/>
    <n v="366"/>
    <n v="22878"/>
    <n v="4192"/>
    <n v="2926"/>
  </r>
  <r>
    <s v="Monthly-AE-August-2024.csv"/>
    <x v="2"/>
    <s v="RTD"/>
    <s v="NHS ENGLAND NORTH EAST AND YORKSHIRE "/>
    <x v="180"/>
    <n v="11019"/>
    <n v="1533"/>
    <n v="4532"/>
    <n v="0"/>
    <n v="0"/>
    <n v="741"/>
    <n v="4134"/>
    <n v="57"/>
    <n v="0"/>
    <n v="0"/>
    <n v="0"/>
    <n v="0"/>
    <n v="280"/>
    <n v="3"/>
    <n v="3250"/>
    <n v="24"/>
    <n v="0"/>
    <n v="2712"/>
    <n v="17084"/>
    <n v="4191"/>
    <n v="5986"/>
  </r>
  <r>
    <s v="Monthly-AE-August-2024.csv"/>
    <x v="2"/>
    <s v="RTK"/>
    <s v="NHS ENGLAND SOUTH EAST "/>
    <x v="114"/>
    <n v="9097"/>
    <n v="0"/>
    <n v="0"/>
    <n v="0"/>
    <n v="0"/>
    <n v="0"/>
    <n v="2779"/>
    <n v="0"/>
    <n v="0"/>
    <n v="0"/>
    <n v="0"/>
    <n v="0"/>
    <n v="455"/>
    <n v="137"/>
    <n v="2698"/>
    <n v="0"/>
    <n v="0"/>
    <n v="555"/>
    <n v="9097"/>
    <n v="2779"/>
    <n v="3253"/>
  </r>
  <r>
    <s v="Monthly-AE-August-2024.csv"/>
    <x v="2"/>
    <s v="RTR"/>
    <s v="NHS ENGLAND NORTH EAST AND YORKSHIRE "/>
    <x v="153"/>
    <n v="7068"/>
    <n v="0"/>
    <n v="8661"/>
    <n v="0"/>
    <n v="0"/>
    <n v="1660"/>
    <n v="3345"/>
    <n v="0"/>
    <n v="323"/>
    <n v="0"/>
    <n v="0"/>
    <n v="42"/>
    <n v="224"/>
    <n v="3"/>
    <n v="2539"/>
    <n v="0"/>
    <n v="128"/>
    <n v="2107"/>
    <n v="15729"/>
    <n v="3668"/>
    <n v="4774"/>
  </r>
  <r>
    <s v="Monthly-AE-August-2024.csv"/>
    <x v="2"/>
    <s v="RVV"/>
    <s v="NHS ENGLAND SOUTH EAST "/>
    <x v="155"/>
    <n v="12131"/>
    <n v="0"/>
    <n v="12066"/>
    <n v="0"/>
    <n v="0"/>
    <n v="0"/>
    <n v="5313"/>
    <n v="0"/>
    <n v="152"/>
    <n v="0"/>
    <n v="0"/>
    <n v="0"/>
    <n v="581"/>
    <n v="1033"/>
    <n v="2971"/>
    <n v="0"/>
    <n v="637"/>
    <n v="481"/>
    <n v="24197"/>
    <n v="5465"/>
    <n v="4089"/>
  </r>
  <r>
    <s v="Monthly-AE-August-2024.csv"/>
    <x v="2"/>
    <s v="RWA"/>
    <s v="NHS ENGLAND NORTH EAST AND YORKSHIRE "/>
    <x v="116"/>
    <n v="8912"/>
    <n v="0"/>
    <n v="4121"/>
    <n v="0"/>
    <n v="0"/>
    <n v="0"/>
    <n v="4513"/>
    <n v="0"/>
    <n v="128"/>
    <n v="0"/>
    <n v="0"/>
    <n v="0"/>
    <n v="1046"/>
    <n v="221"/>
    <n v="3476"/>
    <n v="0"/>
    <n v="0"/>
    <n v="1974"/>
    <n v="13033"/>
    <n v="4641"/>
    <n v="5450"/>
  </r>
  <r>
    <s v="Monthly-AE-August-2024.csv"/>
    <x v="2"/>
    <s v="RX1"/>
    <s v="NHS ENGLAND MIDLANDS "/>
    <x v="69"/>
    <n v="14080"/>
    <n v="1762"/>
    <n v="331"/>
    <n v="588"/>
    <n v="0"/>
    <n v="0"/>
    <n v="6415"/>
    <n v="74"/>
    <n v="1"/>
    <n v="243"/>
    <n v="0"/>
    <n v="0"/>
    <n v="702"/>
    <n v="230"/>
    <n v="4180"/>
    <n v="0"/>
    <n v="0"/>
    <n v="3716"/>
    <n v="16173"/>
    <n v="6490"/>
    <n v="7896"/>
  </r>
  <r>
    <s v="Monthly-AE-August-2024.csv"/>
    <x v="2"/>
    <s v="RXC"/>
    <s v="NHS ENGLAND SOUTH EAST "/>
    <x v="70"/>
    <n v="8411"/>
    <n v="0"/>
    <n v="2403"/>
    <n v="1913"/>
    <n v="0"/>
    <n v="1162"/>
    <n v="2960"/>
    <n v="0"/>
    <n v="13"/>
    <n v="0"/>
    <n v="0"/>
    <n v="0"/>
    <n v="239"/>
    <n v="4"/>
    <n v="2971"/>
    <n v="0"/>
    <n v="0"/>
    <n v="596"/>
    <n v="10814"/>
    <n v="2973"/>
    <n v="3567"/>
  </r>
  <r>
    <s v="Monthly-AE-August-2024.csv"/>
    <x v="2"/>
    <s v="RXN"/>
    <s v="NHS ENGLAND NORTH WEST "/>
    <x v="91"/>
    <n v="11392"/>
    <n v="0"/>
    <n v="3432"/>
    <n v="140"/>
    <n v="0"/>
    <n v="35"/>
    <n v="4112"/>
    <n v="0"/>
    <n v="67"/>
    <n v="21"/>
    <n v="0"/>
    <n v="0"/>
    <n v="1029"/>
    <n v="299"/>
    <n v="3076"/>
    <n v="0"/>
    <n v="80"/>
    <n v="1095"/>
    <n v="14824"/>
    <n v="4179"/>
    <n v="4251"/>
  </r>
  <r>
    <s v="Monthly-AE-August-2024.csv"/>
    <x v="2"/>
    <s v="RXR"/>
    <s v="NHS ENGLAND NORTH WEST "/>
    <x v="92"/>
    <n v="12519"/>
    <n v="0"/>
    <n v="9583"/>
    <n v="0"/>
    <n v="0"/>
    <n v="0"/>
    <n v="4131"/>
    <n v="0"/>
    <n v="385"/>
    <n v="0"/>
    <n v="0"/>
    <n v="0"/>
    <n v="767"/>
    <n v="713"/>
    <n v="4075"/>
    <n v="0"/>
    <n v="92"/>
    <n v="1386"/>
    <n v="22102"/>
    <n v="4516"/>
    <n v="5553"/>
  </r>
  <r>
    <s v="Monthly-AE-August-2024.csv"/>
    <x v="2"/>
    <s v="RY7"/>
    <s v="NHS ENGLAND NORTH WEST "/>
    <x v="12"/>
    <n v="0"/>
    <n v="0"/>
    <n v="4431"/>
    <n v="0"/>
    <n v="0"/>
    <n v="0"/>
    <n v="0"/>
    <n v="0"/>
    <n v="92"/>
    <n v="0"/>
    <n v="0"/>
    <n v="0"/>
    <n v="0"/>
    <n v="0"/>
    <n v="0"/>
    <n v="0"/>
    <n v="0"/>
    <n v="0"/>
    <n v="4431"/>
    <n v="92"/>
    <n v="0"/>
  </r>
  <r>
    <s v="Monthly-AE-August-2024.csv"/>
    <x v="2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8"/>
    <n v="70"/>
    <n v="0"/>
    <n v="0"/>
    <n v="78"/>
  </r>
  <r>
    <s v="Monthly-AE-August-2024.csv"/>
    <x v="2"/>
    <s v="RYR"/>
    <s v="NHS ENGLAND SOUTH EAST "/>
    <x v="122"/>
    <n v="21299"/>
    <n v="1537"/>
    <n v="5156"/>
    <n v="1364"/>
    <n v="0"/>
    <n v="1168"/>
    <n v="8909"/>
    <n v="26"/>
    <n v="583"/>
    <n v="443"/>
    <n v="0"/>
    <n v="26"/>
    <n v="1561"/>
    <n v="1108"/>
    <n v="8163"/>
    <n v="35"/>
    <n v="43"/>
    <n v="1373"/>
    <n v="27992"/>
    <n v="9518"/>
    <n v="9614"/>
  </r>
  <r>
    <s v="Monthly-AE-August-2024.csv"/>
    <x v="2"/>
    <s v="R0D"/>
    <s v="NHS ENGLAND SOUTH WEST "/>
    <x v="77"/>
    <n v="13227"/>
    <n v="0"/>
    <n v="5108"/>
    <n v="0"/>
    <n v="0"/>
    <n v="0"/>
    <n v="4636"/>
    <n v="0"/>
    <n v="0"/>
    <n v="0"/>
    <n v="0"/>
    <n v="0"/>
    <n v="520"/>
    <n v="34"/>
    <n v="4203"/>
    <n v="6"/>
    <n v="0"/>
    <n v="2250"/>
    <n v="18335"/>
    <n v="4636"/>
    <n v="6459"/>
  </r>
  <r>
    <s v="Monthly-AE-August-2024.csv"/>
    <x v="2"/>
    <s v="RAS"/>
    <s v="NHS ENGLAND LONDON"/>
    <x v="182"/>
    <n v="5660"/>
    <n v="0"/>
    <n v="6238"/>
    <n v="0"/>
    <n v="0"/>
    <n v="0"/>
    <n v="3220"/>
    <n v="0"/>
    <n v="124"/>
    <n v="0"/>
    <n v="0"/>
    <n v="0"/>
    <n v="280"/>
    <n v="10"/>
    <n v="2589"/>
    <n v="0"/>
    <n v="0"/>
    <n v="207"/>
    <n v="11898"/>
    <n v="3344"/>
    <n v="2796"/>
  </r>
  <r>
    <s v="Monthly-AE-August-2024.csv"/>
    <x v="2"/>
    <s v="RBN"/>
    <s v="NHS ENGLAND NORTH WEST "/>
    <x v="174"/>
    <n v="15686"/>
    <n v="0"/>
    <n v="6746"/>
    <n v="426"/>
    <n v="0"/>
    <n v="0"/>
    <n v="5312"/>
    <n v="0"/>
    <n v="41"/>
    <n v="46"/>
    <n v="0"/>
    <n v="0"/>
    <n v="718"/>
    <n v="298"/>
    <n v="6935"/>
    <n v="0"/>
    <n v="0"/>
    <n v="587"/>
    <n v="22432"/>
    <n v="5353"/>
    <n v="7522"/>
  </r>
  <r>
    <s v="Monthly-AE-August-2024.csv"/>
    <x v="2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767"/>
    <n v="0"/>
    <n v="0"/>
    <n v="767"/>
  </r>
  <r>
    <s v="Monthly-AE-August-2024.csv"/>
    <x v="2"/>
    <s v="RCB"/>
    <s v="NHS ENGLAND NORTH EAST AND YORKSHIRE "/>
    <x v="103"/>
    <n v="10260"/>
    <n v="359"/>
    <n v="6792"/>
    <n v="0"/>
    <n v="0"/>
    <n v="0"/>
    <n v="5736"/>
    <n v="0"/>
    <n v="221"/>
    <n v="0"/>
    <n v="0"/>
    <n v="0"/>
    <n v="830"/>
    <n v="388"/>
    <n v="4485"/>
    <n v="0"/>
    <n v="0"/>
    <n v="1351"/>
    <n v="17411"/>
    <n v="5957"/>
    <n v="5836"/>
  </r>
  <r>
    <s v="Monthly-AE-August-2024.csv"/>
    <x v="2"/>
    <s v="RCD"/>
    <s v="NHS ENGLAND NORTH EAST AND YORKSHIRE "/>
    <x v="184"/>
    <n v="4834"/>
    <n v="0"/>
    <n v="1047"/>
    <n v="294"/>
    <n v="0"/>
    <n v="32"/>
    <n v="1229"/>
    <n v="0"/>
    <n v="0"/>
    <n v="40"/>
    <n v="0"/>
    <n v="0"/>
    <n v="212"/>
    <n v="4"/>
    <n v="1055"/>
    <n v="0"/>
    <n v="0"/>
    <n v="240"/>
    <n v="5881"/>
    <n v="1229"/>
    <n v="1295"/>
  </r>
  <r>
    <s v="Monthly-AE-August-2024.csv"/>
    <x v="2"/>
    <s v="RDE"/>
    <s v="NHS ENGLAND EAST OF ENGLAND "/>
    <x v="132"/>
    <n v="14589"/>
    <n v="0"/>
    <n v="11577"/>
    <n v="768"/>
    <n v="0"/>
    <n v="282"/>
    <n v="6004"/>
    <n v="0"/>
    <n v="90"/>
    <n v="0"/>
    <n v="0"/>
    <n v="0"/>
    <n v="931"/>
    <n v="120"/>
    <n v="6315"/>
    <n v="0"/>
    <n v="333"/>
    <n v="891"/>
    <n v="26166"/>
    <n v="6094"/>
    <n v="7539"/>
  </r>
  <r>
    <s v="Monthly-AE-August-2024.csv"/>
    <x v="2"/>
    <s v="RFR"/>
    <s v="NHS ENGLAND NORTH EAST AND YORKSHIRE "/>
    <x v="45"/>
    <n v="8118"/>
    <n v="0"/>
    <n v="0"/>
    <n v="0"/>
    <n v="0"/>
    <n v="0"/>
    <n v="2552"/>
    <n v="0"/>
    <n v="0"/>
    <n v="0"/>
    <n v="0"/>
    <n v="0"/>
    <n v="337"/>
    <n v="0"/>
    <n v="1904"/>
    <n v="0"/>
    <n v="0"/>
    <n v="344"/>
    <n v="8118"/>
    <n v="2552"/>
    <n v="2248"/>
  </r>
  <r>
    <s v="Monthly-AE-August-2024.csv"/>
    <x v="2"/>
    <s v="RFS"/>
    <s v="NHS ENGLAND MIDLANDS "/>
    <x v="133"/>
    <n v="7088"/>
    <n v="0"/>
    <n v="1456"/>
    <n v="185"/>
    <n v="0"/>
    <n v="90"/>
    <n v="3150"/>
    <n v="0"/>
    <n v="126"/>
    <n v="71"/>
    <n v="0"/>
    <n v="9"/>
    <n v="756"/>
    <n v="57"/>
    <n v="2644"/>
    <n v="0"/>
    <n v="275"/>
    <n v="563"/>
    <n v="8544"/>
    <n v="3276"/>
    <n v="3482"/>
  </r>
  <r>
    <s v="Monthly-AE-August-2024.csv"/>
    <x v="2"/>
    <s v="RGN"/>
    <s v="NHS ENGLAND EAST OF ENGLAND "/>
    <x v="106"/>
    <n v="13526"/>
    <n v="0"/>
    <n v="4324"/>
    <n v="250"/>
    <n v="0"/>
    <n v="466"/>
    <n v="4683"/>
    <n v="0"/>
    <n v="98"/>
    <n v="73"/>
    <n v="0"/>
    <n v="6"/>
    <n v="604"/>
    <n v="559"/>
    <n v="3517"/>
    <n v="0"/>
    <n v="54"/>
    <n v="1252"/>
    <n v="17850"/>
    <n v="4781"/>
    <n v="4823"/>
  </r>
  <r>
    <s v="Monthly-AE-August-2024.csv"/>
    <x v="2"/>
    <s v="RGT"/>
    <s v="NHS ENGLAND EAST OF ENGLAND "/>
    <x v="107"/>
    <n v="10138"/>
    <n v="0"/>
    <n v="5640"/>
    <n v="283"/>
    <n v="0"/>
    <n v="337"/>
    <n v="4471"/>
    <n v="0"/>
    <n v="61"/>
    <n v="83"/>
    <n v="0"/>
    <n v="5"/>
    <n v="595"/>
    <n v="245"/>
    <n v="2740"/>
    <n v="0"/>
    <n v="34"/>
    <n v="451"/>
    <n v="15778"/>
    <n v="4532"/>
    <n v="3225"/>
  </r>
  <r>
    <s v="Monthly-AE-August-2024.csv"/>
    <x v="2"/>
    <s v="RH5"/>
    <s v="NHS ENGLAND SOUTH WEST "/>
    <x v="175"/>
    <n v="12836"/>
    <n v="0"/>
    <n v="9360"/>
    <n v="0"/>
    <n v="0"/>
    <n v="1"/>
    <n v="4814"/>
    <n v="0"/>
    <n v="141"/>
    <n v="0"/>
    <n v="0"/>
    <n v="0"/>
    <n v="322"/>
    <n v="38"/>
    <n v="3088"/>
    <n v="0"/>
    <n v="0"/>
    <n v="2011"/>
    <n v="22196"/>
    <n v="4955"/>
    <n v="5099"/>
  </r>
  <r>
    <s v="Monthly-AE-August-2024.csv"/>
    <x v="2"/>
    <s v="RHQ"/>
    <s v="NHS ENGLAND NORTH EAST AND YORKSHIRE "/>
    <x v="168"/>
    <n v="8861"/>
    <n v="1132"/>
    <n v="6642"/>
    <n v="370"/>
    <n v="1"/>
    <n v="985"/>
    <n v="4351"/>
    <n v="0"/>
    <n v="88"/>
    <n v="151"/>
    <n v="0"/>
    <n v="4"/>
    <n v="1097"/>
    <n v="13"/>
    <n v="3514"/>
    <n v="0"/>
    <n v="0"/>
    <n v="2968"/>
    <n v="16635"/>
    <n v="4439"/>
    <n v="6482"/>
  </r>
  <r>
    <s v="Monthly-AE-August-2024.csv"/>
    <x v="2"/>
    <s v="RJE"/>
    <s v="NHS ENGLAND MIDLANDS "/>
    <x v="84"/>
    <n v="12919"/>
    <n v="433"/>
    <n v="7598"/>
    <n v="613"/>
    <n v="0"/>
    <n v="515"/>
    <n v="5675"/>
    <n v="0"/>
    <n v="60"/>
    <n v="219"/>
    <n v="0"/>
    <n v="8"/>
    <n v="1133"/>
    <n v="247"/>
    <n v="4994"/>
    <n v="0"/>
    <n v="0"/>
    <n v="3714"/>
    <n v="20950"/>
    <n v="5735"/>
    <n v="8708"/>
  </r>
  <r>
    <s v="Monthly-AE-August-2024.csv"/>
    <x v="2"/>
    <s v="RKB"/>
    <s v="NHS ENGLAND MIDLANDS "/>
    <x v="140"/>
    <n v="10799"/>
    <n v="816"/>
    <n v="5748"/>
    <n v="0"/>
    <n v="0"/>
    <n v="0"/>
    <n v="5613"/>
    <n v="168"/>
    <n v="146"/>
    <n v="0"/>
    <n v="0"/>
    <n v="0"/>
    <n v="108"/>
    <n v="26"/>
    <n v="1669"/>
    <n v="30"/>
    <n v="150"/>
    <n v="598"/>
    <n v="17363"/>
    <n v="5927"/>
    <n v="2447"/>
  </r>
  <r>
    <s v="Monthly-AE-August-2024.csv"/>
    <x v="2"/>
    <s v="RKE"/>
    <s v="NHS ENGLAND LONDON"/>
    <x v="170"/>
    <n v="8979"/>
    <n v="0"/>
    <n v="0"/>
    <n v="0"/>
    <n v="0"/>
    <n v="0"/>
    <n v="2440"/>
    <n v="0"/>
    <n v="0"/>
    <n v="0"/>
    <n v="0"/>
    <n v="0"/>
    <n v="302"/>
    <n v="113"/>
    <n v="983"/>
    <n v="0"/>
    <n v="0"/>
    <n v="38"/>
    <n v="8979"/>
    <n v="2440"/>
    <n v="1021"/>
  </r>
  <r>
    <s v="Monthly-AE-August-2024.csv"/>
    <x v="2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n v="22"/>
  </r>
  <r>
    <s v="Monthly-AE-August-2024.csv"/>
    <x v="2"/>
    <s v="RM1"/>
    <s v="NHS ENGLAND EAST OF ENGLAND "/>
    <x v="142"/>
    <n v="12009"/>
    <n v="0"/>
    <n v="8937"/>
    <n v="0"/>
    <n v="0"/>
    <n v="0"/>
    <n v="3719"/>
    <n v="0"/>
    <n v="1"/>
    <n v="0"/>
    <n v="0"/>
    <n v="0"/>
    <n v="594"/>
    <n v="69"/>
    <n v="2697"/>
    <n v="0"/>
    <n v="0"/>
    <n v="1524"/>
    <n v="20946"/>
    <n v="3720"/>
    <n v="4221"/>
  </r>
  <r>
    <s v="Monthly-AE-August-2024.csv"/>
    <x v="2"/>
    <s v="RMP"/>
    <s v="NHS ENGLAND NORTH WEST "/>
    <x v="143"/>
    <n v="7648"/>
    <n v="0"/>
    <n v="2203"/>
    <n v="378"/>
    <n v="0"/>
    <n v="211"/>
    <n v="3013"/>
    <n v="0"/>
    <n v="0"/>
    <n v="0"/>
    <n v="0"/>
    <n v="0"/>
    <n v="629"/>
    <n v="97"/>
    <n v="1721"/>
    <n v="0"/>
    <n v="0"/>
    <n v="326"/>
    <n v="9851"/>
    <n v="3013"/>
    <n v="2047"/>
  </r>
  <r>
    <s v="Monthly-AE-August-2024.csv"/>
    <x v="2"/>
    <s v="RN5"/>
    <s v="NHS ENGLAND SOUTH EAST "/>
    <x v="110"/>
    <n v="11978"/>
    <n v="104"/>
    <n v="476"/>
    <n v="0"/>
    <n v="0"/>
    <n v="161"/>
    <n v="5150"/>
    <n v="0"/>
    <n v="0"/>
    <n v="0"/>
    <n v="0"/>
    <n v="0"/>
    <n v="283"/>
    <n v="20"/>
    <n v="4148"/>
    <n v="10"/>
    <n v="37"/>
    <n v="1158"/>
    <n v="12558"/>
    <n v="5150"/>
    <n v="5353"/>
  </r>
  <r>
    <s v="Monthly-AE-August-2024.csv"/>
    <x v="2"/>
    <s v="RN7"/>
    <s v="NHS ENGLAND SOUTH EAST "/>
    <x v="171"/>
    <n v="10046"/>
    <n v="0"/>
    <n v="3539"/>
    <n v="0"/>
    <n v="0"/>
    <n v="0"/>
    <n v="2955"/>
    <n v="0"/>
    <n v="16"/>
    <n v="0"/>
    <n v="0"/>
    <n v="0"/>
    <n v="578"/>
    <n v="50"/>
    <n v="2806"/>
    <n v="0"/>
    <n v="0"/>
    <n v="400"/>
    <n v="13585"/>
    <n v="2971"/>
    <n v="3206"/>
  </r>
  <r>
    <s v="Monthly-AE-August-2024.csv"/>
    <x v="2"/>
    <s v="RNZ"/>
    <s v="NHS ENGLAND SOUTH WEST "/>
    <x v="144"/>
    <n v="4489"/>
    <n v="334"/>
    <n v="1814"/>
    <n v="176"/>
    <n v="0"/>
    <n v="0"/>
    <n v="1846"/>
    <n v="0"/>
    <n v="0"/>
    <n v="75"/>
    <n v="0"/>
    <n v="0"/>
    <n v="379"/>
    <n v="2"/>
    <n v="1309"/>
    <n v="0"/>
    <n v="0"/>
    <n v="862"/>
    <n v="6637"/>
    <n v="1846"/>
    <n v="2171"/>
  </r>
  <r>
    <s v="Monthly-AE-August-2024.csv"/>
    <x v="2"/>
    <s v="RTE"/>
    <s v="NHS ENGLAND SOUTH WEST "/>
    <x v="151"/>
    <n v="12375"/>
    <n v="0"/>
    <n v="0"/>
    <n v="220"/>
    <n v="0"/>
    <n v="0"/>
    <n v="4612"/>
    <n v="0"/>
    <n v="0"/>
    <n v="61"/>
    <n v="0"/>
    <n v="0"/>
    <n v="586"/>
    <n v="394"/>
    <n v="2569"/>
    <n v="0"/>
    <n v="0"/>
    <n v="1970"/>
    <n v="12375"/>
    <n v="4612"/>
    <n v="4539"/>
  </r>
  <r>
    <s v="Monthly-AE-August-2024.csv"/>
    <x v="2"/>
    <s v="RTF"/>
    <s v="NHS ENGLAND NORTH EAST AND YORKSHIRE "/>
    <x v="152"/>
    <n v="8979"/>
    <n v="0"/>
    <n v="12194"/>
    <n v="0"/>
    <n v="0"/>
    <n v="0"/>
    <n v="1587"/>
    <n v="0"/>
    <n v="7"/>
    <n v="0"/>
    <n v="0"/>
    <n v="0"/>
    <n v="8"/>
    <n v="0"/>
    <n v="4196"/>
    <n v="0"/>
    <n v="63"/>
    <n v="417"/>
    <n v="21173"/>
    <n v="1594"/>
    <n v="4676"/>
  </r>
  <r>
    <s v="Monthly-AE-August-2024.csv"/>
    <x v="2"/>
    <s v="RWH"/>
    <s v="NHS ENGLAND EAST OF ENGLAND "/>
    <x v="157"/>
    <n v="8325"/>
    <n v="0"/>
    <n v="6787"/>
    <n v="0"/>
    <n v="0"/>
    <n v="0"/>
    <n v="3977"/>
    <n v="0"/>
    <n v="55"/>
    <n v="0"/>
    <n v="0"/>
    <n v="0"/>
    <n v="180"/>
    <n v="10"/>
    <n v="3300"/>
    <n v="0"/>
    <n v="99"/>
    <n v="264"/>
    <n v="15112"/>
    <n v="4032"/>
    <n v="3663"/>
  </r>
  <r>
    <s v="Monthly-AE-August-2024.csv"/>
    <x v="2"/>
    <s v="RWP"/>
    <s v="NHS ENGLAND MIDLANDS "/>
    <x v="68"/>
    <n v="12435"/>
    <n v="0"/>
    <n v="6018"/>
    <n v="193"/>
    <n v="0"/>
    <n v="17"/>
    <n v="5940"/>
    <n v="0"/>
    <n v="4"/>
    <n v="74"/>
    <n v="0"/>
    <n v="0"/>
    <n v="780"/>
    <n v="335"/>
    <n v="3307"/>
    <n v="0"/>
    <n v="0"/>
    <n v="922"/>
    <n v="18453"/>
    <n v="5944"/>
    <n v="4229"/>
  </r>
  <r>
    <s v="Monthly-AE-August-2024.csv"/>
    <x v="2"/>
    <s v="RY2"/>
    <s v="NHS ENGLAND NORTH WEST "/>
    <x v="73"/>
    <n v="0"/>
    <n v="0"/>
    <n v="2856"/>
    <n v="0"/>
    <n v="0"/>
    <n v="160"/>
    <n v="0"/>
    <n v="0"/>
    <n v="35"/>
    <n v="0"/>
    <n v="0"/>
    <n v="1"/>
    <n v="0"/>
    <n v="0"/>
    <n v="0"/>
    <n v="0"/>
    <n v="0"/>
    <n v="0"/>
    <n v="2856"/>
    <n v="35"/>
    <n v="0"/>
  </r>
  <r>
    <s v="Monthly-AE-August-2024.csv"/>
    <x v="2"/>
    <s v="RAP"/>
    <s v="NHS ENGLAND LONDON"/>
    <x v="129"/>
    <n v="7497"/>
    <n v="446"/>
    <n v="5804"/>
    <n v="97"/>
    <n v="1"/>
    <n v="120"/>
    <n v="3764"/>
    <n v="1"/>
    <n v="449"/>
    <n v="39"/>
    <n v="0"/>
    <n v="16"/>
    <n v="340"/>
    <n v="742"/>
    <n v="1373"/>
    <n v="0"/>
    <n v="148"/>
    <n v="73"/>
    <n v="13747"/>
    <n v="4214"/>
    <n v="1594"/>
  </r>
  <r>
    <s v="Monthly-AE-August-2024.csv"/>
    <x v="2"/>
    <s v="RAX"/>
    <s v="NHS ENGLAND LONDON"/>
    <x v="100"/>
    <n v="6465"/>
    <n v="0"/>
    <n v="7507"/>
    <n v="0"/>
    <n v="0"/>
    <n v="0"/>
    <n v="2705"/>
    <n v="0"/>
    <n v="171"/>
    <n v="0"/>
    <n v="0"/>
    <n v="0"/>
    <n v="214"/>
    <n v="343"/>
    <n v="1935"/>
    <n v="0"/>
    <n v="152"/>
    <n v="469"/>
    <n v="13972"/>
    <n v="2876"/>
    <n v="2556"/>
  </r>
  <r>
    <s v="Monthly-AE-August-2024.csv"/>
    <x v="2"/>
    <s v="RD1"/>
    <s v="NHS ENGLAND SOUTH WEST "/>
    <x v="165"/>
    <n v="8167"/>
    <n v="0"/>
    <n v="0"/>
    <n v="0"/>
    <n v="0"/>
    <n v="0"/>
    <n v="3025"/>
    <n v="0"/>
    <n v="0"/>
    <n v="0"/>
    <n v="0"/>
    <n v="0"/>
    <n v="560"/>
    <n v="15"/>
    <n v="2434"/>
    <n v="0"/>
    <n v="7"/>
    <n v="1471"/>
    <n v="8167"/>
    <n v="3025"/>
    <n v="3912"/>
  </r>
  <r>
    <s v="Monthly-AE-August-2024.csv"/>
    <x v="2"/>
    <s v="RHM"/>
    <s v="NHS ENGLAND SOUTH EAST "/>
    <x v="134"/>
    <n v="11011"/>
    <n v="1283"/>
    <n v="0"/>
    <n v="225"/>
    <n v="0"/>
    <n v="0"/>
    <n v="3616"/>
    <n v="112"/>
    <n v="0"/>
    <n v="42"/>
    <n v="0"/>
    <n v="0"/>
    <n v="241"/>
    <n v="6"/>
    <n v="3770"/>
    <n v="8"/>
    <n v="0"/>
    <n v="1541"/>
    <n v="12294"/>
    <n v="3728"/>
    <n v="5319"/>
  </r>
  <r>
    <s v="Monthly-AE-August-2024.csv"/>
    <x v="2"/>
    <s v="RJ1"/>
    <s v="NHS ENGLAND LONDON"/>
    <x v="135"/>
    <n v="9600"/>
    <n v="755"/>
    <n v="6306"/>
    <n v="0"/>
    <n v="0"/>
    <n v="0"/>
    <n v="3894"/>
    <n v="29"/>
    <n v="284"/>
    <n v="0"/>
    <n v="0"/>
    <n v="0"/>
    <n v="128"/>
    <n v="18"/>
    <n v="2073"/>
    <n v="0"/>
    <n v="0"/>
    <n v="231"/>
    <n v="16661"/>
    <n v="4207"/>
    <n v="2304"/>
  </r>
  <r>
    <s v="Monthly-AE-August-2024.csv"/>
    <x v="2"/>
    <s v="RJL"/>
    <s v="NHS ENGLAND NORTH EAST AND YORKSHIRE "/>
    <x v="188"/>
    <n v="8901"/>
    <n v="0"/>
    <n v="6001"/>
    <n v="0"/>
    <n v="0"/>
    <n v="391"/>
    <n v="4401"/>
    <n v="0"/>
    <n v="49"/>
    <n v="0"/>
    <n v="0"/>
    <n v="2"/>
    <n v="761"/>
    <n v="652"/>
    <n v="5038"/>
    <n v="0"/>
    <n v="0"/>
    <n v="326"/>
    <n v="14902"/>
    <n v="4450"/>
    <n v="5364"/>
  </r>
  <r>
    <s v="Monthly-AE-August-2024.csv"/>
    <x v="2"/>
    <s v="RVR"/>
    <s v="NHS ENGLAND LONDON"/>
    <x v="154"/>
    <n v="10029"/>
    <n v="301"/>
    <n v="1507"/>
    <n v="321"/>
    <n v="0"/>
    <n v="24"/>
    <n v="2603"/>
    <n v="0"/>
    <n v="92"/>
    <n v="41"/>
    <n v="0"/>
    <n v="1"/>
    <n v="346"/>
    <n v="498"/>
    <n v="1789"/>
    <n v="2"/>
    <n v="0"/>
    <n v="135"/>
    <n v="11837"/>
    <n v="2695"/>
    <n v="1926"/>
  </r>
  <r>
    <s v="Monthly-AE-August-2024.csv"/>
    <x v="2"/>
    <s v="RXK"/>
    <s v="NHS ENGLAND MIDLANDS "/>
    <x v="119"/>
    <n v="13740"/>
    <n v="1292"/>
    <n v="6652"/>
    <n v="921"/>
    <n v="0"/>
    <n v="0"/>
    <n v="6199"/>
    <n v="209"/>
    <n v="12"/>
    <n v="142"/>
    <n v="0"/>
    <n v="0"/>
    <n v="1526"/>
    <n v="406"/>
    <n v="2635"/>
    <n v="0"/>
    <n v="0"/>
    <n v="452"/>
    <n v="21684"/>
    <n v="6420"/>
    <n v="3087"/>
  </r>
  <r>
    <s v="Monthly-AE-August-2024.csv"/>
    <x v="2"/>
    <s v="C83023"/>
    <s v="NHS ENGLAND MIDLANDS "/>
    <x v="190"/>
    <n v="0"/>
    <n v="0"/>
    <n v="520"/>
    <n v="0"/>
    <n v="0"/>
    <n v="0"/>
    <n v="0"/>
    <n v="0"/>
    <n v="0"/>
    <n v="0"/>
    <n v="0"/>
    <n v="0"/>
    <n v="0"/>
    <n v="0"/>
    <n v="0"/>
    <n v="0"/>
    <n v="0"/>
    <n v="10"/>
    <n v="520"/>
    <n v="0"/>
    <n v="10"/>
  </r>
  <r>
    <s v="Monthly-AE-August-2024.csv"/>
    <x v="2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0"/>
    <n v="168"/>
  </r>
  <r>
    <s v="Monthly-AE-August-2024.csv"/>
    <x v="2"/>
    <s v="RXP"/>
    <s v="NHS ENGLAND NORTH EAST AND YORKSHIRE "/>
    <x v="161"/>
    <n v="12196"/>
    <n v="0"/>
    <n v="4102"/>
    <n v="0"/>
    <n v="0"/>
    <n v="6940"/>
    <n v="5277"/>
    <n v="0"/>
    <n v="0"/>
    <n v="0"/>
    <n v="0"/>
    <n v="0"/>
    <n v="1767"/>
    <n v="19"/>
    <n v="3974"/>
    <n v="0"/>
    <n v="0"/>
    <n v="701"/>
    <n v="16298"/>
    <n v="5277"/>
    <n v="4675"/>
  </r>
  <r>
    <s v="Monthly-AE-August-2024.csv"/>
    <x v="2"/>
    <s v="RYX"/>
    <s v="NHS ENGLAND LONDON"/>
    <x v="75"/>
    <n v="0"/>
    <n v="0"/>
    <n v="10103"/>
    <n v="0"/>
    <n v="0"/>
    <n v="400"/>
    <n v="0"/>
    <n v="0"/>
    <n v="76"/>
    <n v="0"/>
    <n v="0"/>
    <n v="0"/>
    <n v="0"/>
    <n v="0"/>
    <n v="0"/>
    <n v="0"/>
    <n v="0"/>
    <n v="0"/>
    <n v="10103"/>
    <n v="76"/>
    <n v="0"/>
  </r>
  <r>
    <s v="Monthly-AE-August-2024.csv"/>
    <x v="2"/>
    <s v="R1H"/>
    <s v="NHS ENGLAND LONDON"/>
    <x v="96"/>
    <n v="23072"/>
    <n v="900"/>
    <n v="15461"/>
    <n v="0"/>
    <n v="0"/>
    <n v="0"/>
    <n v="10843"/>
    <n v="32"/>
    <n v="1024"/>
    <n v="0"/>
    <n v="0"/>
    <n v="0"/>
    <n v="1259"/>
    <n v="923"/>
    <n v="4736"/>
    <n v="0"/>
    <n v="0"/>
    <n v="1177"/>
    <n v="39433"/>
    <n v="11899"/>
    <n v="5913"/>
  </r>
  <r>
    <s v="Monthly-AE-August-2024.csv"/>
    <x v="2"/>
    <s v="RDR"/>
    <s v="NHS ENGLAND SOUTH EAST "/>
    <x v="166"/>
    <n v="0"/>
    <n v="0"/>
    <n v="11466"/>
    <n v="0"/>
    <n v="0"/>
    <n v="0"/>
    <n v="0"/>
    <n v="0"/>
    <n v="129"/>
    <n v="0"/>
    <n v="0"/>
    <n v="0"/>
    <n v="0"/>
    <n v="0"/>
    <n v="0"/>
    <n v="0"/>
    <n v="0"/>
    <n v="0"/>
    <n v="11466"/>
    <n v="129"/>
    <n v="0"/>
  </r>
  <r>
    <s v="Monthly-AE-August-2024.csv"/>
    <x v="2"/>
    <s v="RAL"/>
    <s v="NHS ENGLAND LONDON"/>
    <x v="99"/>
    <n v="16221"/>
    <n v="0"/>
    <n v="7472"/>
    <n v="0"/>
    <n v="0"/>
    <n v="0"/>
    <n v="5507"/>
    <n v="0"/>
    <n v="35"/>
    <n v="0"/>
    <n v="0"/>
    <n v="0"/>
    <n v="983"/>
    <n v="517"/>
    <n v="3828"/>
    <n v="0"/>
    <n v="0"/>
    <n v="562"/>
    <n v="23693"/>
    <n v="5542"/>
    <n v="4390"/>
  </r>
  <r>
    <s v="Monthly-AE-August-2024.csv"/>
    <x v="2"/>
    <s v="RBL"/>
    <s v="NHS ENGLAND NORTH WEST "/>
    <x v="183"/>
    <n v="7488"/>
    <n v="0"/>
    <n v="2445"/>
    <n v="0"/>
    <n v="0"/>
    <n v="189"/>
    <n v="4206"/>
    <n v="0"/>
    <n v="6"/>
    <n v="0"/>
    <n v="0"/>
    <n v="1"/>
    <n v="668"/>
    <n v="628"/>
    <n v="2151"/>
    <n v="0"/>
    <n v="0"/>
    <n v="1647"/>
    <n v="9933"/>
    <n v="4212"/>
    <n v="3798"/>
  </r>
  <r>
    <s v="Monthly-AE-August-2024.csv"/>
    <x v="2"/>
    <s v="RBT"/>
    <s v="NHS ENGLAND NORTH WEST "/>
    <x v="130"/>
    <n v="6652"/>
    <n v="0"/>
    <n v="2720"/>
    <n v="4"/>
    <n v="0"/>
    <n v="48"/>
    <n v="3586"/>
    <n v="0"/>
    <n v="39"/>
    <n v="0"/>
    <n v="0"/>
    <n v="2"/>
    <n v="596"/>
    <n v="539"/>
    <n v="2223"/>
    <n v="0"/>
    <n v="0"/>
    <n v="926"/>
    <n v="9372"/>
    <n v="3625"/>
    <n v="3149"/>
  </r>
  <r>
    <s v="Monthly-AE-August-2024.csv"/>
    <x v="2"/>
    <s v="RHW"/>
    <s v="NHS ENGLAND SOUTH EAST "/>
    <x v="187"/>
    <n v="11028"/>
    <n v="2275"/>
    <n v="0"/>
    <n v="713"/>
    <n v="14"/>
    <n v="0"/>
    <n v="3195"/>
    <n v="11"/>
    <n v="0"/>
    <n v="174"/>
    <n v="2"/>
    <n v="0"/>
    <n v="297"/>
    <n v="0"/>
    <n v="2392"/>
    <n v="2"/>
    <n v="0"/>
    <n v="540"/>
    <n v="13303"/>
    <n v="3206"/>
    <n v="2934"/>
  </r>
  <r>
    <s v="Monthly-AE-August-2024.csv"/>
    <x v="2"/>
    <s v="RPC"/>
    <s v="NHS ENGLAND SOUTH EAST "/>
    <x v="27"/>
    <n v="0"/>
    <n v="0"/>
    <n v="1586"/>
    <n v="0"/>
    <n v="0"/>
    <n v="0"/>
    <n v="0"/>
    <n v="0"/>
    <n v="0"/>
    <n v="0"/>
    <n v="0"/>
    <n v="0"/>
    <n v="0"/>
    <n v="0"/>
    <n v="0"/>
    <n v="0"/>
    <n v="3"/>
    <n v="583"/>
    <n v="1586"/>
    <n v="0"/>
    <n v="586"/>
  </r>
  <r>
    <s v="Monthly-AE-August-2024.csv"/>
    <x v="2"/>
    <s v="RTH"/>
    <s v="NHS ENGLAND SOUTH EAST "/>
    <x v="196"/>
    <n v="11262"/>
    <n v="1807"/>
    <n v="1778"/>
    <n v="1328"/>
    <n v="0"/>
    <n v="105"/>
    <n v="3596"/>
    <n v="0"/>
    <n v="3"/>
    <n v="296"/>
    <n v="0"/>
    <n v="1"/>
    <n v="782"/>
    <n v="0"/>
    <n v="4247"/>
    <n v="131"/>
    <n v="14"/>
    <n v="4350"/>
    <n v="14847"/>
    <n v="3599"/>
    <n v="8742"/>
  </r>
  <r>
    <s v="Monthly-AE-August-2024.csv"/>
    <x v="2"/>
    <s v="RJZ"/>
    <s v="NHS ENGLAND LONDON"/>
    <x v="62"/>
    <n v="14582"/>
    <n v="0"/>
    <n v="7961"/>
    <n v="65"/>
    <n v="0"/>
    <n v="1149"/>
    <n v="5850"/>
    <n v="0"/>
    <n v="256"/>
    <n v="9"/>
    <n v="0"/>
    <n v="3"/>
    <n v="1374"/>
    <n v="452"/>
    <n v="2793"/>
    <n v="0"/>
    <n v="0"/>
    <n v="413"/>
    <n v="22543"/>
    <n v="6106"/>
    <n v="3206"/>
  </r>
  <r>
    <s v="Monthly-AE-August-2024.csv"/>
    <x v="2"/>
    <s v="RWG"/>
    <s v="NHS ENGLAND EAST OF ENGLAND "/>
    <x v="47"/>
    <n v="7704"/>
    <n v="0"/>
    <n v="7134"/>
    <n v="0"/>
    <n v="0"/>
    <n v="834"/>
    <n v="2355"/>
    <n v="0"/>
    <n v="117"/>
    <n v="0"/>
    <n v="0"/>
    <n v="0"/>
    <n v="557"/>
    <n v="25"/>
    <n v="3979"/>
    <n v="0"/>
    <n v="0"/>
    <n v="549"/>
    <n v="14838"/>
    <n v="2472"/>
    <n v="4528"/>
  </r>
  <r>
    <s v="Monthly-AE-August-2024.csv"/>
    <x v="2"/>
    <s v="RM3"/>
    <s v="NHS ENGLAND NORTH WEST "/>
    <x v="193"/>
    <n v="23316"/>
    <n v="0"/>
    <n v="8184"/>
    <n v="0"/>
    <n v="0"/>
    <n v="0"/>
    <n v="10163"/>
    <n v="0"/>
    <n v="229"/>
    <n v="0"/>
    <n v="0"/>
    <n v="0"/>
    <n v="3807"/>
    <n v="496"/>
    <n v="6691"/>
    <n v="0"/>
    <n v="298"/>
    <n v="1727"/>
    <n v="31500"/>
    <n v="10392"/>
    <n v="8716"/>
  </r>
  <r>
    <s v="Monthly-AE-August-2024.csv"/>
    <x v="2"/>
    <s v="RHU"/>
    <s v="NHS ENGLAND SOUTH EAST "/>
    <x v="194"/>
    <n v="9425"/>
    <n v="762"/>
    <n v="2991"/>
    <n v="1367"/>
    <n v="0"/>
    <n v="783"/>
    <n v="4560"/>
    <n v="8"/>
    <n v="20"/>
    <n v="695"/>
    <n v="0"/>
    <n v="5"/>
    <n v="1503"/>
    <n v="19"/>
    <n v="3377"/>
    <n v="0"/>
    <n v="0"/>
    <n v="2373"/>
    <n v="13178"/>
    <n v="4588"/>
    <n v="5750"/>
  </r>
  <r>
    <s v="Monthly-AE-August-2024.csv"/>
    <x v="3"/>
    <s v="TOTAL"/>
    <s v="TOTAL"/>
    <x v="199"/>
    <n v="1292332"/>
    <n v="47731"/>
    <n v="746162"/>
    <n v="27825"/>
    <n v="656"/>
    <n v="46085"/>
    <n v="487960"/>
    <n v="1553"/>
    <n v="14934"/>
    <n v="6539"/>
    <n v="7"/>
    <n v="391"/>
    <n v="87995"/>
    <n v="28494"/>
    <n v="390554"/>
    <n v="1300"/>
    <n v="4661"/>
    <n v="129118"/>
    <n v="2086225"/>
    <n v="504447"/>
    <n v="525633"/>
  </r>
  <r>
    <s v="Monthly-AE-December-2024.csv"/>
    <x v="4"/>
    <s v="AQN04"/>
    <s v="NHS ENGLAND SOUTH EAST "/>
    <x v="4"/>
    <n v="0"/>
    <n v="0"/>
    <n v="2808"/>
    <n v="0"/>
    <n v="0"/>
    <n v="13"/>
    <n v="0"/>
    <n v="0"/>
    <n v="4"/>
    <n v="0"/>
    <n v="0"/>
    <n v="0"/>
    <n v="0"/>
    <n v="0"/>
    <n v="0"/>
    <n v="0"/>
    <n v="0"/>
    <n v="0"/>
    <n v="2808"/>
    <n v="4"/>
    <n v="0"/>
  </r>
  <r>
    <s v="Monthly-AE-December-2024.csv"/>
    <x v="4"/>
    <s v="G0Q0L"/>
    <s v="NHS ENGLAND LONDON"/>
    <x v="32"/>
    <n v="0"/>
    <n v="0"/>
    <n v="2841"/>
    <n v="0"/>
    <n v="0"/>
    <n v="0"/>
    <n v="0"/>
    <n v="0"/>
    <n v="35"/>
    <n v="0"/>
    <n v="0"/>
    <n v="0"/>
    <n v="0"/>
    <n v="0"/>
    <n v="0"/>
    <n v="0"/>
    <n v="0"/>
    <n v="0"/>
    <n v="2841"/>
    <n v="35"/>
    <n v="0"/>
  </r>
  <r>
    <s v="Monthly-AE-December-2024.csv"/>
    <x v="4"/>
    <s v="K6K0R"/>
    <s v="NHS ENGLAND LONDON"/>
    <x v="33"/>
    <n v="0"/>
    <n v="0"/>
    <n v="2880"/>
    <n v="0"/>
    <n v="0"/>
    <n v="0"/>
    <n v="0"/>
    <n v="0"/>
    <n v="18"/>
    <n v="0"/>
    <n v="0"/>
    <n v="0"/>
    <n v="0"/>
    <n v="0"/>
    <n v="0"/>
    <n v="0"/>
    <n v="0"/>
    <n v="0"/>
    <n v="2880"/>
    <n v="18"/>
    <n v="0"/>
  </r>
  <r>
    <s v="Monthly-AE-December-2024.csv"/>
    <x v="4"/>
    <s v="RBT"/>
    <s v="NHS ENGLAND NORTH WEST "/>
    <x v="130"/>
    <n v="7274"/>
    <n v="0"/>
    <n v="2684"/>
    <n v="0"/>
    <n v="0"/>
    <n v="62"/>
    <n v="4418"/>
    <n v="0"/>
    <n v="137"/>
    <n v="0"/>
    <n v="0"/>
    <n v="9"/>
    <n v="683"/>
    <n v="609"/>
    <n v="2427"/>
    <n v="0"/>
    <n v="0"/>
    <n v="1048"/>
    <n v="9958"/>
    <n v="4555"/>
    <n v="3475"/>
  </r>
  <r>
    <s v="Monthly-AE-December-2024.csv"/>
    <x v="4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4"/>
    <n v="74"/>
    <n v="0"/>
    <n v="0"/>
    <n v="78"/>
  </r>
  <r>
    <s v="Monthly-AE-December-2024.csv"/>
    <x v="4"/>
    <s v="RTP"/>
    <s v="NHS ENGLAND SOUTH EAST "/>
    <x v="66"/>
    <n v="11305"/>
    <n v="0"/>
    <n v="0"/>
    <n v="0"/>
    <n v="0"/>
    <n v="0"/>
    <n v="5040"/>
    <n v="0"/>
    <n v="0"/>
    <n v="0"/>
    <n v="0"/>
    <n v="0"/>
    <n v="662"/>
    <n v="525"/>
    <n v="3137"/>
    <n v="0"/>
    <n v="0"/>
    <n v="874"/>
    <n v="11305"/>
    <n v="5040"/>
    <n v="4011"/>
  </r>
  <r>
    <s v="Monthly-AE-December-2024.csv"/>
    <x v="4"/>
    <s v="RW1"/>
    <s v="NHS ENGLAND SOUTH EAST "/>
    <x v="200"/>
    <n v="0"/>
    <n v="0"/>
    <n v="2915"/>
    <n v="0"/>
    <n v="0"/>
    <n v="0"/>
    <n v="0"/>
    <n v="0"/>
    <n v="51"/>
    <n v="0"/>
    <n v="0"/>
    <n v="0"/>
    <n v="0"/>
    <n v="0"/>
    <n v="0"/>
    <n v="0"/>
    <n v="0"/>
    <n v="121"/>
    <n v="2915"/>
    <n v="51"/>
    <n v="121"/>
  </r>
  <r>
    <s v="Monthly-AE-December-2024.csv"/>
    <x v="4"/>
    <s v="RYY"/>
    <s v="NHS ENGLAND SOUTH EAST "/>
    <x v="48"/>
    <n v="0"/>
    <n v="0"/>
    <n v="9337"/>
    <n v="0"/>
    <n v="0"/>
    <n v="0"/>
    <n v="0"/>
    <n v="0"/>
    <n v="43"/>
    <n v="0"/>
    <n v="0"/>
    <n v="0"/>
    <n v="0"/>
    <n v="0"/>
    <n v="0"/>
    <n v="0"/>
    <n v="0"/>
    <n v="0"/>
    <n v="9337"/>
    <n v="43"/>
    <n v="0"/>
  </r>
  <r>
    <s v="Monthly-AE-December-2024.csv"/>
    <x v="4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December-2024.csv"/>
    <x v="4"/>
    <s v="AAH"/>
    <s v="NHS ENGLAND SOUTH WEST "/>
    <x v="0"/>
    <n v="0"/>
    <n v="0"/>
    <n v="547"/>
    <n v="0"/>
    <n v="0"/>
    <n v="0"/>
    <n v="0"/>
    <n v="0"/>
    <n v="0"/>
    <n v="0"/>
    <n v="0"/>
    <n v="0"/>
    <n v="0"/>
    <n v="0"/>
    <n v="0"/>
    <n v="0"/>
    <n v="0"/>
    <n v="0"/>
    <n v="547"/>
    <n v="0"/>
    <n v="0"/>
  </r>
  <r>
    <s v="Monthly-AE-December-2024.csv"/>
    <x v="4"/>
    <s v="C82038"/>
    <s v="NHS ENGLAND MIDLANDS "/>
    <x v="31"/>
    <n v="0"/>
    <n v="0"/>
    <n v="255"/>
    <n v="0"/>
    <n v="0"/>
    <n v="0"/>
    <n v="0"/>
    <n v="0"/>
    <n v="0"/>
    <n v="0"/>
    <n v="0"/>
    <n v="0"/>
    <n v="0"/>
    <n v="0"/>
    <n v="0"/>
    <n v="0"/>
    <n v="0"/>
    <n v="0"/>
    <n v="255"/>
    <n v="0"/>
    <n v="0"/>
  </r>
  <r>
    <s v="Monthly-AE-December-2024.csv"/>
    <x v="4"/>
    <s v="C83023"/>
    <s v="NHS ENGLAND MIDLANDS "/>
    <x v="190"/>
    <n v="0"/>
    <n v="0"/>
    <n v="691"/>
    <n v="0"/>
    <n v="0"/>
    <n v="0"/>
    <n v="0"/>
    <n v="0"/>
    <n v="0"/>
    <n v="0"/>
    <n v="0"/>
    <n v="0"/>
    <n v="0"/>
    <n v="0"/>
    <n v="0"/>
    <n v="0"/>
    <n v="0"/>
    <n v="2"/>
    <n v="691"/>
    <n v="0"/>
    <n v="2"/>
  </r>
  <r>
    <s v="Monthly-AE-December-2024.csv"/>
    <x v="4"/>
    <s v="L83087"/>
    <s v="NHS ENGLAND SOUTH WEST "/>
    <x v="5"/>
    <n v="0"/>
    <n v="0"/>
    <n v="62"/>
    <n v="0"/>
    <n v="0"/>
    <n v="0"/>
    <n v="0"/>
    <n v="0"/>
    <n v="0"/>
    <n v="0"/>
    <n v="0"/>
    <n v="0"/>
    <n v="0"/>
    <n v="0"/>
    <n v="0"/>
    <n v="0"/>
    <n v="0"/>
    <n v="0"/>
    <n v="62"/>
    <n v="0"/>
    <n v="0"/>
  </r>
  <r>
    <s v="Monthly-AE-December-2024.csv"/>
    <x v="4"/>
    <s v="NDJ"/>
    <s v="NHS ENGLAND SOUTH EAST "/>
    <x v="51"/>
    <n v="0"/>
    <n v="0"/>
    <n v="2047"/>
    <n v="0"/>
    <n v="0"/>
    <n v="0"/>
    <n v="0"/>
    <n v="0"/>
    <n v="0"/>
    <n v="0"/>
    <n v="0"/>
    <n v="0"/>
    <n v="0"/>
    <n v="0"/>
    <n v="0"/>
    <n v="0"/>
    <n v="0"/>
    <n v="0"/>
    <n v="2047"/>
    <n v="0"/>
    <n v="0"/>
  </r>
  <r>
    <s v="Monthly-AE-December-2024.csv"/>
    <x v="4"/>
    <s v="NQT5F"/>
    <s v="NHS ENGLAND NORTH WEST "/>
    <x v="20"/>
    <n v="0"/>
    <n v="0"/>
    <n v="1855"/>
    <n v="0"/>
    <n v="0"/>
    <n v="0"/>
    <n v="0"/>
    <n v="0"/>
    <n v="13"/>
    <n v="0"/>
    <n v="0"/>
    <n v="0"/>
    <n v="0"/>
    <n v="0"/>
    <n v="0"/>
    <n v="0"/>
    <n v="0"/>
    <n v="0"/>
    <n v="1855"/>
    <n v="13"/>
    <n v="0"/>
  </r>
  <r>
    <s v="Monthly-AE-December-2024.csv"/>
    <x v="4"/>
    <s v="NQT5H"/>
    <s v="NHS ENGLAND SOUTH WEST "/>
    <x v="21"/>
    <n v="0"/>
    <n v="0"/>
    <n v="919"/>
    <n v="0"/>
    <n v="0"/>
    <n v="0"/>
    <n v="0"/>
    <n v="0"/>
    <n v="2"/>
    <n v="0"/>
    <n v="0"/>
    <n v="0"/>
    <n v="0"/>
    <n v="0"/>
    <n v="0"/>
    <n v="0"/>
    <n v="0"/>
    <n v="0"/>
    <n v="919"/>
    <n v="2"/>
    <n v="0"/>
  </r>
  <r>
    <s v="Monthly-AE-December-2024.csv"/>
    <x v="4"/>
    <s v="NQTE4"/>
    <s v="NHS ENGLAND MIDLANDS "/>
    <x v="6"/>
    <n v="0"/>
    <n v="0"/>
    <n v="3187"/>
    <n v="0"/>
    <n v="0"/>
    <n v="0"/>
    <n v="0"/>
    <n v="0"/>
    <n v="0"/>
    <n v="0"/>
    <n v="0"/>
    <n v="0"/>
    <n v="0"/>
    <n v="0"/>
    <n v="0"/>
    <n v="0"/>
    <n v="0"/>
    <n v="0"/>
    <n v="3187"/>
    <n v="0"/>
    <n v="0"/>
  </r>
  <r>
    <s v="Monthly-AE-December-2024.csv"/>
    <x v="4"/>
    <s v="NR3"/>
    <s v="NHS ENGLAND MIDLANDS "/>
    <x v="57"/>
    <n v="0"/>
    <n v="0"/>
    <n v="5522"/>
    <n v="0"/>
    <n v="0"/>
    <n v="272"/>
    <n v="0"/>
    <n v="0"/>
    <n v="857"/>
    <n v="0"/>
    <n v="0"/>
    <n v="0"/>
    <n v="0"/>
    <n v="0"/>
    <n v="0"/>
    <n v="0"/>
    <n v="0"/>
    <n v="0"/>
    <n v="5522"/>
    <n v="857"/>
    <n v="0"/>
  </r>
  <r>
    <s v="Monthly-AE-December-2024.csv"/>
    <x v="4"/>
    <s v="NTP11"/>
    <s v="NHS ENGLAND SOUTH EAST "/>
    <x v="34"/>
    <n v="0"/>
    <n v="0"/>
    <n v="5058"/>
    <n v="0"/>
    <n v="0"/>
    <n v="0"/>
    <n v="0"/>
    <n v="0"/>
    <n v="235"/>
    <n v="0"/>
    <n v="0"/>
    <n v="0"/>
    <n v="0"/>
    <n v="0"/>
    <n v="0"/>
    <n v="0"/>
    <n v="0"/>
    <n v="0"/>
    <n v="5058"/>
    <n v="235"/>
    <n v="0"/>
  </r>
  <r>
    <s v="Monthly-AE-December-2024.csv"/>
    <x v="4"/>
    <s v="NTV0B"/>
    <s v="NHS ENGLAND SOUTH EAST "/>
    <x v="23"/>
    <n v="0"/>
    <n v="0"/>
    <n v="2372"/>
    <n v="0"/>
    <n v="0"/>
    <n v="0"/>
    <n v="0"/>
    <n v="0"/>
    <n v="170"/>
    <n v="0"/>
    <n v="0"/>
    <n v="0"/>
    <n v="0"/>
    <n v="0"/>
    <n v="0"/>
    <n v="0"/>
    <n v="0"/>
    <n v="0"/>
    <n v="2372"/>
    <n v="170"/>
    <n v="0"/>
  </r>
  <r>
    <s v="Monthly-AE-December-2024.csv"/>
    <x v="4"/>
    <s v="NTV0W"/>
    <s v="NHS ENGLAND SOUTH EAST "/>
    <x v="24"/>
    <n v="0"/>
    <n v="0"/>
    <n v="2564"/>
    <n v="0"/>
    <n v="0"/>
    <n v="0"/>
    <n v="0"/>
    <n v="0"/>
    <n v="45"/>
    <n v="0"/>
    <n v="0"/>
    <n v="0"/>
    <n v="0"/>
    <n v="0"/>
    <n v="0"/>
    <n v="0"/>
    <n v="0"/>
    <n v="0"/>
    <n v="2564"/>
    <n v="45"/>
    <n v="0"/>
  </r>
  <r>
    <s v="Monthly-AE-December-2024.csv"/>
    <x v="4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3"/>
  </r>
  <r>
    <s v="Monthly-AE-December-2024.csv"/>
    <x v="4"/>
    <s v="RNU"/>
    <s v="NHS ENGLAND SOUTH EAST "/>
    <x v="112"/>
    <n v="0"/>
    <n v="0"/>
    <n v="3042"/>
    <n v="0"/>
    <n v="0"/>
    <n v="0"/>
    <n v="0"/>
    <n v="0"/>
    <n v="256"/>
    <n v="0"/>
    <n v="0"/>
    <n v="0"/>
    <n v="0"/>
    <n v="0"/>
    <n v="0"/>
    <n v="0"/>
    <n v="0"/>
    <n v="0"/>
    <n v="3042"/>
    <n v="256"/>
    <n v="0"/>
  </r>
  <r>
    <s v="Monthly-AE-December-2024.csv"/>
    <x v="4"/>
    <s v="RPC"/>
    <s v="NHS ENGLAND SOUTH EAST "/>
    <x v="27"/>
    <n v="0"/>
    <n v="0"/>
    <n v="1316"/>
    <n v="0"/>
    <n v="0"/>
    <n v="0"/>
    <n v="0"/>
    <n v="0"/>
    <n v="5"/>
    <n v="0"/>
    <n v="0"/>
    <n v="0"/>
    <n v="0"/>
    <n v="0"/>
    <n v="0"/>
    <n v="0"/>
    <n v="2"/>
    <n v="480"/>
    <n v="1316"/>
    <n v="5"/>
    <n v="482"/>
  </r>
  <r>
    <s v="Monthly-AE-December-2024.csv"/>
    <x v="4"/>
    <s v="RWY"/>
    <s v="NHS ENGLAND NORTH EAST AND YORKSHIRE "/>
    <x v="10"/>
    <n v="16032"/>
    <n v="0"/>
    <n v="0"/>
    <n v="0"/>
    <n v="0"/>
    <n v="0"/>
    <n v="5838"/>
    <n v="0"/>
    <n v="0"/>
    <n v="0"/>
    <n v="0"/>
    <n v="0"/>
    <n v="1353"/>
    <n v="19"/>
    <n v="3272"/>
    <n v="0"/>
    <n v="0"/>
    <n v="329"/>
    <n v="16032"/>
    <n v="5838"/>
    <n v="3601"/>
  </r>
  <r>
    <s v="Monthly-AE-December-2024.csv"/>
    <x v="4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0"/>
    <n v="0"/>
    <n v="111"/>
  </r>
  <r>
    <s v="Monthly-AE-December-2024.csv"/>
    <x v="4"/>
    <s v="Y02532"/>
    <s v="NHS ENGLAND NORTH WEST "/>
    <x v="15"/>
    <n v="0"/>
    <n v="0"/>
    <n v="1687"/>
    <n v="0"/>
    <n v="0"/>
    <n v="0"/>
    <n v="0"/>
    <n v="0"/>
    <n v="0"/>
    <n v="0"/>
    <n v="0"/>
    <n v="0"/>
    <n v="0"/>
    <n v="0"/>
    <n v="0"/>
    <n v="0"/>
    <n v="0"/>
    <n v="0"/>
    <n v="1687"/>
    <n v="0"/>
    <n v="0"/>
  </r>
  <r>
    <s v="Monthly-AE-December-2024.csv"/>
    <x v="4"/>
    <s v="Y02615"/>
    <s v="NHS ENGLAND MIDLANDS "/>
    <x v="16"/>
    <n v="0"/>
    <n v="0"/>
    <n v="7704"/>
    <n v="0"/>
    <n v="0"/>
    <n v="0"/>
    <n v="0"/>
    <n v="0"/>
    <n v="0"/>
    <n v="0"/>
    <n v="0"/>
    <n v="0"/>
    <n v="0"/>
    <n v="0"/>
    <n v="0"/>
    <n v="0"/>
    <n v="0"/>
    <n v="0"/>
    <n v="7704"/>
    <n v="0"/>
    <n v="0"/>
  </r>
  <r>
    <s v="Monthly-AE-December-2024.csv"/>
    <x v="4"/>
    <s v="Y02676"/>
    <s v="NHS ENGLAND SOUTH EAST "/>
    <x v="37"/>
    <n v="0"/>
    <n v="0"/>
    <n v="1820"/>
    <n v="0"/>
    <n v="0"/>
    <n v="0"/>
    <n v="0"/>
    <n v="0"/>
    <n v="0"/>
    <n v="0"/>
    <n v="0"/>
    <n v="0"/>
    <n v="0"/>
    <n v="0"/>
    <n v="0"/>
    <n v="0"/>
    <n v="0"/>
    <n v="0"/>
    <n v="1820"/>
    <n v="0"/>
    <n v="0"/>
  </r>
  <r>
    <s v="Monthly-AE-December-2024.csv"/>
    <x v="4"/>
    <s v="Y07709"/>
    <s v="NHS ENGLAND SOUTH EAST "/>
    <x v="38"/>
    <n v="0"/>
    <n v="0"/>
    <n v="2022"/>
    <n v="0"/>
    <n v="0"/>
    <n v="0"/>
    <n v="0"/>
    <n v="0"/>
    <n v="0"/>
    <n v="0"/>
    <n v="0"/>
    <n v="0"/>
    <n v="0"/>
    <n v="0"/>
    <n v="0"/>
    <n v="0"/>
    <n v="0"/>
    <n v="0"/>
    <n v="2022"/>
    <n v="0"/>
    <n v="0"/>
  </r>
  <r>
    <s v="Monthly-AE-December-2024.csv"/>
    <x v="4"/>
    <s v="NL7"/>
    <s v="NHS ENGLAND MIDLANDS "/>
    <x v="95"/>
    <n v="0"/>
    <n v="0"/>
    <n v="4899"/>
    <n v="0"/>
    <n v="0"/>
    <n v="0"/>
    <n v="0"/>
    <n v="0"/>
    <n v="0"/>
    <n v="0"/>
    <n v="0"/>
    <n v="0"/>
    <n v="0"/>
    <n v="0"/>
    <n v="0"/>
    <n v="0"/>
    <n v="0"/>
    <n v="0"/>
    <n v="4899"/>
    <n v="0"/>
    <n v="0"/>
  </r>
  <r>
    <s v="Monthly-AE-December-2024.csv"/>
    <x v="4"/>
    <s v="NNJ"/>
    <s v="NHS ENGLAND MIDLANDS "/>
    <x v="43"/>
    <n v="0"/>
    <n v="0"/>
    <n v="2279"/>
    <n v="0"/>
    <n v="0"/>
    <n v="0"/>
    <n v="0"/>
    <n v="0"/>
    <n v="0"/>
    <n v="0"/>
    <n v="0"/>
    <n v="0"/>
    <n v="0"/>
    <n v="0"/>
    <n v="0"/>
    <n v="0"/>
    <n v="0"/>
    <n v="0"/>
    <n v="2279"/>
    <n v="0"/>
    <n v="0"/>
  </r>
  <r>
    <s v="Monthly-AE-December-2024.csv"/>
    <x v="4"/>
    <s v="RA9"/>
    <s v="NHS ENGLAND SOUTH WEST "/>
    <x v="7"/>
    <n v="6285"/>
    <n v="0"/>
    <n v="2940"/>
    <n v="495"/>
    <n v="0"/>
    <n v="172"/>
    <n v="3208"/>
    <n v="0"/>
    <n v="42"/>
    <n v="216"/>
    <n v="0"/>
    <n v="2"/>
    <n v="374"/>
    <n v="80"/>
    <n v="2175"/>
    <n v="0"/>
    <n v="0"/>
    <n v="1235"/>
    <n v="9225"/>
    <n v="3250"/>
    <n v="3410"/>
  </r>
  <r>
    <s v="Monthly-AE-December-2024.csv"/>
    <x v="4"/>
    <s v="RFF"/>
    <s v="NHS ENGLAND NORTH EAST AND YORKSHIRE "/>
    <x v="26"/>
    <n v="9184"/>
    <n v="0"/>
    <n v="0"/>
    <n v="19"/>
    <n v="0"/>
    <n v="0"/>
    <n v="3487"/>
    <n v="0"/>
    <n v="0"/>
    <n v="0"/>
    <n v="0"/>
    <n v="0"/>
    <n v="841"/>
    <n v="5"/>
    <n v="2994"/>
    <n v="0"/>
    <n v="0"/>
    <n v="526"/>
    <n v="9184"/>
    <n v="3487"/>
    <n v="3520"/>
  </r>
  <r>
    <s v="Monthly-AE-December-2024.csv"/>
    <x v="4"/>
    <s v="RNS"/>
    <s v="NHS ENGLAND MIDLANDS "/>
    <x v="41"/>
    <n v="9144"/>
    <n v="490"/>
    <n v="2669"/>
    <n v="1528"/>
    <n v="0"/>
    <n v="189"/>
    <n v="4028"/>
    <n v="6"/>
    <n v="409"/>
    <n v="525"/>
    <n v="0"/>
    <n v="24"/>
    <n v="500"/>
    <n v="874"/>
    <n v="2236"/>
    <n v="0"/>
    <n v="0"/>
    <n v="991"/>
    <n v="12303"/>
    <n v="4443"/>
    <n v="3227"/>
  </r>
  <r>
    <s v="Monthly-AE-December-2024.csv"/>
    <x v="4"/>
    <s v="RQW"/>
    <s v="NHS ENGLAND EAST OF ENGLAND "/>
    <x v="148"/>
    <n v="8022"/>
    <n v="0"/>
    <n v="2229"/>
    <n v="0"/>
    <n v="0"/>
    <n v="788"/>
    <n v="4949"/>
    <n v="0"/>
    <n v="0"/>
    <n v="0"/>
    <n v="0"/>
    <n v="0"/>
    <n v="584"/>
    <n v="289"/>
    <n v="1671"/>
    <n v="0"/>
    <n v="0"/>
    <n v="221"/>
    <n v="10251"/>
    <n v="4949"/>
    <n v="1892"/>
  </r>
  <r>
    <s v="Monthly-AE-December-2024.csv"/>
    <x v="4"/>
    <s v="RV9"/>
    <s v="NHS ENGLAND NORTH EAST AND YORKSHIRE "/>
    <x v="67"/>
    <n v="0"/>
    <n v="0"/>
    <n v="1102"/>
    <n v="0"/>
    <n v="0"/>
    <n v="38"/>
    <n v="0"/>
    <n v="0"/>
    <n v="5"/>
    <n v="0"/>
    <n v="0"/>
    <n v="0"/>
    <n v="0"/>
    <n v="0"/>
    <n v="0"/>
    <n v="0"/>
    <n v="0"/>
    <n v="0"/>
    <n v="1102"/>
    <n v="5"/>
    <n v="0"/>
  </r>
  <r>
    <s v="Monthly-AE-December-2024.csv"/>
    <x v="4"/>
    <s v="RY8"/>
    <s v="NHS ENGLAND MIDLANDS "/>
    <x v="13"/>
    <n v="0"/>
    <n v="0"/>
    <n v="6211"/>
    <n v="0"/>
    <n v="0"/>
    <n v="2205"/>
    <n v="0"/>
    <n v="0"/>
    <n v="43"/>
    <n v="0"/>
    <n v="0"/>
    <n v="10"/>
    <n v="0"/>
    <n v="0"/>
    <n v="0"/>
    <n v="0"/>
    <n v="0"/>
    <n v="0"/>
    <n v="6211"/>
    <n v="43"/>
    <n v="0"/>
  </r>
  <r>
    <s v="Monthly-AE-December-2024.csv"/>
    <x v="4"/>
    <s v="Y02428"/>
    <s v="NHS ENGLAND EAST OF ENGLAND "/>
    <x v="49"/>
    <n v="0"/>
    <n v="0"/>
    <n v="4070"/>
    <n v="0"/>
    <n v="0"/>
    <n v="0"/>
    <n v="0"/>
    <n v="0"/>
    <n v="0"/>
    <n v="0"/>
    <n v="0"/>
    <n v="0"/>
    <n v="0"/>
    <n v="0"/>
    <n v="0"/>
    <n v="0"/>
    <n v="0"/>
    <n v="0"/>
    <n v="4070"/>
    <n v="0"/>
    <n v="0"/>
  </r>
  <r>
    <s v="Monthly-AE-December-2024.csv"/>
    <x v="4"/>
    <s v="8J094"/>
    <s v="NHS ENGLAND MIDLANDS "/>
    <x v="2"/>
    <n v="0"/>
    <n v="0"/>
    <n v="0"/>
    <n v="0"/>
    <n v="0"/>
    <n v="1541"/>
    <n v="0"/>
    <n v="0"/>
    <n v="0"/>
    <n v="0"/>
    <n v="0"/>
    <n v="0"/>
    <n v="0"/>
    <n v="0"/>
    <n v="0"/>
    <n v="0"/>
    <n v="0"/>
    <n v="0"/>
    <n v="0"/>
    <n v="0"/>
    <n v="0"/>
  </r>
  <r>
    <s v="Monthly-AE-December-2024.csv"/>
    <x v="4"/>
    <s v="NNJ07"/>
    <s v="NHS ENGLAND MIDLANDS "/>
    <x v="52"/>
    <n v="0"/>
    <n v="0"/>
    <n v="6414"/>
    <n v="0"/>
    <n v="0"/>
    <n v="624"/>
    <n v="0"/>
    <n v="0"/>
    <n v="38"/>
    <n v="0"/>
    <n v="0"/>
    <n v="2"/>
    <n v="0"/>
    <n v="0"/>
    <n v="0"/>
    <n v="0"/>
    <n v="0"/>
    <n v="0"/>
    <n v="6414"/>
    <n v="38"/>
    <n v="0"/>
  </r>
  <r>
    <s v="Monthly-AE-December-2024.csv"/>
    <x v="4"/>
    <s v="NNJ0H"/>
    <s v="NHS ENGLAND MIDLANDS "/>
    <x v="53"/>
    <n v="0"/>
    <n v="0"/>
    <n v="172"/>
    <n v="0"/>
    <n v="0"/>
    <n v="2283"/>
    <n v="0"/>
    <n v="0"/>
    <n v="0"/>
    <n v="0"/>
    <n v="0"/>
    <n v="0"/>
    <n v="0"/>
    <n v="0"/>
    <n v="0"/>
    <n v="0"/>
    <n v="0"/>
    <n v="0"/>
    <n v="172"/>
    <n v="0"/>
    <n v="0"/>
  </r>
  <r>
    <s v="Monthly-AE-December-2024.csv"/>
    <x v="4"/>
    <s v="NNJ12"/>
    <s v="NHS ENGLAND MIDLANDS "/>
    <x v="54"/>
    <n v="0"/>
    <n v="0"/>
    <n v="134"/>
    <n v="0"/>
    <n v="0"/>
    <n v="503"/>
    <n v="0"/>
    <n v="0"/>
    <n v="0"/>
    <n v="0"/>
    <n v="0"/>
    <n v="0"/>
    <n v="0"/>
    <n v="0"/>
    <n v="0"/>
    <n v="0"/>
    <n v="0"/>
    <n v="0"/>
    <n v="134"/>
    <n v="0"/>
    <n v="0"/>
  </r>
  <r>
    <s v="Monthly-AE-December-2024.csv"/>
    <x v="4"/>
    <s v="NNJ13"/>
    <s v="NHS ENGLAND MIDLANDS "/>
    <x v="55"/>
    <n v="0"/>
    <n v="0"/>
    <n v="98"/>
    <n v="0"/>
    <n v="0"/>
    <n v="457"/>
    <n v="0"/>
    <n v="0"/>
    <n v="0"/>
    <n v="0"/>
    <n v="0"/>
    <n v="1"/>
    <n v="0"/>
    <n v="0"/>
    <n v="0"/>
    <n v="0"/>
    <n v="0"/>
    <n v="0"/>
    <n v="98"/>
    <n v="0"/>
    <n v="0"/>
  </r>
  <r>
    <s v="Monthly-AE-December-2024.csv"/>
    <x v="4"/>
    <s v="NNJ14"/>
    <s v="NHS ENGLAND MIDLANDS "/>
    <x v="191"/>
    <n v="0"/>
    <n v="0"/>
    <n v="529"/>
    <n v="0"/>
    <n v="0"/>
    <n v="3446"/>
    <n v="0"/>
    <n v="0"/>
    <n v="0"/>
    <n v="0"/>
    <n v="0"/>
    <n v="0"/>
    <n v="0"/>
    <n v="0"/>
    <n v="0"/>
    <n v="0"/>
    <n v="0"/>
    <n v="0"/>
    <n v="529"/>
    <n v="0"/>
    <n v="0"/>
  </r>
  <r>
    <s v="Monthly-AE-December-2024.csv"/>
    <x v="4"/>
    <s v="NNJ15"/>
    <s v="NHS ENGLAND MIDLANDS "/>
    <x v="56"/>
    <n v="0"/>
    <n v="0"/>
    <n v="74"/>
    <n v="0"/>
    <n v="0"/>
    <n v="402"/>
    <n v="0"/>
    <n v="0"/>
    <n v="0"/>
    <n v="0"/>
    <n v="0"/>
    <n v="0"/>
    <n v="0"/>
    <n v="0"/>
    <n v="0"/>
    <n v="0"/>
    <n v="0"/>
    <n v="0"/>
    <n v="74"/>
    <n v="0"/>
    <n v="0"/>
  </r>
  <r>
    <s v="Monthly-AE-December-2024.csv"/>
    <x v="4"/>
    <s v="NQT51"/>
    <s v="NHS ENGLAND SOUTH EAST "/>
    <x v="39"/>
    <n v="0"/>
    <n v="0"/>
    <n v="1158"/>
    <n v="0"/>
    <n v="0"/>
    <n v="0"/>
    <n v="0"/>
    <n v="0"/>
    <n v="0"/>
    <n v="0"/>
    <n v="0"/>
    <n v="0"/>
    <n v="0"/>
    <n v="0"/>
    <n v="0"/>
    <n v="0"/>
    <n v="0"/>
    <n v="0"/>
    <n v="1158"/>
    <n v="0"/>
    <n v="0"/>
  </r>
  <r>
    <s v="Monthly-AE-December-2024.csv"/>
    <x v="4"/>
    <s v="RAX"/>
    <s v="NHS ENGLAND LONDON"/>
    <x v="201"/>
    <n v="7469"/>
    <n v="0"/>
    <n v="8388"/>
    <n v="0"/>
    <n v="0"/>
    <n v="0"/>
    <n v="4007"/>
    <n v="0"/>
    <n v="238"/>
    <n v="0"/>
    <n v="0"/>
    <n v="0"/>
    <n v="274"/>
    <n v="478"/>
    <n v="2278"/>
    <n v="0"/>
    <n v="178"/>
    <n v="185"/>
    <n v="15857"/>
    <n v="4245"/>
    <n v="2641"/>
  </r>
  <r>
    <s v="Monthly-AE-December-2024.csv"/>
    <x v="4"/>
    <s v="RJL"/>
    <s v="NHS ENGLAND NORTH EAST AND YORKSHIRE "/>
    <x v="188"/>
    <n v="9302"/>
    <n v="0"/>
    <n v="6729"/>
    <n v="0"/>
    <n v="0"/>
    <n v="460"/>
    <n v="5160"/>
    <n v="0"/>
    <n v="47"/>
    <n v="0"/>
    <n v="0"/>
    <n v="2"/>
    <n v="584"/>
    <n v="879"/>
    <n v="5577"/>
    <n v="0"/>
    <n v="0"/>
    <n v="431"/>
    <n v="16031"/>
    <n v="5207"/>
    <n v="6008"/>
  </r>
  <r>
    <s v="Monthly-AE-December-2024.csv"/>
    <x v="4"/>
    <s v="RJN"/>
    <s v="NHS ENGLAND NORTH WEST "/>
    <x v="40"/>
    <n v="4448"/>
    <n v="0"/>
    <n v="0"/>
    <n v="83"/>
    <n v="0"/>
    <n v="31"/>
    <n v="2292"/>
    <n v="0"/>
    <n v="0"/>
    <n v="0"/>
    <n v="0"/>
    <n v="0"/>
    <n v="209"/>
    <n v="407"/>
    <n v="943"/>
    <n v="0"/>
    <n v="0"/>
    <n v="210"/>
    <n v="4448"/>
    <n v="2292"/>
    <n v="1153"/>
  </r>
  <r>
    <s v="Monthly-AE-December-2024.csv"/>
    <x v="4"/>
    <s v="RXQ"/>
    <s v="NHS ENGLAND SOUTH EAST "/>
    <x v="11"/>
    <n v="10785"/>
    <n v="1095"/>
    <n v="3672"/>
    <n v="1"/>
    <n v="0"/>
    <n v="0"/>
    <n v="4498"/>
    <n v="0"/>
    <n v="413"/>
    <n v="0"/>
    <n v="0"/>
    <n v="0"/>
    <n v="313"/>
    <n v="274"/>
    <n v="3872"/>
    <n v="753"/>
    <n v="0"/>
    <n v="2074"/>
    <n v="15552"/>
    <n v="4911"/>
    <n v="6699"/>
  </r>
  <r>
    <s v="Monthly-AE-December-2024.csv"/>
    <x v="4"/>
    <s v="RY5"/>
    <s v="NHS ENGLAND MIDLANDS "/>
    <x v="121"/>
    <n v="0"/>
    <n v="0"/>
    <n v="8592"/>
    <n v="0"/>
    <n v="0"/>
    <n v="0"/>
    <n v="0"/>
    <n v="0"/>
    <n v="324"/>
    <n v="0"/>
    <n v="0"/>
    <n v="0"/>
    <n v="0"/>
    <n v="0"/>
    <n v="0"/>
    <n v="0"/>
    <n v="0"/>
    <n v="0"/>
    <n v="8592"/>
    <n v="324"/>
    <n v="0"/>
  </r>
  <r>
    <s v="Monthly-AE-December-2024.csv"/>
    <x v="4"/>
    <s v="Y03007"/>
    <s v="NHS ENGLAND MIDLANDS "/>
    <x v="17"/>
    <n v="0"/>
    <n v="0"/>
    <n v="0"/>
    <n v="0"/>
    <n v="0"/>
    <n v="2525"/>
    <n v="0"/>
    <n v="0"/>
    <n v="0"/>
    <n v="0"/>
    <n v="0"/>
    <n v="0"/>
    <n v="0"/>
    <n v="0"/>
    <n v="0"/>
    <n v="0"/>
    <n v="0"/>
    <n v="0"/>
    <n v="0"/>
    <n v="0"/>
    <n v="0"/>
  </r>
  <r>
    <s v="Monthly-AE-December-2024.csv"/>
    <x v="4"/>
    <s v="C82009"/>
    <s v="NHS ENGLAND MIDLANDS "/>
    <x v="123"/>
    <n v="0"/>
    <n v="0"/>
    <n v="228"/>
    <n v="0"/>
    <n v="0"/>
    <n v="0"/>
    <n v="0"/>
    <n v="0"/>
    <n v="0"/>
    <n v="0"/>
    <n v="0"/>
    <n v="0"/>
    <n v="0"/>
    <n v="0"/>
    <n v="0"/>
    <n v="0"/>
    <n v="0"/>
    <n v="0"/>
    <n v="228"/>
    <n v="0"/>
    <n v="0"/>
  </r>
  <r>
    <s v="Monthly-AE-December-2024.csv"/>
    <x v="4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0"/>
    <n v="29"/>
  </r>
  <r>
    <s v="Monthly-AE-December-2024.csv"/>
    <x v="4"/>
    <s v="RTR"/>
    <s v="NHS ENGLAND NORTH EAST AND YORKSHIRE "/>
    <x v="153"/>
    <n v="7836"/>
    <n v="0"/>
    <n v="8987"/>
    <n v="0"/>
    <n v="0"/>
    <n v="1947"/>
    <n v="4422"/>
    <n v="0"/>
    <n v="743"/>
    <n v="0"/>
    <n v="0"/>
    <n v="79"/>
    <n v="622"/>
    <n v="104"/>
    <n v="2888"/>
    <n v="0"/>
    <n v="112"/>
    <n v="2401"/>
    <n v="16823"/>
    <n v="5165"/>
    <n v="5401"/>
  </r>
  <r>
    <s v="Monthly-AE-December-2024.csv"/>
    <x v="4"/>
    <s v="RWA"/>
    <s v="NHS ENGLAND NORTH EAST AND YORKSHIRE "/>
    <x v="116"/>
    <n v="9511"/>
    <n v="0"/>
    <n v="4552"/>
    <n v="0"/>
    <n v="0"/>
    <n v="0"/>
    <n v="6118"/>
    <n v="0"/>
    <n v="330"/>
    <n v="0"/>
    <n v="0"/>
    <n v="0"/>
    <n v="890"/>
    <n v="776"/>
    <n v="3378"/>
    <n v="0"/>
    <n v="0"/>
    <n v="2375"/>
    <n v="14063"/>
    <n v="6448"/>
    <n v="5753"/>
  </r>
  <r>
    <s v="Monthly-AE-December-2024.csv"/>
    <x v="4"/>
    <s v="RWG"/>
    <s v="NHS ENGLAND EAST OF ENGLAND "/>
    <x v="47"/>
    <n v="8756"/>
    <n v="0"/>
    <n v="7243"/>
    <n v="0"/>
    <n v="0"/>
    <n v="885"/>
    <n v="3605"/>
    <n v="0"/>
    <n v="381"/>
    <n v="0"/>
    <n v="0"/>
    <n v="0"/>
    <n v="808"/>
    <n v="21"/>
    <n v="4120"/>
    <n v="0"/>
    <n v="0"/>
    <n v="650"/>
    <n v="15999"/>
    <n v="3986"/>
    <n v="4770"/>
  </r>
  <r>
    <s v="Monthly-AE-December-2024.csv"/>
    <x v="4"/>
    <s v="RXK"/>
    <s v="NHS ENGLAND MIDLANDS "/>
    <x v="119"/>
    <n v="11365"/>
    <n v="947"/>
    <n v="9370"/>
    <n v="534"/>
    <n v="0"/>
    <n v="0"/>
    <n v="5386"/>
    <n v="160"/>
    <n v="770"/>
    <n v="0"/>
    <n v="0"/>
    <n v="0"/>
    <n v="750"/>
    <n v="228"/>
    <n v="2491"/>
    <n v="0"/>
    <n v="0"/>
    <n v="544"/>
    <n v="21682"/>
    <n v="6316"/>
    <n v="3035"/>
  </r>
  <r>
    <s v="Monthly-AE-December-2024.csv"/>
    <x v="4"/>
    <s v="RY4"/>
    <s v="NHS ENGLAND EAST OF ENGLAND "/>
    <x v="93"/>
    <n v="0"/>
    <n v="0"/>
    <n v="899"/>
    <n v="0"/>
    <n v="0"/>
    <n v="0"/>
    <n v="0"/>
    <n v="0"/>
    <n v="20"/>
    <n v="0"/>
    <n v="0"/>
    <n v="0"/>
    <n v="0"/>
    <n v="0"/>
    <n v="0"/>
    <n v="0"/>
    <n v="0"/>
    <n v="0"/>
    <n v="899"/>
    <n v="20"/>
    <n v="0"/>
  </r>
  <r>
    <s v="Monthly-AE-December-2024.csv"/>
    <x v="4"/>
    <s v="DT301"/>
    <s v="NHS ENGLAND EAST OF ENGLAND "/>
    <x v="19"/>
    <n v="0"/>
    <n v="0"/>
    <n v="1884"/>
    <n v="0"/>
    <n v="0"/>
    <n v="0"/>
    <n v="0"/>
    <n v="0"/>
    <n v="38"/>
    <n v="0"/>
    <n v="0"/>
    <n v="0"/>
    <n v="0"/>
    <n v="0"/>
    <n v="0"/>
    <n v="0"/>
    <n v="0"/>
    <n v="0"/>
    <n v="1884"/>
    <n v="38"/>
    <n v="0"/>
  </r>
  <r>
    <s v="Monthly-AE-December-2024.csv"/>
    <x v="4"/>
    <s v="RBD"/>
    <s v="NHS ENGLAND SOUTH WEST "/>
    <x v="101"/>
    <n v="4150"/>
    <n v="0"/>
    <n v="0"/>
    <n v="394"/>
    <n v="0"/>
    <n v="4127"/>
    <n v="2053"/>
    <n v="0"/>
    <n v="0"/>
    <n v="110"/>
    <n v="0"/>
    <n v="13"/>
    <n v="264"/>
    <n v="42"/>
    <n v="1764"/>
    <n v="0"/>
    <n v="0"/>
    <n v="507"/>
    <n v="4150"/>
    <n v="2053"/>
    <n v="2271"/>
  </r>
  <r>
    <s v="Monthly-AE-December-2024.csv"/>
    <x v="4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72"/>
    <n v="0"/>
    <n v="0"/>
    <n v="172"/>
  </r>
  <r>
    <s v="Monthly-AE-December-2024.csv"/>
    <x v="4"/>
    <s v="RHW"/>
    <s v="NHS ENGLAND SOUTH EAST "/>
    <x v="187"/>
    <n v="11028"/>
    <n v="2143"/>
    <n v="1713"/>
    <n v="944"/>
    <n v="15"/>
    <n v="0"/>
    <n v="4966"/>
    <n v="10"/>
    <n v="0"/>
    <n v="327"/>
    <n v="0"/>
    <n v="0"/>
    <n v="847"/>
    <n v="7"/>
    <n v="2603"/>
    <n v="0"/>
    <n v="0"/>
    <n v="383"/>
    <n v="14884"/>
    <n v="4976"/>
    <n v="2986"/>
  </r>
  <r>
    <s v="Monthly-AE-December-2024.csv"/>
    <x v="4"/>
    <s v="RJR"/>
    <s v="NHS ENGLAND NORTH WEST "/>
    <x v="108"/>
    <n v="5166"/>
    <n v="0"/>
    <n v="2154"/>
    <n v="0"/>
    <n v="0"/>
    <n v="0"/>
    <n v="2975"/>
    <n v="0"/>
    <n v="286"/>
    <n v="0"/>
    <n v="0"/>
    <n v="0"/>
    <n v="258"/>
    <n v="647"/>
    <n v="1687"/>
    <n v="0"/>
    <n v="0"/>
    <n v="1311"/>
    <n v="7320"/>
    <n v="3261"/>
    <n v="2998"/>
  </r>
  <r>
    <s v="Monthly-AE-December-2024.csv"/>
    <x v="4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24"/>
  </r>
  <r>
    <s v="Monthly-AE-December-2024.csv"/>
    <x v="4"/>
    <s v="RLQ"/>
    <s v="NHS ENGLAND MIDLANDS "/>
    <x v="86"/>
    <n v="6159"/>
    <n v="945"/>
    <n v="104"/>
    <n v="193"/>
    <n v="0"/>
    <n v="0"/>
    <n v="2675"/>
    <n v="0"/>
    <n v="0"/>
    <n v="37"/>
    <n v="0"/>
    <n v="0"/>
    <n v="436"/>
    <n v="232"/>
    <n v="1528"/>
    <n v="0"/>
    <n v="0"/>
    <n v="134"/>
    <n v="7208"/>
    <n v="2675"/>
    <n v="1662"/>
  </r>
  <r>
    <s v="Monthly-AE-December-2024.csv"/>
    <x v="4"/>
    <s v="ACH01"/>
    <s v="NHS ENGLAND SOUTH EAST "/>
    <x v="50"/>
    <n v="0"/>
    <n v="0"/>
    <n v="5496"/>
    <n v="0"/>
    <n v="0"/>
    <n v="0"/>
    <n v="0"/>
    <n v="0"/>
    <n v="0"/>
    <n v="0"/>
    <n v="0"/>
    <n v="0"/>
    <n v="0"/>
    <n v="0"/>
    <n v="0"/>
    <n v="0"/>
    <n v="0"/>
    <n v="0"/>
    <n v="5496"/>
    <n v="0"/>
    <n v="0"/>
  </r>
  <r>
    <s v="Monthly-AE-December-2024.csv"/>
    <x v="4"/>
    <s v="AJN"/>
    <s v="NHS ENGLAND NORTH EAST AND YORKSHIRE "/>
    <x v="94"/>
    <n v="0"/>
    <n v="0"/>
    <n v="259"/>
    <n v="0"/>
    <n v="0"/>
    <n v="0"/>
    <n v="0"/>
    <n v="0"/>
    <n v="0"/>
    <n v="0"/>
    <n v="0"/>
    <n v="0"/>
    <n v="0"/>
    <n v="0"/>
    <n v="0"/>
    <n v="0"/>
    <n v="0"/>
    <n v="0"/>
    <n v="259"/>
    <n v="0"/>
    <n v="0"/>
  </r>
  <r>
    <s v="Monthly-AE-December-2024.csv"/>
    <x v="4"/>
    <s v="AXG"/>
    <s v="NHS ENGLAND SOUTH WEST "/>
    <x v="30"/>
    <n v="0"/>
    <n v="0"/>
    <n v="2149"/>
    <n v="0"/>
    <n v="0"/>
    <n v="0"/>
    <n v="0"/>
    <n v="0"/>
    <n v="59"/>
    <n v="0"/>
    <n v="0"/>
    <n v="0"/>
    <n v="0"/>
    <n v="0"/>
    <n v="0"/>
    <n v="0"/>
    <n v="0"/>
    <n v="0"/>
    <n v="2149"/>
    <n v="59"/>
    <n v="0"/>
  </r>
  <r>
    <s v="Monthly-AE-December-2024.csv"/>
    <x v="4"/>
    <s v="NLX"/>
    <s v="NHS ENGLAND SOUTH WEST "/>
    <x v="195"/>
    <n v="0"/>
    <n v="0"/>
    <n v="7664"/>
    <n v="0"/>
    <n v="0"/>
    <n v="382"/>
    <n v="0"/>
    <n v="0"/>
    <n v="348"/>
    <n v="0"/>
    <n v="0"/>
    <n v="75"/>
    <n v="0"/>
    <n v="0"/>
    <n v="0"/>
    <n v="0"/>
    <n v="0"/>
    <n v="0"/>
    <n v="7664"/>
    <n v="348"/>
    <n v="0"/>
  </r>
  <r>
    <s v="Monthly-AE-December-2024.csv"/>
    <x v="4"/>
    <s v="NNF09"/>
    <s v="NHS ENGLAND NORTH EAST AND YORKSHIRE "/>
    <x v="124"/>
    <n v="0"/>
    <n v="0"/>
    <n v="3600"/>
    <n v="0"/>
    <n v="0"/>
    <n v="0"/>
    <n v="0"/>
    <n v="0"/>
    <n v="470"/>
    <n v="0"/>
    <n v="0"/>
    <n v="0"/>
    <n v="0"/>
    <n v="0"/>
    <n v="0"/>
    <n v="0"/>
    <n v="0"/>
    <n v="0"/>
    <n v="3600"/>
    <n v="470"/>
    <n v="0"/>
  </r>
  <r>
    <s v="Monthly-AE-December-2024.csv"/>
    <x v="4"/>
    <s v="NNF16"/>
    <s v="NHS ENGLAND NORTH EAST AND YORKSHIRE "/>
    <x v="198"/>
    <n v="0"/>
    <n v="0"/>
    <n v="1383"/>
    <n v="0"/>
    <n v="0"/>
    <n v="0"/>
    <n v="0"/>
    <n v="0"/>
    <n v="65"/>
    <n v="0"/>
    <n v="0"/>
    <n v="0"/>
    <n v="0"/>
    <n v="0"/>
    <n v="0"/>
    <n v="0"/>
    <n v="0"/>
    <n v="0"/>
    <n v="1383"/>
    <n v="65"/>
    <n v="0"/>
  </r>
  <r>
    <s v="Monthly-AE-December-2024.csv"/>
    <x v="4"/>
    <s v="NNF94"/>
    <s v="NHS ENGLAND NORTH EAST AND YORKSHIRE "/>
    <x v="125"/>
    <n v="0"/>
    <n v="0"/>
    <n v="2643"/>
    <n v="0"/>
    <n v="0"/>
    <n v="0"/>
    <n v="0"/>
    <n v="0"/>
    <n v="214"/>
    <n v="0"/>
    <n v="0"/>
    <n v="0"/>
    <n v="0"/>
    <n v="0"/>
    <n v="0"/>
    <n v="0"/>
    <n v="0"/>
    <n v="0"/>
    <n v="2643"/>
    <n v="214"/>
    <n v="0"/>
  </r>
  <r>
    <s v="Monthly-AE-December-2024.csv"/>
    <x v="4"/>
    <s v="NNFA7"/>
    <s v="NHS ENGLAND NORTH EAST AND YORKSHIRE "/>
    <x v="126"/>
    <n v="0"/>
    <n v="0"/>
    <n v="1536"/>
    <n v="0"/>
    <n v="0"/>
    <n v="0"/>
    <n v="0"/>
    <n v="0"/>
    <n v="24"/>
    <n v="0"/>
    <n v="0"/>
    <n v="0"/>
    <n v="0"/>
    <n v="0"/>
    <n v="0"/>
    <n v="0"/>
    <n v="0"/>
    <n v="0"/>
    <n v="1536"/>
    <n v="24"/>
    <n v="0"/>
  </r>
  <r>
    <s v="Monthly-AE-December-2024.csv"/>
    <x v="4"/>
    <s v="NV693"/>
    <s v="NHS ENGLAND NORTH WEST "/>
    <x v="76"/>
    <n v="0"/>
    <n v="0"/>
    <n v="869"/>
    <n v="0"/>
    <n v="0"/>
    <n v="0"/>
    <n v="0"/>
    <n v="0"/>
    <n v="0"/>
    <n v="0"/>
    <n v="0"/>
    <n v="0"/>
    <n v="0"/>
    <n v="0"/>
    <n v="0"/>
    <n v="0"/>
    <n v="0"/>
    <n v="0"/>
    <n v="869"/>
    <n v="0"/>
    <n v="0"/>
  </r>
  <r>
    <s v="Monthly-AE-December-2024.csv"/>
    <x v="4"/>
    <s v="RA2"/>
    <s v="NHS ENGLAND SOUTH EAST "/>
    <x v="97"/>
    <n v="6551"/>
    <n v="0"/>
    <n v="1270"/>
    <n v="918"/>
    <n v="0"/>
    <n v="13"/>
    <n v="2291"/>
    <n v="0"/>
    <n v="0"/>
    <n v="268"/>
    <n v="0"/>
    <n v="0"/>
    <n v="429"/>
    <n v="4"/>
    <n v="2441"/>
    <n v="0"/>
    <n v="0"/>
    <n v="1024"/>
    <n v="7821"/>
    <n v="2291"/>
    <n v="3465"/>
  </r>
  <r>
    <s v="Monthly-AE-December-2024.csv"/>
    <x v="4"/>
    <s v="RC9"/>
    <s v="NHS ENGLAND EAST OF ENGLAND "/>
    <x v="131"/>
    <n v="16743"/>
    <n v="0"/>
    <n v="9623"/>
    <n v="0"/>
    <n v="0"/>
    <n v="1186"/>
    <n v="7825"/>
    <n v="0"/>
    <n v="0"/>
    <n v="0"/>
    <n v="0"/>
    <n v="0"/>
    <n v="81"/>
    <n v="82"/>
    <n v="4855"/>
    <n v="0"/>
    <n v="0"/>
    <n v="2234"/>
    <n v="26366"/>
    <n v="7825"/>
    <n v="7089"/>
  </r>
  <r>
    <s v="Monthly-AE-December-2024.csv"/>
    <x v="4"/>
    <s v="RCD"/>
    <s v="NHS ENGLAND NORTH EAST AND YORKSHIRE "/>
    <x v="184"/>
    <n v="5167"/>
    <n v="0"/>
    <n v="839"/>
    <n v="414"/>
    <n v="0"/>
    <n v="31"/>
    <n v="1999"/>
    <n v="0"/>
    <n v="0"/>
    <n v="98"/>
    <n v="0"/>
    <n v="0"/>
    <n v="436"/>
    <n v="108"/>
    <n v="1177"/>
    <n v="0"/>
    <n v="0"/>
    <n v="283"/>
    <n v="6006"/>
    <n v="1999"/>
    <n v="1460"/>
  </r>
  <r>
    <s v="Monthly-AE-December-2024.csv"/>
    <x v="4"/>
    <s v="REF"/>
    <s v="NHS ENGLAND SOUTH WEST "/>
    <x v="60"/>
    <n v="6184"/>
    <n v="0"/>
    <n v="10870"/>
    <n v="0"/>
    <n v="0"/>
    <n v="0"/>
    <n v="3081"/>
    <n v="0"/>
    <n v="816"/>
    <n v="0"/>
    <n v="0"/>
    <n v="0"/>
    <n v="597"/>
    <n v="468"/>
    <n v="2421"/>
    <n v="0"/>
    <n v="49"/>
    <n v="1272"/>
    <n v="17054"/>
    <n v="3897"/>
    <n v="3742"/>
  </r>
  <r>
    <s v="Monthly-AE-December-2024.csv"/>
    <x v="4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92"/>
    <n v="0"/>
    <n v="0"/>
    <n v="192"/>
  </r>
  <r>
    <s v="Monthly-AE-December-2024.csv"/>
    <x v="4"/>
    <s v="RJ6"/>
    <s v="NHS ENGLAND LONDON"/>
    <x v="136"/>
    <n v="13668"/>
    <n v="0"/>
    <n v="5536"/>
    <n v="1"/>
    <n v="0"/>
    <n v="0"/>
    <n v="5528"/>
    <n v="0"/>
    <n v="0"/>
    <n v="0"/>
    <n v="0"/>
    <n v="0"/>
    <n v="370"/>
    <n v="666"/>
    <n v="1256"/>
    <n v="0"/>
    <n v="0"/>
    <n v="135"/>
    <n v="19204"/>
    <n v="5528"/>
    <n v="1391"/>
  </r>
  <r>
    <s v="Monthly-AE-December-2024.csv"/>
    <x v="4"/>
    <s v="RK9"/>
    <s v="NHS ENGLAND SOUTH WEST "/>
    <x v="139"/>
    <n v="9586"/>
    <n v="123"/>
    <n v="4623"/>
    <n v="0"/>
    <n v="0"/>
    <n v="0"/>
    <n v="5072"/>
    <n v="1"/>
    <n v="133"/>
    <n v="0"/>
    <n v="0"/>
    <n v="0"/>
    <n v="488"/>
    <n v="627"/>
    <n v="2892"/>
    <n v="0"/>
    <n v="0"/>
    <n v="1462"/>
    <n v="14332"/>
    <n v="5206"/>
    <n v="4354"/>
  </r>
  <r>
    <s v="Monthly-AE-December-2024.csv"/>
    <x v="4"/>
    <s v="RL4"/>
    <s v="NHS ENGLAND MIDLANDS "/>
    <x v="85"/>
    <n v="12259"/>
    <n v="0"/>
    <n v="9713"/>
    <n v="114"/>
    <n v="0"/>
    <n v="1081"/>
    <n v="4342"/>
    <n v="0"/>
    <n v="480"/>
    <n v="31"/>
    <n v="0"/>
    <n v="2"/>
    <n v="791"/>
    <n v="809"/>
    <n v="5788"/>
    <n v="0"/>
    <n v="0"/>
    <n v="1010"/>
    <n v="21972"/>
    <n v="4822"/>
    <n v="6798"/>
  </r>
  <r>
    <s v="Monthly-AE-December-2024.csv"/>
    <x v="4"/>
    <s v="RMC"/>
    <s v="NHS ENGLAND NORTH WEST "/>
    <x v="178"/>
    <n v="8125"/>
    <n v="0"/>
    <n v="3555"/>
    <n v="116"/>
    <n v="0"/>
    <n v="52"/>
    <n v="4308"/>
    <n v="0"/>
    <n v="184"/>
    <n v="62"/>
    <n v="0"/>
    <n v="2"/>
    <n v="462"/>
    <n v="638"/>
    <n v="2428"/>
    <n v="0"/>
    <n v="100"/>
    <n v="822"/>
    <n v="11680"/>
    <n v="4492"/>
    <n v="3350"/>
  </r>
  <r>
    <s v="Monthly-AE-December-2024.csv"/>
    <x v="4"/>
    <s v="RNN"/>
    <s v="NHS ENGLAND NORTH EAST AND YORKSHIRE "/>
    <x v="111"/>
    <n v="8890"/>
    <n v="0"/>
    <n v="1846"/>
    <n v="340"/>
    <n v="0"/>
    <n v="33"/>
    <n v="3988"/>
    <n v="0"/>
    <n v="30"/>
    <n v="97"/>
    <n v="0"/>
    <n v="0"/>
    <n v="823"/>
    <n v="407"/>
    <n v="2415"/>
    <n v="0"/>
    <n v="0"/>
    <n v="837"/>
    <n v="10736"/>
    <n v="4018"/>
    <n v="3252"/>
  </r>
  <r>
    <s v="Monthly-AE-December-2024.csv"/>
    <x v="4"/>
    <s v="RTQ"/>
    <s v="NHS ENGLAND SOUTH WEST "/>
    <x v="115"/>
    <n v="0"/>
    <n v="0"/>
    <n v="7577"/>
    <n v="0"/>
    <n v="0"/>
    <n v="0"/>
    <n v="0"/>
    <n v="0"/>
    <n v="56"/>
    <n v="0"/>
    <n v="0"/>
    <n v="0"/>
    <n v="0"/>
    <n v="0"/>
    <n v="0"/>
    <n v="0"/>
    <n v="0"/>
    <n v="21"/>
    <n v="7577"/>
    <n v="56"/>
    <n v="21"/>
  </r>
  <r>
    <s v="Monthly-AE-December-2024.csv"/>
    <x v="4"/>
    <s v="RW4"/>
    <s v="NHS ENGLAND NORTH WEST "/>
    <x v="42"/>
    <n v="0"/>
    <n v="0"/>
    <n v="13451"/>
    <n v="0"/>
    <n v="0"/>
    <n v="0"/>
    <n v="0"/>
    <n v="0"/>
    <n v="346"/>
    <n v="0"/>
    <n v="0"/>
    <n v="0"/>
    <n v="0"/>
    <n v="0"/>
    <n v="0"/>
    <n v="0"/>
    <n v="0"/>
    <n v="43"/>
    <n v="13451"/>
    <n v="346"/>
    <n v="43"/>
  </r>
  <r>
    <s v="Monthly-AE-December-2024.csv"/>
    <x v="4"/>
    <s v="RXR"/>
    <s v="NHS ENGLAND NORTH WEST "/>
    <x v="92"/>
    <n v="13318"/>
    <n v="0"/>
    <n v="9823"/>
    <n v="0"/>
    <n v="0"/>
    <n v="0"/>
    <n v="5103"/>
    <n v="0"/>
    <n v="822"/>
    <n v="0"/>
    <n v="0"/>
    <n v="0"/>
    <n v="596"/>
    <n v="1156"/>
    <n v="4211"/>
    <n v="0"/>
    <n v="75"/>
    <n v="1615"/>
    <n v="23141"/>
    <n v="5925"/>
    <n v="5901"/>
  </r>
  <r>
    <s v="Monthly-AE-December-2024.csv"/>
    <x v="4"/>
    <s v="RXW"/>
    <s v="NHS ENGLAND MIDLANDS "/>
    <x v="120"/>
    <n v="10473"/>
    <n v="0"/>
    <n v="2835"/>
    <n v="0"/>
    <n v="0"/>
    <n v="0"/>
    <n v="6330"/>
    <n v="0"/>
    <n v="285"/>
    <n v="0"/>
    <n v="0"/>
    <n v="0"/>
    <n v="408"/>
    <n v="1494"/>
    <n v="3246"/>
    <n v="0"/>
    <n v="201"/>
    <n v="2227"/>
    <n v="13308"/>
    <n v="6615"/>
    <n v="5674"/>
  </r>
  <r>
    <s v="Monthly-AE-December-2024.csv"/>
    <x v="4"/>
    <s v="RY2"/>
    <s v="NHS ENGLAND NORTH WEST "/>
    <x v="73"/>
    <n v="0"/>
    <n v="0"/>
    <n v="3029"/>
    <n v="0"/>
    <n v="0"/>
    <n v="229"/>
    <n v="0"/>
    <n v="0"/>
    <n v="155"/>
    <n v="0"/>
    <n v="0"/>
    <n v="8"/>
    <n v="0"/>
    <n v="0"/>
    <n v="0"/>
    <n v="0"/>
    <n v="0"/>
    <n v="0"/>
    <n v="3029"/>
    <n v="155"/>
    <n v="0"/>
  </r>
  <r>
    <s v="Monthly-AE-December-2024.csv"/>
    <x v="4"/>
    <s v="RYX"/>
    <s v="NHS ENGLAND LONDON"/>
    <x v="75"/>
    <n v="0"/>
    <n v="0"/>
    <n v="12179"/>
    <n v="0"/>
    <n v="0"/>
    <n v="526"/>
    <n v="0"/>
    <n v="0"/>
    <n v="342"/>
    <n v="0"/>
    <n v="0"/>
    <n v="16"/>
    <n v="0"/>
    <n v="0"/>
    <n v="0"/>
    <n v="0"/>
    <n v="0"/>
    <n v="0"/>
    <n v="12179"/>
    <n v="342"/>
    <n v="0"/>
  </r>
  <r>
    <s v="Monthly-AE-December-2024.csv"/>
    <x v="4"/>
    <s v="Y02147"/>
    <s v="NHS ENGLAND LONDON"/>
    <x v="29"/>
    <n v="0"/>
    <n v="0"/>
    <n v="8134"/>
    <n v="0"/>
    <n v="0"/>
    <n v="647"/>
    <n v="0"/>
    <n v="0"/>
    <n v="240"/>
    <n v="0"/>
    <n v="0"/>
    <n v="7"/>
    <n v="0"/>
    <n v="0"/>
    <n v="0"/>
    <n v="0"/>
    <n v="0"/>
    <n v="0"/>
    <n v="8134"/>
    <n v="240"/>
    <n v="0"/>
  </r>
  <r>
    <s v="Monthly-AE-December-2024.csv"/>
    <x v="4"/>
    <s v="ARN03"/>
    <s v="NHS ENGLAND NORTH EAST AND YORKSHIRE "/>
    <x v="164"/>
    <n v="0"/>
    <n v="0"/>
    <n v="2385"/>
    <n v="0"/>
    <n v="0"/>
    <n v="349"/>
    <n v="0"/>
    <n v="0"/>
    <n v="9"/>
    <n v="0"/>
    <n v="0"/>
    <n v="0"/>
    <n v="0"/>
    <n v="0"/>
    <n v="0"/>
    <n v="0"/>
    <n v="0"/>
    <n v="0"/>
    <n v="2385"/>
    <n v="9"/>
    <n v="0"/>
  </r>
  <r>
    <s v="Monthly-AE-December-2024.csv"/>
    <x v="4"/>
    <s v="R0B"/>
    <s v="NHS ENGLAND NORTH EAST AND YORKSHIRE "/>
    <x v="44"/>
    <n v="12083"/>
    <n v="1067"/>
    <n v="5763"/>
    <n v="801"/>
    <n v="0"/>
    <n v="1590"/>
    <n v="7095"/>
    <n v="17"/>
    <n v="239"/>
    <n v="431"/>
    <n v="0"/>
    <n v="36"/>
    <n v="1558"/>
    <n v="30"/>
    <n v="4755"/>
    <n v="20"/>
    <n v="0"/>
    <n v="1232"/>
    <n v="18913"/>
    <n v="7351"/>
    <n v="6007"/>
  </r>
  <r>
    <s v="Monthly-AE-December-2024.csv"/>
    <x v="4"/>
    <s v="R0D"/>
    <s v="NHS ENGLAND SOUTH WEST "/>
    <x v="77"/>
    <n v="13366"/>
    <n v="0"/>
    <n v="4874"/>
    <n v="0"/>
    <n v="0"/>
    <n v="0"/>
    <n v="6548"/>
    <n v="0"/>
    <n v="0"/>
    <n v="0"/>
    <n v="0"/>
    <n v="0"/>
    <n v="1155"/>
    <n v="399"/>
    <n v="4255"/>
    <n v="6"/>
    <n v="0"/>
    <n v="2386"/>
    <n v="18240"/>
    <n v="6548"/>
    <n v="6647"/>
  </r>
  <r>
    <s v="Monthly-AE-December-2024.csv"/>
    <x v="4"/>
    <s v="RA7"/>
    <s v="NHS ENGLAND SOUTH WEST "/>
    <x v="78"/>
    <n v="15827"/>
    <n v="2126"/>
    <n v="0"/>
    <n v="0"/>
    <n v="0"/>
    <n v="0"/>
    <n v="6647"/>
    <n v="125"/>
    <n v="0"/>
    <n v="0"/>
    <n v="0"/>
    <n v="0"/>
    <n v="1326"/>
    <n v="695"/>
    <n v="5267"/>
    <n v="9"/>
    <n v="0"/>
    <n v="1553"/>
    <n v="17953"/>
    <n v="6772"/>
    <n v="6829"/>
  </r>
  <r>
    <s v="Monthly-AE-December-2024.csv"/>
    <x v="4"/>
    <s v="RBK"/>
    <s v="NHS ENGLAND MIDLANDS "/>
    <x v="102"/>
    <n v="9777"/>
    <n v="0"/>
    <n v="4650"/>
    <n v="32"/>
    <n v="0"/>
    <n v="154"/>
    <n v="3739"/>
    <n v="0"/>
    <n v="147"/>
    <n v="10"/>
    <n v="0"/>
    <n v="0"/>
    <n v="1297"/>
    <n v="240"/>
    <n v="4145"/>
    <n v="0"/>
    <n v="0"/>
    <n v="751"/>
    <n v="14427"/>
    <n v="3886"/>
    <n v="4896"/>
  </r>
  <r>
    <s v="Monthly-AE-December-2024.csv"/>
    <x v="4"/>
    <s v="RCB"/>
    <s v="NHS ENGLAND NORTH EAST AND YORKSHIRE "/>
    <x v="103"/>
    <n v="10763"/>
    <n v="325"/>
    <n v="5610"/>
    <n v="0"/>
    <n v="0"/>
    <n v="0"/>
    <n v="6317"/>
    <n v="0"/>
    <n v="195"/>
    <n v="0"/>
    <n v="0"/>
    <n v="0"/>
    <n v="772"/>
    <n v="1057"/>
    <n v="4639"/>
    <n v="0"/>
    <n v="0"/>
    <n v="1610"/>
    <n v="16698"/>
    <n v="6512"/>
    <n v="6249"/>
  </r>
  <r>
    <s v="Monthly-AE-December-2024.csv"/>
    <x v="4"/>
    <s v="RCF"/>
    <s v="NHS ENGLAND NORTH EAST AND YORKSHIRE "/>
    <x v="104"/>
    <n v="5809"/>
    <n v="202"/>
    <n v="0"/>
    <n v="557"/>
    <n v="0"/>
    <n v="0"/>
    <n v="2489"/>
    <n v="0"/>
    <n v="0"/>
    <n v="0"/>
    <n v="0"/>
    <n v="0"/>
    <n v="453"/>
    <n v="150"/>
    <n v="1661"/>
    <n v="0"/>
    <n v="0"/>
    <n v="559"/>
    <n v="6011"/>
    <n v="2489"/>
    <n v="2220"/>
  </r>
  <r>
    <s v="Monthly-AE-December-2024.csv"/>
    <x v="4"/>
    <s v="RCX"/>
    <s v="NHS ENGLAND EAST OF ENGLAND "/>
    <x v="185"/>
    <n v="7060"/>
    <n v="0"/>
    <n v="1308"/>
    <n v="0"/>
    <n v="0"/>
    <n v="0"/>
    <n v="3458"/>
    <n v="0"/>
    <n v="0"/>
    <n v="0"/>
    <n v="0"/>
    <n v="0"/>
    <n v="352"/>
    <n v="129"/>
    <n v="2318"/>
    <n v="0"/>
    <n v="0"/>
    <n v="241"/>
    <n v="8368"/>
    <n v="3458"/>
    <n v="2559"/>
  </r>
  <r>
    <s v="Monthly-AE-December-2024.csv"/>
    <x v="4"/>
    <s v="RFS"/>
    <s v="NHS ENGLAND MIDLANDS "/>
    <x v="133"/>
    <n v="6779"/>
    <n v="0"/>
    <n v="6341"/>
    <n v="243"/>
    <n v="0"/>
    <n v="101"/>
    <n v="3605"/>
    <n v="0"/>
    <n v="282"/>
    <n v="101"/>
    <n v="0"/>
    <n v="8"/>
    <n v="1051"/>
    <n v="235"/>
    <n v="2819"/>
    <n v="0"/>
    <n v="284"/>
    <n v="585"/>
    <n v="13120"/>
    <n v="3887"/>
    <n v="3688"/>
  </r>
  <r>
    <s v="Monthly-AE-December-2024.csv"/>
    <x v="4"/>
    <s v="RGR"/>
    <s v="NHS ENGLAND EAST OF ENGLAND "/>
    <x v="192"/>
    <n v="7916"/>
    <n v="0"/>
    <n v="785"/>
    <n v="37"/>
    <n v="0"/>
    <n v="0"/>
    <n v="3316"/>
    <n v="0"/>
    <n v="0"/>
    <n v="0"/>
    <n v="0"/>
    <n v="0"/>
    <n v="441"/>
    <n v="696"/>
    <n v="1999"/>
    <n v="0"/>
    <n v="0"/>
    <n v="324"/>
    <n v="8701"/>
    <n v="3316"/>
    <n v="2323"/>
  </r>
  <r>
    <s v="Monthly-AE-December-2024.csv"/>
    <x v="4"/>
    <s v="RJ1"/>
    <s v="NHS ENGLAND LONDON"/>
    <x v="135"/>
    <n v="10355"/>
    <n v="661"/>
    <n v="6289"/>
    <n v="0"/>
    <n v="0"/>
    <n v="0"/>
    <n v="4559"/>
    <n v="38"/>
    <n v="234"/>
    <n v="0"/>
    <n v="0"/>
    <n v="0"/>
    <n v="239"/>
    <n v="87"/>
    <n v="2095"/>
    <n v="0"/>
    <n v="0"/>
    <n v="257"/>
    <n v="17305"/>
    <n v="4831"/>
    <n v="2352"/>
  </r>
  <r>
    <s v="Monthly-AE-December-2024.csv"/>
    <x v="4"/>
    <s v="RJ2"/>
    <s v="NHS ENGLAND LONDON"/>
    <x v="169"/>
    <n v="14817"/>
    <n v="0"/>
    <n v="11293"/>
    <n v="0"/>
    <n v="0"/>
    <n v="0"/>
    <n v="7982"/>
    <n v="0"/>
    <n v="1382"/>
    <n v="0"/>
    <n v="0"/>
    <n v="0"/>
    <n v="1245"/>
    <n v="731"/>
    <n v="5067"/>
    <n v="0"/>
    <n v="0"/>
    <n v="1235"/>
    <n v="26110"/>
    <n v="9364"/>
    <n v="6302"/>
  </r>
  <r>
    <s v="Monthly-AE-December-2024.csv"/>
    <x v="4"/>
    <s v="RJC"/>
    <s v="NHS ENGLAND MIDLANDS "/>
    <x v="138"/>
    <n v="8418"/>
    <n v="0"/>
    <n v="276"/>
    <n v="0"/>
    <n v="0"/>
    <n v="0"/>
    <n v="3584"/>
    <n v="0"/>
    <n v="0"/>
    <n v="0"/>
    <n v="0"/>
    <n v="0"/>
    <n v="493"/>
    <n v="136"/>
    <n v="2414"/>
    <n v="0"/>
    <n v="0"/>
    <n v="774"/>
    <n v="8694"/>
    <n v="3584"/>
    <n v="3188"/>
  </r>
  <r>
    <s v="Monthly-AE-December-2024.csv"/>
    <x v="4"/>
    <s v="RJZ"/>
    <s v="NHS ENGLAND LONDON"/>
    <x v="62"/>
    <n v="15408"/>
    <n v="0"/>
    <n v="9254"/>
    <n v="71"/>
    <n v="0"/>
    <n v="1254"/>
    <n v="6995"/>
    <n v="0"/>
    <n v="293"/>
    <n v="23"/>
    <n v="0"/>
    <n v="0"/>
    <n v="1695"/>
    <n v="972"/>
    <n v="3847"/>
    <n v="0"/>
    <n v="0"/>
    <n v="316"/>
    <n v="24662"/>
    <n v="7288"/>
    <n v="4163"/>
  </r>
  <r>
    <s v="Monthly-AE-December-2024.csv"/>
    <x v="4"/>
    <s v="RKB"/>
    <s v="NHS ENGLAND MIDLANDS "/>
    <x v="140"/>
    <n v="12631"/>
    <n v="1110"/>
    <n v="6218"/>
    <n v="0"/>
    <n v="0"/>
    <n v="0"/>
    <n v="5975"/>
    <n v="122"/>
    <n v="541"/>
    <n v="0"/>
    <n v="0"/>
    <n v="0"/>
    <n v="77"/>
    <n v="27"/>
    <n v="1745"/>
    <n v="33"/>
    <n v="100"/>
    <n v="593"/>
    <n v="19959"/>
    <n v="6638"/>
    <n v="2471"/>
  </r>
  <r>
    <s v="Monthly-AE-December-2024.csv"/>
    <x v="4"/>
    <s v="RKE"/>
    <s v="NHS ENGLAND LONDON"/>
    <x v="170"/>
    <n v="9388"/>
    <n v="0"/>
    <n v="0"/>
    <n v="0"/>
    <n v="0"/>
    <n v="0"/>
    <n v="3013"/>
    <n v="0"/>
    <n v="0"/>
    <n v="0"/>
    <n v="0"/>
    <n v="0"/>
    <n v="233"/>
    <n v="381"/>
    <n v="1216"/>
    <n v="0"/>
    <n v="0"/>
    <n v="40"/>
    <n v="9388"/>
    <n v="3013"/>
    <n v="1256"/>
  </r>
  <r>
    <s v="Monthly-AE-December-2024.csv"/>
    <x v="4"/>
    <s v="RMP"/>
    <s v="NHS ENGLAND NORTH WEST "/>
    <x v="143"/>
    <n v="8801"/>
    <n v="0"/>
    <n v="3528"/>
    <n v="413"/>
    <n v="0"/>
    <n v="85"/>
    <n v="4686"/>
    <n v="0"/>
    <n v="115"/>
    <n v="0"/>
    <n v="0"/>
    <n v="0"/>
    <n v="317"/>
    <n v="805"/>
    <n v="1763"/>
    <n v="0"/>
    <n v="0"/>
    <n v="293"/>
    <n v="12329"/>
    <n v="4801"/>
    <n v="2056"/>
  </r>
  <r>
    <s v="Monthly-AE-December-2024.csv"/>
    <x v="4"/>
    <s v="RNA"/>
    <s v="NHS ENGLAND MIDLANDS "/>
    <x v="63"/>
    <n v="9333"/>
    <n v="0"/>
    <n v="5271"/>
    <n v="0"/>
    <n v="0"/>
    <n v="750"/>
    <n v="2747"/>
    <n v="0"/>
    <n v="617"/>
    <n v="0"/>
    <n v="0"/>
    <n v="0"/>
    <n v="1961"/>
    <n v="93"/>
    <n v="3724"/>
    <n v="0"/>
    <n v="0"/>
    <n v="2204"/>
    <n v="14604"/>
    <n v="3364"/>
    <n v="5928"/>
  </r>
  <r>
    <s v="Monthly-AE-December-2024.csv"/>
    <x v="4"/>
    <s v="RNQ"/>
    <s v="NHS ENGLAND MIDLANDS "/>
    <x v="64"/>
    <n v="10450"/>
    <n v="0"/>
    <n v="9823"/>
    <n v="355"/>
    <n v="0"/>
    <n v="0"/>
    <n v="4357"/>
    <n v="0"/>
    <n v="430"/>
    <n v="0"/>
    <n v="0"/>
    <n v="0"/>
    <n v="1454"/>
    <n v="0"/>
    <n v="1909"/>
    <n v="0"/>
    <n v="0"/>
    <n v="204"/>
    <n v="20273"/>
    <n v="4787"/>
    <n v="2113"/>
  </r>
  <r>
    <s v="Monthly-AE-December-2024.csv"/>
    <x v="4"/>
    <s v="RR8"/>
    <s v="NHS ENGLAND NORTH EAST AND YORKSHIRE "/>
    <x v="149"/>
    <n v="17787"/>
    <n v="599"/>
    <n v="12377"/>
    <n v="59"/>
    <n v="0"/>
    <n v="110"/>
    <n v="8073"/>
    <n v="0"/>
    <n v="206"/>
    <n v="20"/>
    <n v="0"/>
    <n v="0"/>
    <n v="1622"/>
    <n v="678"/>
    <n v="3943"/>
    <n v="0"/>
    <n v="0"/>
    <n v="1177"/>
    <n v="30763"/>
    <n v="8279"/>
    <n v="5120"/>
  </r>
  <r>
    <s v="Monthly-AE-December-2024.csv"/>
    <x v="4"/>
    <s v="RTX"/>
    <s v="NHS ENGLAND NORTH WEST "/>
    <x v="172"/>
    <n v="9034"/>
    <n v="0"/>
    <n v="3216"/>
    <n v="149"/>
    <n v="0"/>
    <n v="738"/>
    <n v="3256"/>
    <n v="0"/>
    <n v="86"/>
    <n v="27"/>
    <n v="0"/>
    <n v="66"/>
    <n v="670"/>
    <n v="550"/>
    <n v="3269"/>
    <n v="0"/>
    <n v="26"/>
    <n v="1038"/>
    <n v="12250"/>
    <n v="3342"/>
    <n v="4333"/>
  </r>
  <r>
    <s v="Monthly-AE-December-2024.csv"/>
    <x v="4"/>
    <s v="RWE"/>
    <s v="NHS ENGLAND MIDLANDS "/>
    <x v="117"/>
    <n v="22293"/>
    <n v="1856"/>
    <n v="0"/>
    <n v="0"/>
    <n v="0"/>
    <n v="0"/>
    <n v="9688"/>
    <n v="161"/>
    <n v="0"/>
    <n v="0"/>
    <n v="0"/>
    <n v="0"/>
    <n v="1588"/>
    <n v="953"/>
    <n v="6629"/>
    <n v="0"/>
    <n v="0"/>
    <n v="3412"/>
    <n v="24149"/>
    <n v="9849"/>
    <n v="10041"/>
  </r>
  <r>
    <s v="Monthly-AE-December-2024.csv"/>
    <x v="4"/>
    <s v="RWF"/>
    <s v="NHS ENGLAND SOUTH EAST "/>
    <x v="118"/>
    <n v="19326"/>
    <n v="0"/>
    <n v="2212"/>
    <n v="0"/>
    <n v="0"/>
    <n v="0"/>
    <n v="4476"/>
    <n v="0"/>
    <n v="31"/>
    <n v="0"/>
    <n v="0"/>
    <n v="0"/>
    <n v="938"/>
    <n v="171"/>
    <n v="5225"/>
    <n v="0"/>
    <n v="0"/>
    <n v="981"/>
    <n v="21538"/>
    <n v="4507"/>
    <n v="6206"/>
  </r>
  <r>
    <s v="Monthly-AE-December-2024.csv"/>
    <x v="4"/>
    <s v="RWW"/>
    <s v="NHS ENGLAND NORTH WEST "/>
    <x v="159"/>
    <n v="6888"/>
    <n v="0"/>
    <n v="2896"/>
    <n v="271"/>
    <n v="0"/>
    <n v="160"/>
    <n v="3615"/>
    <n v="0"/>
    <n v="47"/>
    <n v="106"/>
    <n v="0"/>
    <n v="3"/>
    <n v="772"/>
    <n v="687"/>
    <n v="1878"/>
    <n v="0"/>
    <n v="0"/>
    <n v="129"/>
    <n v="9784"/>
    <n v="3662"/>
    <n v="2007"/>
  </r>
  <r>
    <s v="Monthly-AE-December-2024.csv"/>
    <x v="4"/>
    <s v="RX1"/>
    <s v="NHS ENGLAND MIDLANDS "/>
    <x v="69"/>
    <n v="16345"/>
    <n v="1613"/>
    <n v="280"/>
    <n v="0"/>
    <n v="0"/>
    <n v="0"/>
    <n v="9494"/>
    <n v="151"/>
    <n v="8"/>
    <n v="0"/>
    <n v="0"/>
    <n v="0"/>
    <n v="309"/>
    <n v="578"/>
    <n v="4640"/>
    <n v="0"/>
    <n v="0"/>
    <n v="4354"/>
    <n v="18238"/>
    <n v="9653"/>
    <n v="8994"/>
  </r>
  <r>
    <s v="Monthly-AE-December-2024.csv"/>
    <x v="4"/>
    <s v="RXF"/>
    <s v="NHS ENGLAND NORTH EAST AND YORKSHIRE "/>
    <x v="160"/>
    <n v="16641"/>
    <n v="118"/>
    <n v="5877"/>
    <n v="124"/>
    <n v="0"/>
    <n v="106"/>
    <n v="7307"/>
    <n v="0"/>
    <n v="550"/>
    <n v="1"/>
    <n v="0"/>
    <n v="4"/>
    <n v="2316"/>
    <n v="923"/>
    <n v="3506"/>
    <n v="0"/>
    <n v="155"/>
    <n v="749"/>
    <n v="22636"/>
    <n v="7857"/>
    <n v="4410"/>
  </r>
  <r>
    <s v="Monthly-AE-December-2024.csv"/>
    <x v="4"/>
    <s v="RXN"/>
    <s v="NHS ENGLAND NORTH WEST "/>
    <x v="91"/>
    <n v="12019"/>
    <n v="0"/>
    <n v="3663"/>
    <n v="254"/>
    <n v="0"/>
    <n v="62"/>
    <n v="4565"/>
    <n v="0"/>
    <n v="116"/>
    <n v="43"/>
    <n v="0"/>
    <n v="0"/>
    <n v="1040"/>
    <n v="454"/>
    <n v="3218"/>
    <n v="0"/>
    <n v="79"/>
    <n v="1262"/>
    <n v="15682"/>
    <n v="4681"/>
    <n v="4559"/>
  </r>
  <r>
    <s v="Monthly-AE-December-2024.csv"/>
    <x v="4"/>
    <s v="RYR"/>
    <s v="NHS ENGLAND SOUTH EAST "/>
    <x v="122"/>
    <n v="23249"/>
    <n v="1245"/>
    <n v="4343"/>
    <n v="1654"/>
    <n v="0"/>
    <n v="993"/>
    <n v="10412"/>
    <n v="26"/>
    <n v="466"/>
    <n v="572"/>
    <n v="0"/>
    <n v="34"/>
    <n v="600"/>
    <n v="800"/>
    <n v="8404"/>
    <n v="21"/>
    <n v="41"/>
    <n v="1439"/>
    <n v="28837"/>
    <n v="10904"/>
    <n v="9905"/>
  </r>
  <r>
    <s v="Monthly-AE-December-2024.csv"/>
    <x v="4"/>
    <s v="NTPAD"/>
    <s v="NHS ENGLAND SOUTH EAST "/>
    <x v="22"/>
    <n v="0"/>
    <n v="0"/>
    <n v="5427"/>
    <n v="0"/>
    <n v="0"/>
    <n v="272"/>
    <n v="0"/>
    <n v="0"/>
    <n v="288"/>
    <n v="0"/>
    <n v="0"/>
    <n v="1"/>
    <n v="0"/>
    <n v="0"/>
    <n v="0"/>
    <n v="0"/>
    <n v="0"/>
    <n v="0"/>
    <n v="5427"/>
    <n v="288"/>
    <n v="0"/>
  </r>
  <r>
    <s v="Monthly-AE-December-2024.csv"/>
    <x v="4"/>
    <s v="R1D"/>
    <s v="NHS ENGLAND MIDLANDS "/>
    <x v="58"/>
    <n v="0"/>
    <n v="0"/>
    <n v="2692"/>
    <n v="0"/>
    <n v="0"/>
    <n v="0"/>
    <n v="0"/>
    <n v="0"/>
    <n v="1"/>
    <n v="0"/>
    <n v="0"/>
    <n v="0"/>
    <n v="0"/>
    <n v="0"/>
    <n v="0"/>
    <n v="0"/>
    <n v="0"/>
    <n v="0"/>
    <n v="2692"/>
    <n v="1"/>
    <n v="0"/>
  </r>
  <r>
    <s v="Monthly-AE-December-2024.csv"/>
    <x v="4"/>
    <s v="R1F"/>
    <s v="NHS ENGLAND SOUTH EAST "/>
    <x v="127"/>
    <n v="4774"/>
    <n v="268"/>
    <n v="1468"/>
    <n v="18"/>
    <n v="0"/>
    <n v="26"/>
    <n v="1766"/>
    <n v="0"/>
    <n v="0"/>
    <n v="5"/>
    <n v="0"/>
    <n v="0"/>
    <n v="253"/>
    <n v="91"/>
    <n v="1152"/>
    <n v="0"/>
    <n v="0"/>
    <n v="198"/>
    <n v="6510"/>
    <n v="1766"/>
    <n v="1350"/>
  </r>
  <r>
    <s v="Monthly-AE-December-2024.csv"/>
    <x v="4"/>
    <s v="RAE"/>
    <s v="NHS ENGLAND NORTH EAST AND YORKSHIRE "/>
    <x v="79"/>
    <n v="10047"/>
    <n v="921"/>
    <n v="3212"/>
    <n v="0"/>
    <n v="0"/>
    <n v="0"/>
    <n v="2711"/>
    <n v="0"/>
    <n v="0"/>
    <n v="0"/>
    <n v="0"/>
    <n v="0"/>
    <n v="766"/>
    <n v="120"/>
    <n v="2692"/>
    <n v="0"/>
    <n v="47"/>
    <n v="1493"/>
    <n v="14180"/>
    <n v="2711"/>
    <n v="4232"/>
  </r>
  <r>
    <s v="Monthly-AE-December-2024.csv"/>
    <x v="4"/>
    <s v="RAJ"/>
    <s v="NHS ENGLAND EAST OF ENGLAND "/>
    <x v="98"/>
    <n v="31192"/>
    <n v="0"/>
    <n v="5305"/>
    <n v="28"/>
    <n v="0"/>
    <n v="9"/>
    <n v="12755"/>
    <n v="0"/>
    <n v="283"/>
    <n v="6"/>
    <n v="0"/>
    <n v="2"/>
    <n v="3044"/>
    <n v="256"/>
    <n v="8935"/>
    <n v="0"/>
    <n v="195"/>
    <n v="1343"/>
    <n v="36497"/>
    <n v="13038"/>
    <n v="10473"/>
  </r>
  <r>
    <s v="Monthly-AE-December-2024.csv"/>
    <x v="4"/>
    <s v="RAL"/>
    <s v="NHS ENGLAND LONDON"/>
    <x v="99"/>
    <n v="17780"/>
    <n v="0"/>
    <n v="9195"/>
    <n v="0"/>
    <n v="0"/>
    <n v="0"/>
    <n v="5720"/>
    <n v="0"/>
    <n v="202"/>
    <n v="0"/>
    <n v="0"/>
    <n v="0"/>
    <n v="1067"/>
    <n v="934"/>
    <n v="3785"/>
    <n v="0"/>
    <n v="0"/>
    <n v="525"/>
    <n v="26975"/>
    <n v="5922"/>
    <n v="4310"/>
  </r>
  <r>
    <s v="Monthly-AE-December-2024.csv"/>
    <x v="4"/>
    <s v="RCU"/>
    <s v="NHS ENGLAND NORTH EAST AND YORKSHIRE "/>
    <x v="81"/>
    <n v="4994"/>
    <n v="0"/>
    <n v="644"/>
    <n v="354"/>
    <n v="0"/>
    <n v="39"/>
    <n v="601"/>
    <n v="0"/>
    <n v="8"/>
    <n v="38"/>
    <n v="0"/>
    <n v="1"/>
    <n v="26"/>
    <n v="0"/>
    <n v="1196"/>
    <n v="0"/>
    <n v="0"/>
    <n v="90"/>
    <n v="5638"/>
    <n v="609"/>
    <n v="1286"/>
  </r>
  <r>
    <s v="Monthly-AE-December-2024.csv"/>
    <x v="4"/>
    <s v="RD8"/>
    <s v="NHS ENGLAND EAST OF ENGLAND "/>
    <x v="105"/>
    <n v="8531"/>
    <n v="0"/>
    <n v="5846"/>
    <n v="618"/>
    <n v="0"/>
    <n v="150"/>
    <n v="4004"/>
    <n v="0"/>
    <n v="538"/>
    <n v="299"/>
    <n v="0"/>
    <n v="0"/>
    <n v="916"/>
    <n v="0"/>
    <n v="2287"/>
    <n v="0"/>
    <n v="0"/>
    <n v="504"/>
    <n v="14377"/>
    <n v="4542"/>
    <n v="2791"/>
  </r>
  <r>
    <s v="Monthly-AE-December-2024.csv"/>
    <x v="4"/>
    <s v="REM"/>
    <s v="NHS ENGLAND NORTH WEST "/>
    <x v="35"/>
    <n v="15507"/>
    <n v="1484"/>
    <n v="7881"/>
    <n v="430"/>
    <n v="0"/>
    <n v="0"/>
    <n v="7663"/>
    <n v="33"/>
    <n v="285"/>
    <n v="81"/>
    <n v="0"/>
    <n v="0"/>
    <n v="2090"/>
    <n v="1167"/>
    <n v="4670"/>
    <n v="0"/>
    <n v="0"/>
    <n v="2159"/>
    <n v="24872"/>
    <n v="7981"/>
    <n v="6829"/>
  </r>
  <r>
    <s v="Monthly-AE-December-2024.csv"/>
    <x v="4"/>
    <s v="REP"/>
    <s v="NHS ENGLAND NORTH WEST "/>
    <x v="83"/>
    <n v="0"/>
    <n v="1416"/>
    <n v="0"/>
    <n v="0"/>
    <n v="137"/>
    <n v="0"/>
    <n v="0"/>
    <n v="168"/>
    <n v="0"/>
    <n v="0"/>
    <n v="0"/>
    <n v="0"/>
    <n v="0"/>
    <n v="0"/>
    <n v="0"/>
    <n v="91"/>
    <n v="0"/>
    <n v="12"/>
    <n v="1416"/>
    <n v="168"/>
    <n v="103"/>
  </r>
  <r>
    <s v="Monthly-AE-December-2024.csv"/>
    <x v="4"/>
    <s v="RHM"/>
    <s v="NHS ENGLAND SOUTH EAST "/>
    <x v="134"/>
    <n v="12323"/>
    <n v="1095"/>
    <n v="0"/>
    <n v="335"/>
    <n v="0"/>
    <n v="0"/>
    <n v="5590"/>
    <n v="82"/>
    <n v="0"/>
    <n v="150"/>
    <n v="0"/>
    <n v="0"/>
    <n v="355"/>
    <n v="9"/>
    <n v="4090"/>
    <n v="12"/>
    <n v="0"/>
    <n v="1619"/>
    <n v="13418"/>
    <n v="5672"/>
    <n v="5721"/>
  </r>
  <r>
    <s v="Monthly-AE-December-2024.csv"/>
    <x v="4"/>
    <s v="RHQ"/>
    <s v="NHS ENGLAND NORTH EAST AND YORKSHIRE "/>
    <x v="168"/>
    <n v="9084"/>
    <n v="1009"/>
    <n v="7489"/>
    <n v="414"/>
    <n v="1"/>
    <n v="1392"/>
    <n v="5322"/>
    <n v="1"/>
    <n v="492"/>
    <n v="217"/>
    <n v="0"/>
    <n v="16"/>
    <n v="1469"/>
    <n v="14"/>
    <n v="3863"/>
    <n v="0"/>
    <n v="0"/>
    <n v="3066"/>
    <n v="17582"/>
    <n v="5815"/>
    <n v="6929"/>
  </r>
  <r>
    <s v="Monthly-AE-December-2024.csv"/>
    <x v="4"/>
    <s v="RJ7"/>
    <s v="NHS ENGLAND LONDON"/>
    <x v="137"/>
    <n v="9025"/>
    <n v="0"/>
    <n v="3075"/>
    <n v="590"/>
    <n v="0"/>
    <n v="0"/>
    <n v="2419"/>
    <n v="0"/>
    <n v="0"/>
    <n v="161"/>
    <n v="0"/>
    <n v="0"/>
    <n v="622"/>
    <n v="747"/>
    <n v="2760"/>
    <n v="0"/>
    <n v="0"/>
    <n v="783"/>
    <n v="12100"/>
    <n v="2419"/>
    <n v="3543"/>
  </r>
  <r>
    <s v="Monthly-AE-December-2024.csv"/>
    <x v="4"/>
    <s v="RJE"/>
    <s v="NHS ENGLAND MIDLANDS "/>
    <x v="84"/>
    <n v="13450"/>
    <n v="452"/>
    <n v="8321"/>
    <n v="940"/>
    <n v="0"/>
    <n v="696"/>
    <n v="8022"/>
    <n v="0"/>
    <n v="352"/>
    <n v="502"/>
    <n v="0"/>
    <n v="27"/>
    <n v="964"/>
    <n v="1235"/>
    <n v="5401"/>
    <n v="0"/>
    <n v="0"/>
    <n v="3111"/>
    <n v="22223"/>
    <n v="8374"/>
    <n v="8512"/>
  </r>
  <r>
    <s v="Monthly-AE-December-2024.csv"/>
    <x v="4"/>
    <s v="RN3"/>
    <s v="NHS ENGLAND SOUTH WEST "/>
    <x v="179"/>
    <n v="5708"/>
    <n v="0"/>
    <n v="5359"/>
    <n v="0"/>
    <n v="0"/>
    <n v="0"/>
    <n v="2406"/>
    <n v="0"/>
    <n v="393"/>
    <n v="0"/>
    <n v="0"/>
    <n v="0"/>
    <n v="549"/>
    <n v="292"/>
    <n v="2412"/>
    <n v="0"/>
    <n v="0"/>
    <n v="1394"/>
    <n v="11067"/>
    <n v="2799"/>
    <n v="3806"/>
  </r>
  <r>
    <s v="Monthly-AE-December-2024.csv"/>
    <x v="4"/>
    <s v="RN5"/>
    <s v="NHS ENGLAND SOUTH EAST "/>
    <x v="110"/>
    <n v="11092"/>
    <n v="37"/>
    <n v="2612"/>
    <n v="0"/>
    <n v="0"/>
    <n v="114"/>
    <n v="5667"/>
    <n v="0"/>
    <n v="88"/>
    <n v="0"/>
    <n v="0"/>
    <n v="0"/>
    <n v="366"/>
    <n v="115"/>
    <n v="4227"/>
    <n v="5"/>
    <n v="27"/>
    <n v="1191"/>
    <n v="13741"/>
    <n v="5755"/>
    <n v="5450"/>
  </r>
  <r>
    <s v="Monthly-AE-December-2024.csv"/>
    <x v="4"/>
    <s v="RN7"/>
    <s v="NHS ENGLAND SOUTH EAST "/>
    <x v="171"/>
    <n v="12287"/>
    <n v="0"/>
    <n v="4001"/>
    <n v="0"/>
    <n v="0"/>
    <n v="0"/>
    <n v="4429"/>
    <n v="0"/>
    <n v="63"/>
    <n v="0"/>
    <n v="0"/>
    <n v="0"/>
    <n v="589"/>
    <n v="304"/>
    <n v="3461"/>
    <n v="0"/>
    <n v="0"/>
    <n v="441"/>
    <n v="16288"/>
    <n v="4492"/>
    <n v="3902"/>
  </r>
  <r>
    <s v="Monthly-AE-December-2024.csv"/>
    <x v="4"/>
    <s v="RP6"/>
    <s v="NHS ENGLAND LONDON"/>
    <x v="65"/>
    <n v="0"/>
    <n v="5063"/>
    <n v="0"/>
    <n v="0"/>
    <n v="0"/>
    <n v="0"/>
    <n v="0"/>
    <n v="81"/>
    <n v="0"/>
    <n v="0"/>
    <n v="0"/>
    <n v="0"/>
    <n v="0"/>
    <n v="0"/>
    <n v="0"/>
    <n v="2"/>
    <n v="0"/>
    <n v="204"/>
    <n v="5063"/>
    <n v="81"/>
    <n v="206"/>
  </r>
  <r>
    <s v="Monthly-AE-December-2024.csv"/>
    <x v="4"/>
    <s v="RPA"/>
    <s v="NHS ENGLAND SOUTH EAST "/>
    <x v="146"/>
    <n v="8605"/>
    <n v="0"/>
    <n v="6738"/>
    <n v="287"/>
    <n v="0"/>
    <n v="1200"/>
    <n v="3619"/>
    <n v="0"/>
    <n v="705"/>
    <n v="87"/>
    <n v="0"/>
    <n v="0"/>
    <n v="341"/>
    <n v="771"/>
    <n v="1896"/>
    <n v="0"/>
    <n v="0"/>
    <n v="473"/>
    <n v="15343"/>
    <n v="4324"/>
    <n v="2369"/>
  </r>
  <r>
    <s v="Monthly-AE-December-2024.csv"/>
    <x v="4"/>
    <s v="RQ3"/>
    <s v="NHS ENGLAND MIDLANDS "/>
    <x v="189"/>
    <n v="5924"/>
    <n v="0"/>
    <n v="0"/>
    <n v="0"/>
    <n v="0"/>
    <n v="0"/>
    <n v="2003"/>
    <n v="0"/>
    <n v="0"/>
    <n v="0"/>
    <n v="0"/>
    <n v="0"/>
    <n v="1"/>
    <n v="44"/>
    <n v="996"/>
    <n v="0"/>
    <n v="0"/>
    <n v="133"/>
    <n v="5924"/>
    <n v="2003"/>
    <n v="1129"/>
  </r>
  <r>
    <s v="Monthly-AE-December-2024.csv"/>
    <x v="4"/>
    <s v="RRK"/>
    <s v="NHS ENGLAND MIDLANDS "/>
    <x v="87"/>
    <n v="35503"/>
    <n v="318"/>
    <n v="1395"/>
    <n v="0"/>
    <n v="0"/>
    <n v="285"/>
    <n v="15632"/>
    <n v="0"/>
    <n v="19"/>
    <n v="0"/>
    <n v="0"/>
    <n v="8"/>
    <n v="2940"/>
    <n v="1894"/>
    <n v="10608"/>
    <n v="0"/>
    <n v="0"/>
    <n v="6740"/>
    <n v="37216"/>
    <n v="15651"/>
    <n v="17348"/>
  </r>
  <r>
    <s v="Monthly-AE-December-2024.csv"/>
    <x v="4"/>
    <s v="RTG"/>
    <s v="NHS ENGLAND MIDLANDS "/>
    <x v="88"/>
    <n v="19558"/>
    <n v="0"/>
    <n v="10236"/>
    <n v="2143"/>
    <n v="0"/>
    <n v="23"/>
    <n v="9741"/>
    <n v="0"/>
    <n v="4"/>
    <n v="523"/>
    <n v="0"/>
    <n v="0"/>
    <n v="1043"/>
    <n v="1279"/>
    <n v="3989"/>
    <n v="0"/>
    <n v="2"/>
    <n v="1956"/>
    <n v="29794"/>
    <n v="9745"/>
    <n v="5947"/>
  </r>
  <r>
    <s v="Monthly-AE-December-2024.csv"/>
    <x v="4"/>
    <s v="RTH"/>
    <s v="NHS ENGLAND SOUTH EAST "/>
    <x v="196"/>
    <n v="12478"/>
    <n v="1562"/>
    <n v="2477"/>
    <n v="1746"/>
    <n v="0"/>
    <n v="145"/>
    <n v="5477"/>
    <n v="0"/>
    <n v="15"/>
    <n v="644"/>
    <n v="0"/>
    <n v="1"/>
    <n v="977"/>
    <n v="0"/>
    <n v="4684"/>
    <n v="116"/>
    <n v="14"/>
    <n v="4281"/>
    <n v="16517"/>
    <n v="5492"/>
    <n v="9095"/>
  </r>
  <r>
    <s v="Monthly-AE-December-2024.csv"/>
    <x v="4"/>
    <s v="RTK"/>
    <s v="NHS ENGLAND SOUTH EAST "/>
    <x v="114"/>
    <n v="10917"/>
    <n v="0"/>
    <n v="0"/>
    <n v="0"/>
    <n v="0"/>
    <n v="0"/>
    <n v="4022"/>
    <n v="0"/>
    <n v="0"/>
    <n v="0"/>
    <n v="0"/>
    <n v="0"/>
    <n v="558"/>
    <n v="336"/>
    <n v="2838"/>
    <n v="0"/>
    <n v="0"/>
    <n v="552"/>
    <n v="10917"/>
    <n v="4022"/>
    <n v="3390"/>
  </r>
  <r>
    <s v="Monthly-AE-December-2024.csv"/>
    <x v="4"/>
    <s v="RVJ"/>
    <s v="NHS ENGLAND SOUTH WEST "/>
    <x v="89"/>
    <n v="8633"/>
    <n v="0"/>
    <n v="0"/>
    <n v="29"/>
    <n v="0"/>
    <n v="0"/>
    <n v="3596"/>
    <n v="0"/>
    <n v="0"/>
    <n v="12"/>
    <n v="0"/>
    <n v="0"/>
    <n v="564"/>
    <n v="352"/>
    <n v="2999"/>
    <n v="0"/>
    <n v="0"/>
    <n v="2089"/>
    <n v="8633"/>
    <n v="3596"/>
    <n v="5088"/>
  </r>
  <r>
    <s v="Monthly-AE-December-2024.csv"/>
    <x v="4"/>
    <s v="RVV"/>
    <s v="NHS ENGLAND SOUTH EAST "/>
    <x v="155"/>
    <n v="14042"/>
    <n v="0"/>
    <n v="12628"/>
    <n v="0"/>
    <n v="0"/>
    <n v="0"/>
    <n v="6359"/>
    <n v="0"/>
    <n v="456"/>
    <n v="0"/>
    <n v="0"/>
    <n v="0"/>
    <n v="587"/>
    <n v="1326"/>
    <n v="3268"/>
    <n v="0"/>
    <n v="537"/>
    <n v="515"/>
    <n v="26670"/>
    <n v="6815"/>
    <n v="4320"/>
  </r>
  <r>
    <s v="Monthly-AE-December-2024.csv"/>
    <x v="4"/>
    <s v="RVW"/>
    <s v="NHS ENGLAND NORTH EAST AND YORKSHIRE "/>
    <x v="90"/>
    <n v="5315"/>
    <n v="0"/>
    <n v="12316"/>
    <n v="0"/>
    <n v="0"/>
    <n v="0"/>
    <n v="3315"/>
    <n v="0"/>
    <n v="44"/>
    <n v="0"/>
    <n v="0"/>
    <n v="0"/>
    <n v="265"/>
    <n v="36"/>
    <n v="1868"/>
    <n v="0"/>
    <n v="577"/>
    <n v="2454"/>
    <n v="17631"/>
    <n v="3359"/>
    <n v="4899"/>
  </r>
  <r>
    <s v="Monthly-AE-December-2024.csv"/>
    <x v="4"/>
    <s v="RWJ"/>
    <s v="NHS ENGLAND NORTH WEST "/>
    <x v="158"/>
    <n v="7831"/>
    <n v="0"/>
    <n v="1051"/>
    <n v="303"/>
    <n v="0"/>
    <n v="77"/>
    <n v="3273"/>
    <n v="0"/>
    <n v="47"/>
    <n v="107"/>
    <n v="0"/>
    <n v="2"/>
    <n v="720"/>
    <n v="479"/>
    <n v="2783"/>
    <n v="0"/>
    <n v="76"/>
    <n v="803"/>
    <n v="8882"/>
    <n v="3320"/>
    <n v="3662"/>
  </r>
  <r>
    <s v="Monthly-AE-December-2024.csv"/>
    <x v="4"/>
    <s v="RWP"/>
    <s v="NHS ENGLAND MIDLANDS "/>
    <x v="68"/>
    <n v="13483"/>
    <n v="0"/>
    <n v="4876"/>
    <n v="0"/>
    <n v="0"/>
    <n v="0"/>
    <n v="8592"/>
    <n v="0"/>
    <n v="38"/>
    <n v="0"/>
    <n v="0"/>
    <n v="0"/>
    <n v="1186"/>
    <n v="525"/>
    <n v="2916"/>
    <n v="0"/>
    <n v="0"/>
    <n v="821"/>
    <n v="18359"/>
    <n v="8630"/>
    <n v="3737"/>
  </r>
  <r>
    <s v="Monthly-AE-December-2024.csv"/>
    <x v="4"/>
    <s v="RXC"/>
    <s v="NHS ENGLAND SOUTH EAST "/>
    <x v="70"/>
    <n v="8642"/>
    <n v="0"/>
    <n v="2048"/>
    <n v="2195"/>
    <n v="0"/>
    <n v="1681"/>
    <n v="4456"/>
    <n v="0"/>
    <n v="89"/>
    <n v="0"/>
    <n v="0"/>
    <n v="0"/>
    <n v="275"/>
    <n v="42"/>
    <n v="3232"/>
    <n v="0"/>
    <n v="0"/>
    <n v="343"/>
    <n v="10690"/>
    <n v="4545"/>
    <n v="3575"/>
  </r>
  <r>
    <s v="Monthly-AE-December-2024.csv"/>
    <x v="4"/>
    <s v="RXL"/>
    <s v="NHS ENGLAND NORTH WEST "/>
    <x v="72"/>
    <n v="9075"/>
    <n v="0"/>
    <n v="9684"/>
    <n v="346"/>
    <n v="0"/>
    <n v="336"/>
    <n v="4300"/>
    <n v="0"/>
    <n v="110"/>
    <n v="105"/>
    <n v="0"/>
    <n v="0"/>
    <n v="438"/>
    <n v="748"/>
    <n v="2688"/>
    <n v="0"/>
    <n v="0"/>
    <n v="1571"/>
    <n v="18759"/>
    <n v="4410"/>
    <n v="4259"/>
  </r>
  <r>
    <s v="Monthly-AE-December-2024.csv"/>
    <x v="4"/>
    <s v="RY7"/>
    <s v="NHS ENGLAND NORTH WEST "/>
    <x v="12"/>
    <n v="0"/>
    <n v="0"/>
    <n v="4247"/>
    <n v="0"/>
    <n v="0"/>
    <n v="0"/>
    <n v="0"/>
    <n v="0"/>
    <n v="236"/>
    <n v="0"/>
    <n v="0"/>
    <n v="0"/>
    <n v="0"/>
    <n v="0"/>
    <n v="0"/>
    <n v="0"/>
    <n v="0"/>
    <n v="0"/>
    <n v="4247"/>
    <n v="236"/>
    <n v="0"/>
  </r>
  <r>
    <s v="Monthly-AE-December-2024.csv"/>
    <x v="4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5"/>
    <n v="68"/>
    <n v="0"/>
    <n v="0"/>
    <n v="73"/>
  </r>
  <r>
    <s v="Monthly-AE-December-2024.csv"/>
    <x v="4"/>
    <s v="RYJ"/>
    <s v="NHS ENGLAND LONDON"/>
    <x v="163"/>
    <n v="12417"/>
    <n v="3351"/>
    <n v="7386"/>
    <n v="0"/>
    <n v="0"/>
    <n v="506"/>
    <n v="5230"/>
    <n v="1"/>
    <n v="641"/>
    <n v="0"/>
    <n v="0"/>
    <n v="0"/>
    <n v="726"/>
    <n v="409"/>
    <n v="3792"/>
    <n v="0"/>
    <n v="0"/>
    <n v="1138"/>
    <n v="23154"/>
    <n v="5872"/>
    <n v="4930"/>
  </r>
  <r>
    <s v="Monthly-AE-December-2024.csv"/>
    <x v="4"/>
    <s v="AD913"/>
    <s v="NHS ENGLAND LONDON"/>
    <x v="3"/>
    <n v="0"/>
    <n v="0"/>
    <n v="3976"/>
    <n v="0"/>
    <n v="0"/>
    <n v="76"/>
    <n v="0"/>
    <n v="0"/>
    <n v="76"/>
    <n v="0"/>
    <n v="0"/>
    <n v="0"/>
    <n v="0"/>
    <n v="0"/>
    <n v="0"/>
    <n v="0"/>
    <n v="0"/>
    <n v="0"/>
    <n v="3976"/>
    <n v="76"/>
    <n v="0"/>
  </r>
  <r>
    <s v="Monthly-AE-December-2024.csv"/>
    <x v="4"/>
    <s v="R1H"/>
    <s v="NHS ENGLAND LONDON"/>
    <x v="96"/>
    <n v="25805"/>
    <n v="865"/>
    <n v="18338"/>
    <n v="0"/>
    <n v="0"/>
    <n v="0"/>
    <n v="11989"/>
    <n v="43"/>
    <n v="1333"/>
    <n v="0"/>
    <n v="0"/>
    <n v="0"/>
    <n v="1156"/>
    <n v="1199"/>
    <n v="4669"/>
    <n v="4"/>
    <n v="25"/>
    <n v="1206"/>
    <n v="45008"/>
    <n v="13365"/>
    <n v="5904"/>
  </r>
  <r>
    <s v="Monthly-AE-December-2024.csv"/>
    <x v="4"/>
    <s v="R1K"/>
    <s v="NHS ENGLAND LONDON"/>
    <x v="128"/>
    <n v="14095"/>
    <n v="0"/>
    <n v="15063"/>
    <n v="0"/>
    <n v="0"/>
    <n v="0"/>
    <n v="8643"/>
    <n v="0"/>
    <n v="364"/>
    <n v="0"/>
    <n v="0"/>
    <n v="0"/>
    <n v="808"/>
    <n v="615"/>
    <n v="6234"/>
    <n v="0"/>
    <n v="0"/>
    <n v="163"/>
    <n v="29158"/>
    <n v="9007"/>
    <n v="6397"/>
  </r>
  <r>
    <s v="Monthly-AE-December-2024.csv"/>
    <x v="4"/>
    <s v="RBN"/>
    <s v="NHS ENGLAND NORTH WEST "/>
    <x v="174"/>
    <n v="16950"/>
    <n v="0"/>
    <n v="7181"/>
    <n v="538"/>
    <n v="0"/>
    <n v="0"/>
    <n v="6749"/>
    <n v="0"/>
    <n v="214"/>
    <n v="94"/>
    <n v="0"/>
    <n v="0"/>
    <n v="594"/>
    <n v="426"/>
    <n v="7586"/>
    <n v="0"/>
    <n v="0"/>
    <n v="600"/>
    <n v="24131"/>
    <n v="6963"/>
    <n v="8186"/>
  </r>
  <r>
    <s v="Monthly-AE-December-2024.csv"/>
    <x v="4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716"/>
    <n v="0"/>
    <n v="0"/>
    <n v="716"/>
  </r>
  <r>
    <s v="Monthly-AE-December-2024.csv"/>
    <x v="4"/>
    <s v="RDE"/>
    <s v="NHS ENGLAND EAST OF ENGLAND "/>
    <x v="132"/>
    <n v="13344"/>
    <n v="0"/>
    <n v="15606"/>
    <n v="990"/>
    <n v="0"/>
    <n v="695"/>
    <n v="7644"/>
    <n v="0"/>
    <n v="371"/>
    <n v="0"/>
    <n v="0"/>
    <n v="0"/>
    <n v="1239"/>
    <n v="851"/>
    <n v="6620"/>
    <n v="0"/>
    <n v="468"/>
    <n v="1054"/>
    <n v="28950"/>
    <n v="8015"/>
    <n v="8142"/>
  </r>
  <r>
    <s v="Monthly-AE-December-2024.csv"/>
    <x v="4"/>
    <s v="RDR"/>
    <s v="NHS ENGLAND SOUTH EAST "/>
    <x v="166"/>
    <n v="0"/>
    <n v="0"/>
    <n v="11386"/>
    <n v="0"/>
    <n v="0"/>
    <n v="0"/>
    <n v="0"/>
    <n v="0"/>
    <n v="139"/>
    <n v="0"/>
    <n v="0"/>
    <n v="0"/>
    <n v="0"/>
    <n v="0"/>
    <n v="0"/>
    <n v="0"/>
    <n v="0"/>
    <n v="0"/>
    <n v="11386"/>
    <n v="139"/>
    <n v="0"/>
  </r>
  <r>
    <s v="Monthly-AE-December-2024.csv"/>
    <x v="4"/>
    <s v="RDU"/>
    <s v="NHS ENGLAND SOUTH EAST "/>
    <x v="82"/>
    <n v="23744"/>
    <n v="760"/>
    <n v="11284"/>
    <n v="0"/>
    <n v="0"/>
    <n v="0"/>
    <n v="9813"/>
    <n v="0"/>
    <n v="348"/>
    <n v="0"/>
    <n v="0"/>
    <n v="0"/>
    <n v="1562"/>
    <n v="328"/>
    <n v="6492"/>
    <n v="0"/>
    <n v="0"/>
    <n v="112"/>
    <n v="35788"/>
    <n v="10161"/>
    <n v="6604"/>
  </r>
  <r>
    <s v="Monthly-AE-December-2024.csv"/>
    <x v="4"/>
    <s v="RF4"/>
    <s v="NHS ENGLAND LONDON"/>
    <x v="167"/>
    <n v="14055"/>
    <n v="2222"/>
    <n v="14557"/>
    <n v="0"/>
    <n v="0"/>
    <n v="0"/>
    <n v="6446"/>
    <n v="184"/>
    <n v="174"/>
    <n v="0"/>
    <n v="0"/>
    <n v="0"/>
    <n v="727"/>
    <n v="951"/>
    <n v="7952"/>
    <n v="0"/>
    <n v="0"/>
    <n v="411"/>
    <n v="30834"/>
    <n v="6804"/>
    <n v="8363"/>
  </r>
  <r>
    <s v="Monthly-AE-December-2024.csv"/>
    <x v="4"/>
    <s v="RFR"/>
    <s v="NHS ENGLAND NORTH EAST AND YORKSHIRE "/>
    <x v="45"/>
    <n v="9222"/>
    <n v="0"/>
    <n v="0"/>
    <n v="0"/>
    <n v="0"/>
    <n v="0"/>
    <n v="3883"/>
    <n v="0"/>
    <n v="0"/>
    <n v="0"/>
    <n v="0"/>
    <n v="0"/>
    <n v="727"/>
    <n v="74"/>
    <n v="2039"/>
    <n v="0"/>
    <n v="0"/>
    <n v="333"/>
    <n v="9222"/>
    <n v="3883"/>
    <n v="2372"/>
  </r>
  <r>
    <s v="Monthly-AE-December-2024.csv"/>
    <x v="4"/>
    <s v="RGN"/>
    <s v="NHS ENGLAND EAST OF ENGLAND "/>
    <x v="106"/>
    <n v="15552"/>
    <n v="0"/>
    <n v="4302"/>
    <n v="340"/>
    <n v="0"/>
    <n v="529"/>
    <n v="7545"/>
    <n v="0"/>
    <n v="288"/>
    <n v="108"/>
    <n v="0"/>
    <n v="32"/>
    <n v="591"/>
    <n v="710"/>
    <n v="3779"/>
    <n v="0"/>
    <n v="30"/>
    <n v="1702"/>
    <n v="19854"/>
    <n v="7833"/>
    <n v="5511"/>
  </r>
  <r>
    <s v="Monthly-AE-December-2024.csv"/>
    <x v="4"/>
    <s v="RGP"/>
    <s v="NHS ENGLAND EAST OF ENGLAND "/>
    <x v="61"/>
    <n v="7082"/>
    <n v="0"/>
    <n v="1467"/>
    <n v="0"/>
    <n v="0"/>
    <n v="0"/>
    <n v="3242"/>
    <n v="0"/>
    <n v="0"/>
    <n v="0"/>
    <n v="0"/>
    <n v="0"/>
    <n v="532"/>
    <n v="428"/>
    <n v="1651"/>
    <n v="0"/>
    <n v="0"/>
    <n v="424"/>
    <n v="8549"/>
    <n v="3242"/>
    <n v="2075"/>
  </r>
  <r>
    <s v="Monthly-AE-December-2024.csv"/>
    <x v="4"/>
    <s v="RGT"/>
    <s v="NHS ENGLAND EAST OF ENGLAND "/>
    <x v="107"/>
    <n v="10649"/>
    <n v="0"/>
    <n v="5400"/>
    <n v="309"/>
    <n v="0"/>
    <n v="325"/>
    <n v="5205"/>
    <n v="0"/>
    <n v="84"/>
    <n v="96"/>
    <n v="0"/>
    <n v="4"/>
    <n v="605"/>
    <n v="606"/>
    <n v="2930"/>
    <n v="0"/>
    <n v="26"/>
    <n v="441"/>
    <n v="16049"/>
    <n v="5289"/>
    <n v="3397"/>
  </r>
  <r>
    <s v="Monthly-AE-December-2024.csv"/>
    <x v="4"/>
    <s v="RH8"/>
    <s v="NHS ENGLAND SOUTH WEST "/>
    <x v="186"/>
    <n v="12262"/>
    <n v="0"/>
    <n v="3964"/>
    <n v="1334"/>
    <n v="0"/>
    <n v="89"/>
    <n v="5734"/>
    <n v="0"/>
    <n v="12"/>
    <n v="544"/>
    <n v="0"/>
    <n v="0"/>
    <n v="1768"/>
    <n v="135"/>
    <n v="4147"/>
    <n v="0"/>
    <n v="0"/>
    <n v="2002"/>
    <n v="16226"/>
    <n v="5746"/>
    <n v="6149"/>
  </r>
  <r>
    <s v="Monthly-AE-December-2024.csv"/>
    <x v="4"/>
    <s v="RHU"/>
    <s v="NHS ENGLAND SOUTH EAST "/>
    <x v="194"/>
    <n v="10244"/>
    <n v="788"/>
    <n v="2667"/>
    <n v="1623"/>
    <n v="0"/>
    <n v="898"/>
    <n v="5116"/>
    <n v="1"/>
    <n v="111"/>
    <n v="659"/>
    <n v="0"/>
    <n v="15"/>
    <n v="1513"/>
    <n v="118"/>
    <n v="3600"/>
    <n v="0"/>
    <n v="0"/>
    <n v="2420"/>
    <n v="13699"/>
    <n v="5228"/>
    <n v="6020"/>
  </r>
  <r>
    <s v="Monthly-AE-December-2024.csv"/>
    <x v="4"/>
    <s v="RK5"/>
    <s v="NHS ENGLAND MIDLANDS "/>
    <x v="109"/>
    <n v="10440"/>
    <n v="0"/>
    <n v="5875"/>
    <n v="397"/>
    <n v="0"/>
    <n v="153"/>
    <n v="5527"/>
    <n v="0"/>
    <n v="732"/>
    <n v="201"/>
    <n v="0"/>
    <n v="7"/>
    <n v="886"/>
    <n v="294"/>
    <n v="3797"/>
    <n v="0"/>
    <n v="0"/>
    <n v="251"/>
    <n v="16315"/>
    <n v="6259"/>
    <n v="4048"/>
  </r>
  <r>
    <s v="Monthly-AE-December-2024.csv"/>
    <x v="4"/>
    <s v="RLT"/>
    <s v="NHS ENGLAND MIDLANDS "/>
    <x v="141"/>
    <n v="7472"/>
    <n v="0"/>
    <n v="1626"/>
    <n v="0"/>
    <n v="0"/>
    <n v="0"/>
    <n v="2886"/>
    <n v="0"/>
    <n v="5"/>
    <n v="0"/>
    <n v="0"/>
    <n v="0"/>
    <n v="507"/>
    <n v="345"/>
    <n v="1248"/>
    <n v="0"/>
    <n v="0"/>
    <n v="0"/>
    <n v="9098"/>
    <n v="2891"/>
    <n v="1248"/>
  </r>
  <r>
    <s v="Monthly-AE-December-2024.csv"/>
    <x v="4"/>
    <s v="RP5"/>
    <s v="NHS ENGLAND NORTH EAST AND YORKSHIRE "/>
    <x v="145"/>
    <n v="13547"/>
    <n v="0"/>
    <n v="4329"/>
    <n v="0"/>
    <n v="0"/>
    <n v="0"/>
    <n v="5359"/>
    <n v="0"/>
    <n v="2"/>
    <n v="0"/>
    <n v="0"/>
    <n v="0"/>
    <n v="1212"/>
    <n v="288"/>
    <n v="4414"/>
    <n v="0"/>
    <n v="506"/>
    <n v="1162"/>
    <n v="17876"/>
    <n v="5361"/>
    <n v="6082"/>
  </r>
  <r>
    <s v="Monthly-AE-December-2024.csv"/>
    <x v="4"/>
    <s v="RQM"/>
    <s v="NHS ENGLAND LONDON"/>
    <x v="147"/>
    <n v="20077"/>
    <n v="0"/>
    <n v="6731"/>
    <n v="530"/>
    <n v="0"/>
    <n v="0"/>
    <n v="6433"/>
    <n v="0"/>
    <n v="239"/>
    <n v="0"/>
    <n v="0"/>
    <n v="0"/>
    <n v="1078"/>
    <n v="62"/>
    <n v="2779"/>
    <n v="0"/>
    <n v="0"/>
    <n v="361"/>
    <n v="26808"/>
    <n v="6672"/>
    <n v="3140"/>
  </r>
  <r>
    <s v="Monthly-AE-December-2024.csv"/>
    <x v="4"/>
    <s v="RRF"/>
    <s v="NHS ENGLAND NORTH WEST "/>
    <x v="150"/>
    <n v="7302"/>
    <n v="0"/>
    <n v="5612"/>
    <n v="0"/>
    <n v="0"/>
    <n v="0"/>
    <n v="4001"/>
    <n v="0"/>
    <n v="89"/>
    <n v="0"/>
    <n v="0"/>
    <n v="0"/>
    <n v="1155"/>
    <n v="508"/>
    <n v="2083"/>
    <n v="0"/>
    <n v="0"/>
    <n v="807"/>
    <n v="12914"/>
    <n v="4090"/>
    <n v="2890"/>
  </r>
  <r>
    <s v="Monthly-AE-December-2024.csv"/>
    <x v="4"/>
    <s v="RRV"/>
    <s v="NHS ENGLAND LONDON"/>
    <x v="28"/>
    <n v="12822"/>
    <n v="0"/>
    <n v="0"/>
    <n v="399"/>
    <n v="0"/>
    <n v="0"/>
    <n v="3911"/>
    <n v="0"/>
    <n v="0"/>
    <n v="0"/>
    <n v="0"/>
    <n v="0"/>
    <n v="392"/>
    <n v="184"/>
    <n v="1387"/>
    <n v="0"/>
    <n v="0"/>
    <n v="262"/>
    <n v="12822"/>
    <n v="3911"/>
    <n v="1649"/>
  </r>
  <r>
    <s v="Monthly-AE-December-2024.csv"/>
    <x v="4"/>
    <s v="RTD"/>
    <s v="NHS ENGLAND NORTH EAST AND YORKSHIRE "/>
    <x v="180"/>
    <n v="12259"/>
    <n v="1430"/>
    <n v="5573"/>
    <n v="0"/>
    <n v="0"/>
    <n v="1004"/>
    <n v="5013"/>
    <n v="67"/>
    <n v="0"/>
    <n v="0"/>
    <n v="0"/>
    <n v="0"/>
    <n v="639"/>
    <n v="53"/>
    <n v="3668"/>
    <n v="18"/>
    <n v="0"/>
    <n v="2877"/>
    <n v="19262"/>
    <n v="5080"/>
    <n v="6563"/>
  </r>
  <r>
    <s v="Monthly-AE-December-2024.csv"/>
    <x v="4"/>
    <s v="RTE"/>
    <s v="NHS ENGLAND SOUTH WEST "/>
    <x v="151"/>
    <n v="13604"/>
    <n v="0"/>
    <n v="0"/>
    <n v="189"/>
    <n v="0"/>
    <n v="0"/>
    <n v="5318"/>
    <n v="0"/>
    <n v="0"/>
    <n v="42"/>
    <n v="0"/>
    <n v="0"/>
    <n v="444"/>
    <n v="536"/>
    <n v="2700"/>
    <n v="0"/>
    <n v="0"/>
    <n v="2168"/>
    <n v="13604"/>
    <n v="5318"/>
    <n v="4868"/>
  </r>
  <r>
    <s v="Monthly-AE-December-2024.csv"/>
    <x v="4"/>
    <s v="RWD"/>
    <s v="NHS ENGLAND MIDLANDS "/>
    <x v="202"/>
    <n v="11294"/>
    <n v="0"/>
    <n v="9925"/>
    <n v="0"/>
    <n v="0"/>
    <n v="0"/>
    <n v="6830"/>
    <n v="0"/>
    <n v="1564"/>
    <n v="0"/>
    <n v="0"/>
    <n v="0"/>
    <n v="1093"/>
    <n v="1049"/>
    <n v="4770"/>
    <n v="0"/>
    <n v="0"/>
    <n v="1057"/>
    <n v="21219"/>
    <n v="8394"/>
    <n v="5827"/>
  </r>
  <r>
    <s v="Monthly-AE-December-2024.csv"/>
    <x v="4"/>
    <s v="RWH"/>
    <s v="NHS ENGLAND EAST OF ENGLAND "/>
    <x v="157"/>
    <n v="9297"/>
    <n v="0"/>
    <n v="7603"/>
    <n v="0"/>
    <n v="0"/>
    <n v="0"/>
    <n v="5480"/>
    <n v="0"/>
    <n v="168"/>
    <n v="0"/>
    <n v="0"/>
    <n v="0"/>
    <n v="681"/>
    <n v="247"/>
    <n v="2953"/>
    <n v="0"/>
    <n v="20"/>
    <n v="227"/>
    <n v="16900"/>
    <n v="5648"/>
    <n v="3200"/>
  </r>
  <r>
    <s v="Monthly-AE-December-2024.csv"/>
    <x v="4"/>
    <s v="RWX"/>
    <s v="NHS ENGLAND SOUTH EAST "/>
    <x v="173"/>
    <n v="0"/>
    <n v="0"/>
    <n v="1133"/>
    <n v="0"/>
    <n v="0"/>
    <n v="0"/>
    <n v="0"/>
    <n v="0"/>
    <n v="11"/>
    <n v="0"/>
    <n v="0"/>
    <n v="0"/>
    <n v="0"/>
    <n v="0"/>
    <n v="0"/>
    <n v="0"/>
    <n v="32"/>
    <n v="0"/>
    <n v="1133"/>
    <n v="11"/>
    <n v="32"/>
  </r>
  <r>
    <s v="Monthly-AE-December-2024.csv"/>
    <x v="4"/>
    <s v="RXP"/>
    <s v="NHS ENGLAND NORTH EAST AND YORKSHIRE "/>
    <x v="161"/>
    <n v="12913"/>
    <n v="0"/>
    <n v="4414"/>
    <n v="0"/>
    <n v="0"/>
    <n v="8470"/>
    <n v="5933"/>
    <n v="0"/>
    <n v="0"/>
    <n v="0"/>
    <n v="0"/>
    <n v="0"/>
    <n v="2346"/>
    <n v="17"/>
    <n v="4607"/>
    <n v="0"/>
    <n v="0"/>
    <n v="740"/>
    <n v="17327"/>
    <n v="5933"/>
    <n v="5347"/>
  </r>
  <r>
    <s v="Monthly-AE-December-2024.csv"/>
    <x v="4"/>
    <s v="Y03218"/>
    <s v="NHS ENGLAND LONDON"/>
    <x v="18"/>
    <n v="0"/>
    <n v="0"/>
    <n v="1035"/>
    <n v="0"/>
    <n v="0"/>
    <n v="0"/>
    <n v="0"/>
    <n v="0"/>
    <n v="0"/>
    <n v="0"/>
    <n v="0"/>
    <n v="0"/>
    <n v="0"/>
    <n v="0"/>
    <n v="0"/>
    <n v="0"/>
    <n v="0"/>
    <n v="0"/>
    <n v="1035"/>
    <n v="0"/>
    <n v="0"/>
  </r>
  <r>
    <s v="Monthly-AE-December-2024.csv"/>
    <x v="4"/>
    <s v="RAP"/>
    <s v="NHS ENGLAND LONDON"/>
    <x v="129"/>
    <n v="8518"/>
    <n v="407"/>
    <n v="7549"/>
    <n v="75"/>
    <n v="0"/>
    <n v="87"/>
    <n v="4980"/>
    <n v="1"/>
    <n v="1019"/>
    <n v="39"/>
    <n v="0"/>
    <n v="10"/>
    <n v="250"/>
    <n v="853"/>
    <n v="1412"/>
    <n v="0"/>
    <n v="136"/>
    <n v="64"/>
    <n v="16474"/>
    <n v="6000"/>
    <n v="1612"/>
  </r>
  <r>
    <s v="Monthly-AE-December-2024.csv"/>
    <x v="4"/>
    <s v="RAS"/>
    <s v="NHS ENGLAND LONDON"/>
    <x v="182"/>
    <n v="6404"/>
    <n v="0"/>
    <n v="6714"/>
    <n v="0"/>
    <n v="0"/>
    <n v="0"/>
    <n v="3832"/>
    <n v="0"/>
    <n v="155"/>
    <n v="0"/>
    <n v="0"/>
    <n v="0"/>
    <n v="724"/>
    <n v="43"/>
    <n v="2017"/>
    <n v="0"/>
    <n v="0"/>
    <n v="76"/>
    <n v="13118"/>
    <n v="3987"/>
    <n v="2093"/>
  </r>
  <r>
    <s v="Monthly-AE-December-2024.csv"/>
    <x v="4"/>
    <s v="RBL"/>
    <s v="NHS ENGLAND NORTH WEST "/>
    <x v="183"/>
    <n v="7469"/>
    <n v="0"/>
    <n v="3156"/>
    <n v="0"/>
    <n v="0"/>
    <n v="216"/>
    <n v="4066"/>
    <n v="0"/>
    <n v="93"/>
    <n v="0"/>
    <n v="0"/>
    <n v="8"/>
    <n v="401"/>
    <n v="794"/>
    <n v="2141"/>
    <n v="0"/>
    <n v="0"/>
    <n v="1699"/>
    <n v="10625"/>
    <n v="4159"/>
    <n v="3840"/>
  </r>
  <r>
    <s v="Monthly-AE-December-2024.csv"/>
    <x v="4"/>
    <s v="RBS"/>
    <s v="NHS ENGLAND NORTH WEST "/>
    <x v="80"/>
    <n v="6181"/>
    <n v="0"/>
    <n v="0"/>
    <n v="0"/>
    <n v="0"/>
    <n v="0"/>
    <n v="1180"/>
    <n v="0"/>
    <n v="0"/>
    <n v="0"/>
    <n v="0"/>
    <n v="0"/>
    <n v="0"/>
    <n v="0"/>
    <n v="905"/>
    <n v="0"/>
    <n v="0"/>
    <n v="312"/>
    <n v="6181"/>
    <n v="1180"/>
    <n v="1217"/>
  </r>
  <r>
    <s v="Monthly-AE-December-2024.csv"/>
    <x v="4"/>
    <s v="RD1"/>
    <s v="NHS ENGLAND SOUTH WEST "/>
    <x v="165"/>
    <n v="8580"/>
    <n v="0"/>
    <n v="0"/>
    <n v="0"/>
    <n v="0"/>
    <n v="0"/>
    <n v="3891"/>
    <n v="0"/>
    <n v="0"/>
    <n v="0"/>
    <n v="0"/>
    <n v="0"/>
    <n v="798"/>
    <n v="142"/>
    <n v="2572"/>
    <n v="0"/>
    <n v="8"/>
    <n v="1699"/>
    <n v="8580"/>
    <n v="3891"/>
    <n v="4279"/>
  </r>
  <r>
    <s v="Monthly-AE-December-2024.csv"/>
    <x v="4"/>
    <s v="RM1"/>
    <s v="NHS ENGLAND EAST OF ENGLAND "/>
    <x v="142"/>
    <n v="12479"/>
    <n v="0"/>
    <n v="8736"/>
    <n v="0"/>
    <n v="0"/>
    <n v="0"/>
    <n v="4166"/>
    <n v="0"/>
    <n v="1"/>
    <n v="0"/>
    <n v="0"/>
    <n v="0"/>
    <n v="1004"/>
    <n v="372"/>
    <n v="2611"/>
    <n v="0"/>
    <n v="0"/>
    <n v="1607"/>
    <n v="21215"/>
    <n v="4167"/>
    <n v="4218"/>
  </r>
  <r>
    <s v="Monthly-AE-December-2024.csv"/>
    <x v="4"/>
    <s v="RQX"/>
    <s v="NHS ENGLAND LONDON"/>
    <x v="36"/>
    <n v="11152"/>
    <n v="0"/>
    <n v="0"/>
    <n v="12"/>
    <n v="0"/>
    <n v="0"/>
    <n v="2904"/>
    <n v="0"/>
    <n v="0"/>
    <n v="0"/>
    <n v="0"/>
    <n v="0"/>
    <n v="275"/>
    <n v="30"/>
    <n v="1732"/>
    <n v="0"/>
    <n v="0"/>
    <n v="344"/>
    <n v="11152"/>
    <n v="2904"/>
    <n v="2076"/>
  </r>
  <r>
    <s v="Monthly-AE-December-2024.csv"/>
    <x v="4"/>
    <s v="RTF"/>
    <s v="NHS ENGLAND NORTH EAST AND YORKSHIRE "/>
    <x v="152"/>
    <n v="10600"/>
    <n v="0"/>
    <n v="12302"/>
    <n v="0"/>
    <n v="0"/>
    <n v="0"/>
    <n v="3335"/>
    <n v="0"/>
    <n v="8"/>
    <n v="0"/>
    <n v="0"/>
    <n v="0"/>
    <n v="145"/>
    <n v="6"/>
    <n v="4033"/>
    <n v="0"/>
    <n v="28"/>
    <n v="491"/>
    <n v="22902"/>
    <n v="3343"/>
    <n v="4552"/>
  </r>
  <r>
    <s v="Monthly-AE-December-2024.csv"/>
    <x v="4"/>
    <s v="RVR"/>
    <s v="NHS ENGLAND LONDON"/>
    <x v="154"/>
    <n v="11728"/>
    <n v="282"/>
    <n v="1309"/>
    <n v="494"/>
    <n v="0"/>
    <n v="61"/>
    <n v="3726"/>
    <n v="0"/>
    <n v="117"/>
    <n v="64"/>
    <n v="0"/>
    <n v="2"/>
    <n v="357"/>
    <n v="741"/>
    <n v="2115"/>
    <n v="1"/>
    <n v="0"/>
    <n v="147"/>
    <n v="13319"/>
    <n v="3843"/>
    <n v="2263"/>
  </r>
  <r>
    <s v="Monthly-AE-December-2024.csv"/>
    <x v="4"/>
    <s v="RR7"/>
    <s v="NHS ENGLAND NORTH EAST AND YORKSHIRE "/>
    <x v="113"/>
    <n v="6573"/>
    <n v="0"/>
    <n v="3274"/>
    <n v="26"/>
    <n v="0"/>
    <n v="3"/>
    <n v="3334"/>
    <n v="0"/>
    <n v="50"/>
    <n v="15"/>
    <n v="0"/>
    <n v="0"/>
    <n v="1227"/>
    <n v="30"/>
    <n v="1786"/>
    <n v="0"/>
    <n v="0"/>
    <n v="54"/>
    <n v="9847"/>
    <n v="3384"/>
    <n v="1840"/>
  </r>
  <r>
    <s v="Monthly-AE-December-2024.csv"/>
    <x v="4"/>
    <s v="RYF"/>
    <s v="NHS ENGLAND SOUTH WEST "/>
    <x v="74"/>
    <n v="0"/>
    <n v="0"/>
    <n v="1608"/>
    <n v="0"/>
    <n v="0"/>
    <n v="12"/>
    <n v="0"/>
    <n v="0"/>
    <n v="127"/>
    <n v="0"/>
    <n v="0"/>
    <n v="2"/>
    <n v="0"/>
    <n v="0"/>
    <n v="0"/>
    <n v="0"/>
    <n v="0"/>
    <n v="0"/>
    <n v="1608"/>
    <n v="127"/>
    <n v="0"/>
  </r>
  <r>
    <s v="Monthly-AE-December-2024.csv"/>
    <x v="4"/>
    <s v="R0A"/>
    <s v="NHS ENGLAND NORTH WEST "/>
    <x v="181"/>
    <n v="25547"/>
    <n v="2767"/>
    <n v="10609"/>
    <n v="3433"/>
    <n v="417"/>
    <n v="960"/>
    <n v="12940"/>
    <n v="68"/>
    <n v="705"/>
    <n v="1565"/>
    <n v="9"/>
    <n v="121"/>
    <n v="4259"/>
    <n v="462"/>
    <n v="5610"/>
    <n v="148"/>
    <n v="126"/>
    <n v="430"/>
    <n v="38923"/>
    <n v="13713"/>
    <n v="6314"/>
  </r>
  <r>
    <s v="Monthly-AE-December-2024.csv"/>
    <x v="4"/>
    <s v="RNZ"/>
    <s v="NHS ENGLAND SOUTH WEST "/>
    <x v="144"/>
    <n v="4682"/>
    <n v="309"/>
    <n v="2121"/>
    <n v="202"/>
    <n v="0"/>
    <n v="0"/>
    <n v="2262"/>
    <n v="0"/>
    <n v="0"/>
    <n v="98"/>
    <n v="0"/>
    <n v="0"/>
    <n v="401"/>
    <n v="11"/>
    <n v="1452"/>
    <n v="0"/>
    <n v="0"/>
    <n v="914"/>
    <n v="7112"/>
    <n v="2262"/>
    <n v="2366"/>
  </r>
  <r>
    <s v="Monthly-AE-December-2024.csv"/>
    <x v="4"/>
    <s v="RH5"/>
    <s v="NHS ENGLAND SOUTH WEST "/>
    <x v="175"/>
    <n v="12984"/>
    <n v="0"/>
    <n v="9207"/>
    <n v="0"/>
    <n v="0"/>
    <n v="0"/>
    <n v="6927"/>
    <n v="0"/>
    <n v="242"/>
    <n v="0"/>
    <n v="0"/>
    <n v="0"/>
    <n v="754"/>
    <n v="349"/>
    <n v="3339"/>
    <n v="0"/>
    <n v="0"/>
    <n v="1749"/>
    <n v="22191"/>
    <n v="7169"/>
    <n v="5088"/>
  </r>
  <r>
    <s v="Monthly-AE-December-2024.csv"/>
    <x v="4"/>
    <s v="RM3"/>
    <s v="NHS ENGLAND NORTH WEST "/>
    <x v="193"/>
    <n v="25637"/>
    <n v="0"/>
    <n v="9548"/>
    <n v="0"/>
    <n v="0"/>
    <n v="0"/>
    <n v="11892"/>
    <n v="0"/>
    <n v="574"/>
    <n v="0"/>
    <n v="0"/>
    <n v="0"/>
    <n v="1228"/>
    <n v="1213"/>
    <n v="7322"/>
    <n v="0"/>
    <n v="375"/>
    <n v="2054"/>
    <n v="35185"/>
    <n v="12466"/>
    <n v="9751"/>
  </r>
  <r>
    <s v="Monthly-AE-December-2024.csv"/>
    <x v="3"/>
    <s v="TOTAL"/>
    <s v="TOTAL"/>
    <x v="199"/>
    <n v="1407530"/>
    <n v="43471"/>
    <n v="807451"/>
    <n v="32781"/>
    <n v="570"/>
    <n v="54131"/>
    <n v="633815"/>
    <n v="1547"/>
    <n v="31873"/>
    <n v="9567"/>
    <n v="9"/>
    <n v="662"/>
    <n v="100482"/>
    <n v="54207"/>
    <n v="411161"/>
    <n v="1239"/>
    <n v="4667"/>
    <n v="135525"/>
    <n v="2258452"/>
    <n v="667235"/>
    <n v="552592"/>
  </r>
  <r>
    <s v="Monthly-AE-February-2025-revised.csv"/>
    <x v="5"/>
    <s v="AAH"/>
    <s v="NHS ENGLAND SOUTH WEST "/>
    <x v="0"/>
    <n v="0"/>
    <n v="0"/>
    <n v="545"/>
    <n v="0"/>
    <n v="0"/>
    <n v="0"/>
    <n v="0"/>
    <n v="0"/>
    <n v="0"/>
    <n v="0"/>
    <n v="0"/>
    <n v="0"/>
    <n v="0"/>
    <n v="0"/>
    <n v="0"/>
    <n v="0"/>
    <n v="0"/>
    <n v="0"/>
    <n v="545"/>
    <n v="0"/>
    <n v="0"/>
  </r>
  <r>
    <s v="Monthly-AE-February-2025-revised.csv"/>
    <x v="5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28"/>
  </r>
  <r>
    <s v="Monthly-AE-February-2025-revised.csv"/>
    <x v="5"/>
    <s v="RW1"/>
    <s v="NHS ENGLAND SOUTH EAST "/>
    <x v="200"/>
    <n v="0"/>
    <n v="0"/>
    <n v="2518"/>
    <n v="0"/>
    <n v="0"/>
    <n v="0"/>
    <n v="0"/>
    <n v="0"/>
    <n v="37"/>
    <n v="0"/>
    <n v="0"/>
    <n v="0"/>
    <n v="0"/>
    <n v="0"/>
    <n v="0"/>
    <n v="0"/>
    <n v="0"/>
    <n v="119"/>
    <n v="2518"/>
    <n v="37"/>
    <n v="119"/>
  </r>
  <r>
    <s v="Monthly-AE-February-2025-revised.csv"/>
    <x v="5"/>
    <s v="RWY"/>
    <s v="NHS ENGLAND NORTH EAST AND YORKSHIRE "/>
    <x v="10"/>
    <n v="14096"/>
    <n v="0"/>
    <n v="0"/>
    <n v="0"/>
    <n v="0"/>
    <n v="0"/>
    <n v="4471"/>
    <n v="0"/>
    <n v="0"/>
    <n v="0"/>
    <n v="0"/>
    <n v="0"/>
    <n v="1144"/>
    <n v="48"/>
    <n v="2486"/>
    <n v="0"/>
    <n v="0"/>
    <n v="189"/>
    <n v="14096"/>
    <n v="4471"/>
    <n v="2675"/>
  </r>
  <r>
    <s v="Monthly-AE-February-2025-revised.csv"/>
    <x v="5"/>
    <s v="AJN"/>
    <s v="NHS ENGLAND NORTH EAST AND YORKSHIRE "/>
    <x v="94"/>
    <n v="0"/>
    <n v="0"/>
    <n v="279"/>
    <n v="0"/>
    <n v="0"/>
    <n v="0"/>
    <n v="0"/>
    <n v="0"/>
    <n v="0"/>
    <n v="0"/>
    <n v="0"/>
    <n v="0"/>
    <n v="0"/>
    <n v="0"/>
    <n v="0"/>
    <n v="0"/>
    <n v="0"/>
    <n v="0"/>
    <n v="279"/>
    <n v="0"/>
    <n v="0"/>
  </r>
  <r>
    <s v="Monthly-AE-February-2025-revised.csv"/>
    <x v="5"/>
    <s v="AQN04"/>
    <s v="NHS ENGLAND SOUTH EAST "/>
    <x v="4"/>
    <n v="0"/>
    <n v="0"/>
    <n v="2545"/>
    <n v="0"/>
    <n v="0"/>
    <n v="14"/>
    <n v="0"/>
    <n v="0"/>
    <n v="1"/>
    <n v="0"/>
    <n v="0"/>
    <n v="0"/>
    <n v="0"/>
    <n v="0"/>
    <n v="0"/>
    <n v="0"/>
    <n v="0"/>
    <n v="0"/>
    <n v="2545"/>
    <n v="1"/>
    <n v="0"/>
  </r>
  <r>
    <s v="Monthly-AE-February-2025-revised.csv"/>
    <x v="5"/>
    <s v="C82009"/>
    <s v="NHS ENGLAND MIDLANDS "/>
    <x v="123"/>
    <n v="0"/>
    <n v="0"/>
    <n v="281"/>
    <n v="0"/>
    <n v="0"/>
    <n v="0"/>
    <n v="0"/>
    <n v="0"/>
    <n v="0"/>
    <n v="0"/>
    <n v="0"/>
    <n v="0"/>
    <n v="0"/>
    <n v="0"/>
    <n v="0"/>
    <n v="0"/>
    <n v="0"/>
    <n v="0"/>
    <n v="281"/>
    <n v="0"/>
    <n v="0"/>
  </r>
  <r>
    <s v="Monthly-AE-February-2025-revised.csv"/>
    <x v="5"/>
    <s v="NL7"/>
    <s v="NHS ENGLAND MIDLANDS "/>
    <x v="95"/>
    <n v="0"/>
    <n v="0"/>
    <n v="3811"/>
    <n v="0"/>
    <n v="0"/>
    <n v="0"/>
    <n v="0"/>
    <n v="0"/>
    <n v="0"/>
    <n v="0"/>
    <n v="0"/>
    <n v="0"/>
    <n v="0"/>
    <n v="0"/>
    <n v="0"/>
    <n v="0"/>
    <n v="0"/>
    <n v="0"/>
    <n v="3811"/>
    <n v="0"/>
    <n v="0"/>
  </r>
  <r>
    <s v="Monthly-AE-February-2025-revised.csv"/>
    <x v="5"/>
    <s v="NTV0B"/>
    <s v="NHS ENGLAND SOUTH EAST "/>
    <x v="23"/>
    <n v="0"/>
    <n v="0"/>
    <n v="2144"/>
    <n v="0"/>
    <n v="0"/>
    <n v="0"/>
    <n v="0"/>
    <n v="0"/>
    <n v="93"/>
    <n v="0"/>
    <n v="0"/>
    <n v="0"/>
    <n v="0"/>
    <n v="0"/>
    <n v="0"/>
    <n v="0"/>
    <n v="0"/>
    <n v="0"/>
    <n v="2144"/>
    <n v="93"/>
    <n v="0"/>
  </r>
  <r>
    <s v="Monthly-AE-February-2025-revised.csv"/>
    <x v="5"/>
    <s v="NTV0W"/>
    <s v="NHS ENGLAND SOUTH EAST "/>
    <x v="24"/>
    <n v="0"/>
    <n v="0"/>
    <n v="2412"/>
    <n v="0"/>
    <n v="0"/>
    <n v="0"/>
    <n v="0"/>
    <n v="0"/>
    <n v="36"/>
    <n v="0"/>
    <n v="0"/>
    <n v="0"/>
    <n v="0"/>
    <n v="0"/>
    <n v="0"/>
    <n v="0"/>
    <n v="0"/>
    <n v="0"/>
    <n v="2412"/>
    <n v="36"/>
    <n v="0"/>
  </r>
  <r>
    <s v="Monthly-AE-February-2025-revised.csv"/>
    <x v="5"/>
    <s v="R1D"/>
    <s v="NHS ENGLAND MIDLANDS "/>
    <x v="58"/>
    <n v="0"/>
    <n v="0"/>
    <n v="2653"/>
    <n v="0"/>
    <n v="0"/>
    <n v="0"/>
    <n v="0"/>
    <n v="0"/>
    <n v="0"/>
    <n v="0"/>
    <n v="0"/>
    <n v="0"/>
    <n v="0"/>
    <n v="0"/>
    <n v="0"/>
    <n v="0"/>
    <n v="0"/>
    <n v="0"/>
    <n v="2653"/>
    <n v="0"/>
    <n v="0"/>
  </r>
  <r>
    <s v="Monthly-AE-February-2025-revised.csv"/>
    <x v="5"/>
    <s v="RGP"/>
    <s v="NHS ENGLAND EAST OF ENGLAND "/>
    <x v="61"/>
    <n v="6286"/>
    <n v="0"/>
    <n v="1389"/>
    <n v="0"/>
    <n v="0"/>
    <n v="0"/>
    <n v="2714"/>
    <n v="0"/>
    <n v="0"/>
    <n v="0"/>
    <n v="0"/>
    <n v="0"/>
    <n v="516"/>
    <n v="450"/>
    <n v="1459"/>
    <n v="0"/>
    <n v="0"/>
    <n v="466"/>
    <n v="7675"/>
    <n v="2714"/>
    <n v="1925"/>
  </r>
  <r>
    <s v="Monthly-AE-February-2025-revised.csv"/>
    <x v="5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7"/>
    <n v="61"/>
    <n v="0"/>
    <n v="0"/>
    <n v="68"/>
  </r>
  <r>
    <s v="Monthly-AE-February-2025-revised.csv"/>
    <x v="5"/>
    <s v="RV9"/>
    <s v="NHS ENGLAND NORTH EAST AND YORKSHIRE "/>
    <x v="67"/>
    <n v="0"/>
    <n v="0"/>
    <n v="965"/>
    <n v="0"/>
    <n v="0"/>
    <n v="33"/>
    <n v="0"/>
    <n v="0"/>
    <n v="0"/>
    <n v="0"/>
    <n v="0"/>
    <n v="0"/>
    <n v="0"/>
    <n v="0"/>
    <n v="0"/>
    <n v="0"/>
    <n v="0"/>
    <n v="0"/>
    <n v="965"/>
    <n v="0"/>
    <n v="0"/>
  </r>
  <r>
    <s v="Monthly-AE-February-2025-revised.csv"/>
    <x v="5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0"/>
    <n v="0"/>
    <n v="116"/>
  </r>
  <r>
    <s v="Monthly-AE-February-2025-revised.csv"/>
    <x v="5"/>
    <s v="RY8"/>
    <s v="NHS ENGLAND MIDLANDS "/>
    <x v="13"/>
    <n v="0"/>
    <n v="0"/>
    <n v="5791"/>
    <n v="0"/>
    <n v="0"/>
    <n v="2025"/>
    <n v="0"/>
    <n v="0"/>
    <n v="67"/>
    <n v="0"/>
    <n v="0"/>
    <n v="4"/>
    <n v="0"/>
    <n v="0"/>
    <n v="0"/>
    <n v="0"/>
    <n v="0"/>
    <n v="0"/>
    <n v="5791"/>
    <n v="67"/>
    <n v="0"/>
  </r>
  <r>
    <s v="Monthly-AE-February-2025-revised.csv"/>
    <x v="5"/>
    <s v="RYF"/>
    <s v="NHS ENGLAND SOUTH WEST "/>
    <x v="74"/>
    <n v="0"/>
    <n v="0"/>
    <n v="1636"/>
    <n v="0"/>
    <n v="0"/>
    <n v="12"/>
    <n v="0"/>
    <n v="0"/>
    <n v="18"/>
    <n v="0"/>
    <n v="0"/>
    <n v="0"/>
    <n v="0"/>
    <n v="0"/>
    <n v="0"/>
    <n v="0"/>
    <n v="0"/>
    <n v="0"/>
    <n v="1636"/>
    <n v="18"/>
    <n v="0"/>
  </r>
  <r>
    <s v="Monthly-AE-February-2025-revised.csv"/>
    <x v="5"/>
    <s v="Y02147"/>
    <s v="NHS ENGLAND LONDON"/>
    <x v="29"/>
    <n v="0"/>
    <n v="0"/>
    <n v="7461"/>
    <n v="0"/>
    <n v="0"/>
    <n v="520"/>
    <n v="0"/>
    <n v="0"/>
    <n v="113"/>
    <n v="0"/>
    <n v="0"/>
    <n v="5"/>
    <n v="0"/>
    <n v="0"/>
    <n v="0"/>
    <n v="0"/>
    <n v="0"/>
    <n v="0"/>
    <n v="7461"/>
    <n v="113"/>
    <n v="0"/>
  </r>
  <r>
    <s v="Monthly-AE-February-2025-revised.csv"/>
    <x v="5"/>
    <s v="Y02428"/>
    <s v="NHS ENGLAND EAST OF ENGLAND "/>
    <x v="49"/>
    <n v="0"/>
    <n v="0"/>
    <n v="3152"/>
    <n v="0"/>
    <n v="0"/>
    <n v="0"/>
    <n v="0"/>
    <n v="0"/>
    <n v="0"/>
    <n v="0"/>
    <n v="0"/>
    <n v="0"/>
    <n v="0"/>
    <n v="0"/>
    <n v="0"/>
    <n v="0"/>
    <n v="0"/>
    <n v="0"/>
    <n v="3152"/>
    <n v="0"/>
    <n v="0"/>
  </r>
  <r>
    <s v="Monthly-AE-February-2025-revised.csv"/>
    <x v="5"/>
    <s v="Y02615"/>
    <s v="NHS ENGLAND MIDLANDS "/>
    <x v="16"/>
    <n v="0"/>
    <n v="0"/>
    <n v="6625"/>
    <n v="0"/>
    <n v="0"/>
    <n v="0"/>
    <n v="0"/>
    <n v="0"/>
    <n v="0"/>
    <n v="0"/>
    <n v="0"/>
    <n v="0"/>
    <n v="0"/>
    <n v="0"/>
    <n v="0"/>
    <n v="0"/>
    <n v="0"/>
    <n v="0"/>
    <n v="6625"/>
    <n v="0"/>
    <n v="0"/>
  </r>
  <r>
    <s v="Monthly-AE-February-2025-revised.csv"/>
    <x v="5"/>
    <s v="Y02676"/>
    <s v="NHS ENGLAND SOUTH EAST "/>
    <x v="37"/>
    <n v="0"/>
    <n v="0"/>
    <n v="1819"/>
    <n v="0"/>
    <n v="0"/>
    <n v="0"/>
    <n v="0"/>
    <n v="0"/>
    <n v="0"/>
    <n v="0"/>
    <n v="0"/>
    <n v="0"/>
    <n v="0"/>
    <n v="0"/>
    <n v="0"/>
    <n v="0"/>
    <n v="0"/>
    <n v="0"/>
    <n v="1819"/>
    <n v="0"/>
    <n v="0"/>
  </r>
  <r>
    <s v="Monthly-AE-February-2025-revised.csv"/>
    <x v="5"/>
    <s v="Y03218"/>
    <s v="NHS ENGLAND LONDON"/>
    <x v="18"/>
    <n v="0"/>
    <n v="0"/>
    <n v="695"/>
    <n v="0"/>
    <n v="0"/>
    <n v="0"/>
    <n v="0"/>
    <n v="0"/>
    <n v="0"/>
    <n v="0"/>
    <n v="0"/>
    <n v="0"/>
    <n v="0"/>
    <n v="0"/>
    <n v="0"/>
    <n v="0"/>
    <n v="0"/>
    <n v="0"/>
    <n v="695"/>
    <n v="0"/>
    <n v="0"/>
  </r>
  <r>
    <s v="Monthly-AE-February-2025-revised.csv"/>
    <x v="5"/>
    <s v="Y07709"/>
    <s v="NHS ENGLAND SOUTH EAST "/>
    <x v="38"/>
    <n v="0"/>
    <n v="0"/>
    <n v="1843"/>
    <n v="0"/>
    <n v="0"/>
    <n v="0"/>
    <n v="0"/>
    <n v="0"/>
    <n v="0"/>
    <n v="0"/>
    <n v="0"/>
    <n v="0"/>
    <n v="0"/>
    <n v="0"/>
    <n v="0"/>
    <n v="0"/>
    <n v="0"/>
    <n v="0"/>
    <n v="1843"/>
    <n v="0"/>
    <n v="0"/>
  </r>
  <r>
    <s v="Monthly-AE-February-2025-revised.csv"/>
    <x v="5"/>
    <s v="ACH01"/>
    <s v="NHS ENGLAND SOUTH EAST "/>
    <x v="50"/>
    <n v="0"/>
    <n v="0"/>
    <n v="4995"/>
    <n v="0"/>
    <n v="0"/>
    <n v="0"/>
    <n v="0"/>
    <n v="0"/>
    <n v="0"/>
    <n v="0"/>
    <n v="0"/>
    <n v="0"/>
    <n v="0"/>
    <n v="0"/>
    <n v="0"/>
    <n v="0"/>
    <n v="0"/>
    <n v="0"/>
    <n v="4995"/>
    <n v="0"/>
    <n v="0"/>
  </r>
  <r>
    <s v="Monthly-AE-February-2025-revised.csv"/>
    <x v="5"/>
    <s v="G0Q0L"/>
    <s v="NHS ENGLAND LONDON"/>
    <x v="32"/>
    <n v="0"/>
    <n v="0"/>
    <n v="2673"/>
    <n v="0"/>
    <n v="0"/>
    <n v="0"/>
    <n v="0"/>
    <n v="0"/>
    <n v="13"/>
    <n v="0"/>
    <n v="0"/>
    <n v="0"/>
    <n v="0"/>
    <n v="0"/>
    <n v="0"/>
    <n v="0"/>
    <n v="0"/>
    <n v="0"/>
    <n v="2673"/>
    <n v="13"/>
    <n v="0"/>
  </r>
  <r>
    <s v="Monthly-AE-February-2025-revised.csv"/>
    <x v="5"/>
    <s v="K6K0R"/>
    <s v="NHS ENGLAND LONDON"/>
    <x v="33"/>
    <n v="0"/>
    <n v="0"/>
    <n v="2654"/>
    <n v="0"/>
    <n v="0"/>
    <n v="0"/>
    <n v="0"/>
    <n v="0"/>
    <n v="7"/>
    <n v="0"/>
    <n v="0"/>
    <n v="0"/>
    <n v="0"/>
    <n v="0"/>
    <n v="0"/>
    <n v="0"/>
    <n v="0"/>
    <n v="0"/>
    <n v="2654"/>
    <n v="7"/>
    <n v="0"/>
  </r>
  <r>
    <s v="Monthly-AE-February-2025-revised.csv"/>
    <x v="5"/>
    <s v="L83087"/>
    <s v="NHS ENGLAND SOUTH WEST "/>
    <x v="5"/>
    <n v="0"/>
    <n v="0"/>
    <n v="69"/>
    <n v="0"/>
    <n v="0"/>
    <n v="0"/>
    <n v="0"/>
    <n v="0"/>
    <n v="0"/>
    <n v="0"/>
    <n v="0"/>
    <n v="0"/>
    <n v="0"/>
    <n v="0"/>
    <n v="0"/>
    <n v="0"/>
    <n v="0"/>
    <n v="0"/>
    <n v="69"/>
    <n v="0"/>
    <n v="0"/>
  </r>
  <r>
    <s v="Monthly-AE-February-2025-revised.csv"/>
    <x v="5"/>
    <s v="NDJ"/>
    <s v="NHS ENGLAND SOUTH EAST "/>
    <x v="51"/>
    <n v="0"/>
    <n v="0"/>
    <n v="1941"/>
    <n v="0"/>
    <n v="0"/>
    <n v="0"/>
    <n v="0"/>
    <n v="0"/>
    <n v="0"/>
    <n v="0"/>
    <n v="0"/>
    <n v="0"/>
    <n v="0"/>
    <n v="0"/>
    <n v="0"/>
    <n v="0"/>
    <n v="0"/>
    <n v="0"/>
    <n v="1941"/>
    <n v="0"/>
    <n v="0"/>
  </r>
  <r>
    <s v="Monthly-AE-February-2025-revised.csv"/>
    <x v="5"/>
    <s v="NQT51"/>
    <s v="NHS ENGLAND SOUTH EAST "/>
    <x v="39"/>
    <n v="0"/>
    <n v="0"/>
    <n v="1079"/>
    <n v="0"/>
    <n v="0"/>
    <n v="0"/>
    <n v="0"/>
    <n v="0"/>
    <n v="0"/>
    <n v="0"/>
    <n v="0"/>
    <n v="0"/>
    <n v="0"/>
    <n v="0"/>
    <n v="0"/>
    <n v="0"/>
    <n v="0"/>
    <n v="0"/>
    <n v="1079"/>
    <n v="0"/>
    <n v="0"/>
  </r>
  <r>
    <s v="Monthly-AE-February-2025-revised.csv"/>
    <x v="5"/>
    <s v="NQTE4"/>
    <s v="NHS ENGLAND MIDLANDS "/>
    <x v="6"/>
    <n v="0"/>
    <n v="0"/>
    <n v="2969"/>
    <n v="0"/>
    <n v="0"/>
    <n v="0"/>
    <n v="0"/>
    <n v="0"/>
    <n v="0"/>
    <n v="0"/>
    <n v="0"/>
    <n v="0"/>
    <n v="0"/>
    <n v="0"/>
    <n v="0"/>
    <n v="0"/>
    <n v="0"/>
    <n v="0"/>
    <n v="2969"/>
    <n v="0"/>
    <n v="0"/>
  </r>
  <r>
    <s v="Monthly-AE-February-2025-revised.csv"/>
    <x v="5"/>
    <s v="RA9"/>
    <s v="NHS ENGLAND SOUTH WEST "/>
    <x v="7"/>
    <n v="5532"/>
    <n v="0"/>
    <n v="2684"/>
    <n v="393"/>
    <n v="0"/>
    <n v="135"/>
    <n v="2562"/>
    <n v="0"/>
    <n v="22"/>
    <n v="139"/>
    <n v="0"/>
    <n v="0"/>
    <n v="315"/>
    <n v="50"/>
    <n v="1931"/>
    <n v="0"/>
    <n v="0"/>
    <n v="1093"/>
    <n v="8216"/>
    <n v="2584"/>
    <n v="3024"/>
  </r>
  <r>
    <s v="Monthly-AE-February-2025-revised.csv"/>
    <x v="5"/>
    <s v="RFF"/>
    <s v="NHS ENGLAND NORTH EAST AND YORKSHIRE "/>
    <x v="26"/>
    <n v="7870"/>
    <n v="0"/>
    <n v="0"/>
    <n v="25"/>
    <n v="0"/>
    <n v="0"/>
    <n v="3573"/>
    <n v="0"/>
    <n v="0"/>
    <n v="0"/>
    <n v="0"/>
    <n v="0"/>
    <n v="572"/>
    <n v="5"/>
    <n v="2644"/>
    <n v="0"/>
    <n v="0"/>
    <n v="466"/>
    <n v="7870"/>
    <n v="3573"/>
    <n v="3110"/>
  </r>
  <r>
    <s v="Monthly-AE-February-2025-revised.csv"/>
    <x v="5"/>
    <s v="RK9"/>
    <s v="NHS ENGLAND SOUTH WEST "/>
    <x v="139"/>
    <n v="8072"/>
    <n v="131"/>
    <n v="4653"/>
    <n v="0"/>
    <n v="0"/>
    <n v="0"/>
    <n v="4218"/>
    <n v="0"/>
    <n v="101"/>
    <n v="0"/>
    <n v="0"/>
    <n v="0"/>
    <n v="483"/>
    <n v="541"/>
    <n v="2599"/>
    <n v="0"/>
    <n v="0"/>
    <n v="1331"/>
    <n v="12856"/>
    <n v="4319"/>
    <n v="3930"/>
  </r>
  <r>
    <s v="Monthly-AE-February-2025-revised.csv"/>
    <x v="5"/>
    <s v="RNQ"/>
    <s v="NHS ENGLAND MIDLANDS "/>
    <x v="64"/>
    <n v="8945"/>
    <n v="0"/>
    <n v="7965"/>
    <n v="308"/>
    <n v="0"/>
    <n v="0"/>
    <n v="3468"/>
    <n v="0"/>
    <n v="128"/>
    <n v="0"/>
    <n v="0"/>
    <n v="0"/>
    <n v="1280"/>
    <n v="0"/>
    <n v="1724"/>
    <n v="0"/>
    <n v="0"/>
    <n v="239"/>
    <n v="16910"/>
    <n v="3596"/>
    <n v="1963"/>
  </r>
  <r>
    <s v="Monthly-AE-February-2025-revised.csv"/>
    <x v="5"/>
    <s v="RTP"/>
    <s v="NHS ENGLAND SOUTH EAST "/>
    <x v="66"/>
    <n v="9094"/>
    <n v="0"/>
    <n v="0"/>
    <n v="0"/>
    <n v="0"/>
    <n v="0"/>
    <n v="3108"/>
    <n v="0"/>
    <n v="0"/>
    <n v="0"/>
    <n v="0"/>
    <n v="0"/>
    <n v="359"/>
    <n v="661"/>
    <n v="2785"/>
    <n v="0"/>
    <n v="0"/>
    <n v="874"/>
    <n v="9094"/>
    <n v="3108"/>
    <n v="3659"/>
  </r>
  <r>
    <s v="Monthly-AE-February-2025-revised.csv"/>
    <x v="5"/>
    <s v="RXQ"/>
    <s v="NHS ENGLAND SOUTH EAST "/>
    <x v="11"/>
    <n v="9887"/>
    <n v="1090"/>
    <n v="3215"/>
    <n v="0"/>
    <n v="0"/>
    <n v="0"/>
    <n v="3010"/>
    <n v="0"/>
    <n v="86"/>
    <n v="0"/>
    <n v="0"/>
    <n v="0"/>
    <n v="231"/>
    <n v="348"/>
    <n v="3892"/>
    <n v="768"/>
    <n v="0"/>
    <n v="2063"/>
    <n v="14192"/>
    <n v="3096"/>
    <n v="6723"/>
  </r>
  <r>
    <s v="Monthly-AE-February-2025-revised.csv"/>
    <x v="5"/>
    <s v="8J094"/>
    <s v="NHS ENGLAND MIDLANDS "/>
    <x v="2"/>
    <n v="0"/>
    <n v="0"/>
    <n v="0"/>
    <n v="0"/>
    <n v="0"/>
    <n v="1300"/>
    <n v="0"/>
    <n v="0"/>
    <n v="0"/>
    <n v="0"/>
    <n v="0"/>
    <n v="0"/>
    <n v="0"/>
    <n v="0"/>
    <n v="0"/>
    <n v="0"/>
    <n v="0"/>
    <n v="0"/>
    <n v="0"/>
    <n v="0"/>
    <n v="0"/>
  </r>
  <r>
    <s v="Monthly-AE-February-2025-revised.csv"/>
    <x v="5"/>
    <s v="AD913"/>
    <s v="NHS ENGLAND LONDON"/>
    <x v="3"/>
    <n v="0"/>
    <n v="0"/>
    <n v="3301"/>
    <n v="0"/>
    <n v="0"/>
    <n v="273"/>
    <n v="0"/>
    <n v="0"/>
    <n v="48"/>
    <n v="0"/>
    <n v="0"/>
    <n v="48"/>
    <n v="0"/>
    <n v="0"/>
    <n v="0"/>
    <n v="0"/>
    <n v="0"/>
    <n v="0"/>
    <n v="3301"/>
    <n v="48"/>
    <n v="0"/>
  </r>
  <r>
    <s v="Monthly-AE-February-2025-revised.csv"/>
    <x v="5"/>
    <s v="DT301"/>
    <s v="NHS ENGLAND EAST OF ENGLAND "/>
    <x v="19"/>
    <n v="0"/>
    <n v="0"/>
    <n v="1895"/>
    <n v="0"/>
    <n v="0"/>
    <n v="0"/>
    <n v="0"/>
    <n v="0"/>
    <n v="52"/>
    <n v="0"/>
    <n v="0"/>
    <n v="0"/>
    <n v="0"/>
    <n v="0"/>
    <n v="0"/>
    <n v="0"/>
    <n v="0"/>
    <n v="0"/>
    <n v="1895"/>
    <n v="52"/>
    <n v="0"/>
  </r>
  <r>
    <s v="Monthly-AE-February-2025-revised.csv"/>
    <x v="5"/>
    <s v="NTP11"/>
    <s v="NHS ENGLAND SOUTH EAST "/>
    <x v="34"/>
    <n v="0"/>
    <n v="0"/>
    <n v="4752"/>
    <n v="0"/>
    <n v="0"/>
    <n v="0"/>
    <n v="0"/>
    <n v="0"/>
    <n v="260"/>
    <n v="0"/>
    <n v="0"/>
    <n v="0"/>
    <n v="0"/>
    <n v="0"/>
    <n v="0"/>
    <n v="0"/>
    <n v="0"/>
    <n v="0"/>
    <n v="4752"/>
    <n v="260"/>
    <n v="0"/>
  </r>
  <r>
    <s v="Monthly-AE-February-2025-revised.csv"/>
    <x v="5"/>
    <s v="R0B"/>
    <s v="NHS ENGLAND NORTH EAST AND YORKSHIRE "/>
    <x v="44"/>
    <n v="9989"/>
    <n v="1135"/>
    <n v="4935"/>
    <n v="727"/>
    <n v="0"/>
    <n v="1424"/>
    <n v="5171"/>
    <n v="22"/>
    <n v="204"/>
    <n v="384"/>
    <n v="0"/>
    <n v="50"/>
    <n v="740"/>
    <n v="3"/>
    <n v="3877"/>
    <n v="19"/>
    <n v="0"/>
    <n v="1332"/>
    <n v="16059"/>
    <n v="5397"/>
    <n v="5228"/>
  </r>
  <r>
    <s v="Monthly-AE-February-2025-revised.csv"/>
    <x v="5"/>
    <s v="RAX"/>
    <s v="NHS ENGLAND LONDON"/>
    <x v="201"/>
    <n v="6478"/>
    <n v="0"/>
    <n v="7589"/>
    <n v="0"/>
    <n v="0"/>
    <n v="0"/>
    <n v="3131"/>
    <n v="0"/>
    <n v="182"/>
    <n v="0"/>
    <n v="0"/>
    <n v="0"/>
    <n v="239"/>
    <n v="446"/>
    <n v="2145"/>
    <n v="0"/>
    <n v="198"/>
    <n v="291"/>
    <n v="14067"/>
    <n v="3313"/>
    <n v="2634"/>
  </r>
  <r>
    <s v="Monthly-AE-February-2025-revised.csv"/>
    <x v="5"/>
    <s v="RCD"/>
    <s v="NHS ENGLAND NORTH EAST AND YORKSHIRE "/>
    <x v="184"/>
    <n v="4435"/>
    <n v="0"/>
    <n v="792"/>
    <n v="290"/>
    <n v="0"/>
    <n v="16"/>
    <n v="1388"/>
    <n v="0"/>
    <n v="1"/>
    <n v="56"/>
    <n v="0"/>
    <n v="0"/>
    <n v="206"/>
    <n v="10"/>
    <n v="1026"/>
    <n v="0"/>
    <n v="0"/>
    <n v="285"/>
    <n v="5227"/>
    <n v="1389"/>
    <n v="1311"/>
  </r>
  <r>
    <s v="Monthly-AE-February-2025-revised.csv"/>
    <x v="5"/>
    <s v="RJR"/>
    <s v="NHS ENGLAND NORTH WEST "/>
    <x v="108"/>
    <n v="4540"/>
    <n v="0"/>
    <n v="1979"/>
    <n v="0"/>
    <n v="0"/>
    <n v="0"/>
    <n v="2307"/>
    <n v="0"/>
    <n v="178"/>
    <n v="0"/>
    <n v="0"/>
    <n v="0"/>
    <n v="195"/>
    <n v="660"/>
    <n v="1613"/>
    <n v="0"/>
    <n v="0"/>
    <n v="1171"/>
    <n v="6519"/>
    <n v="2485"/>
    <n v="2784"/>
  </r>
  <r>
    <s v="Monthly-AE-February-2025-revised.csv"/>
    <x v="5"/>
    <s v="RY5"/>
    <s v="NHS ENGLAND MIDLANDS "/>
    <x v="121"/>
    <n v="0"/>
    <n v="0"/>
    <n v="7310"/>
    <n v="0"/>
    <n v="0"/>
    <n v="0"/>
    <n v="0"/>
    <n v="0"/>
    <n v="168"/>
    <n v="0"/>
    <n v="0"/>
    <n v="0"/>
    <n v="0"/>
    <n v="0"/>
    <n v="0"/>
    <n v="0"/>
    <n v="0"/>
    <n v="0"/>
    <n v="7310"/>
    <n v="168"/>
    <n v="0"/>
  </r>
  <r>
    <s v="Monthly-AE-February-2025-revised.csv"/>
    <x v="5"/>
    <s v="Y02532"/>
    <s v="NHS ENGLAND NORTH WEST "/>
    <x v="15"/>
    <n v="0"/>
    <n v="0"/>
    <n v="1561"/>
    <n v="0"/>
    <n v="0"/>
    <n v="0"/>
    <n v="0"/>
    <n v="0"/>
    <n v="0"/>
    <n v="0"/>
    <n v="0"/>
    <n v="0"/>
    <n v="0"/>
    <n v="0"/>
    <n v="0"/>
    <n v="0"/>
    <n v="0"/>
    <n v="0"/>
    <n v="1561"/>
    <n v="0"/>
    <n v="0"/>
  </r>
  <r>
    <s v="Monthly-AE-February-2025-revised.csv"/>
    <x v="5"/>
    <s v="Y03007"/>
    <s v="NHS ENGLAND MIDLANDS "/>
    <x v="17"/>
    <n v="0"/>
    <n v="0"/>
    <n v="0"/>
    <n v="0"/>
    <n v="0"/>
    <n v="1637"/>
    <n v="0"/>
    <n v="0"/>
    <n v="0"/>
    <n v="0"/>
    <n v="0"/>
    <n v="0"/>
    <n v="0"/>
    <n v="0"/>
    <n v="0"/>
    <n v="0"/>
    <n v="0"/>
    <n v="0"/>
    <n v="0"/>
    <n v="0"/>
    <n v="0"/>
  </r>
  <r>
    <s v="Monthly-AE-February-2025-revised.csv"/>
    <x v="5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57"/>
    <n v="0"/>
    <n v="0"/>
    <n v="157"/>
  </r>
  <r>
    <s v="Monthly-AE-February-2025-revised.csv"/>
    <x v="5"/>
    <s v="RQX"/>
    <s v="NHS ENGLAND LONDON"/>
    <x v="36"/>
    <n v="10056"/>
    <n v="0"/>
    <n v="0"/>
    <n v="0"/>
    <n v="0"/>
    <n v="0"/>
    <n v="2077"/>
    <n v="0"/>
    <n v="0"/>
    <n v="0"/>
    <n v="0"/>
    <n v="0"/>
    <n v="278"/>
    <n v="24"/>
    <n v="1660"/>
    <n v="0"/>
    <n v="0"/>
    <n v="306"/>
    <n v="10056"/>
    <n v="2077"/>
    <n v="1966"/>
  </r>
  <r>
    <s v="Monthly-AE-February-2025-revised.csv"/>
    <x v="5"/>
    <s v="RWG"/>
    <s v="NHS ENGLAND EAST OF ENGLAND "/>
    <x v="47"/>
    <n v="7727"/>
    <n v="0"/>
    <n v="6510"/>
    <n v="0"/>
    <n v="0"/>
    <n v="753"/>
    <n v="2887"/>
    <n v="0"/>
    <n v="137"/>
    <n v="0"/>
    <n v="0"/>
    <n v="0"/>
    <n v="816"/>
    <n v="17"/>
    <n v="3978"/>
    <n v="0"/>
    <n v="0"/>
    <n v="571"/>
    <n v="14237"/>
    <n v="3024"/>
    <n v="4549"/>
  </r>
  <r>
    <s v="Monthly-AE-February-2025-revised.csv"/>
    <x v="5"/>
    <s v="RXW"/>
    <s v="NHS ENGLAND MIDLANDS "/>
    <x v="120"/>
    <n v="9128"/>
    <n v="0"/>
    <n v="2405"/>
    <n v="0"/>
    <n v="0"/>
    <n v="0"/>
    <n v="5301"/>
    <n v="0"/>
    <n v="167"/>
    <n v="0"/>
    <n v="0"/>
    <n v="0"/>
    <n v="335"/>
    <n v="1130"/>
    <n v="2699"/>
    <n v="0"/>
    <n v="199"/>
    <n v="2030"/>
    <n v="11533"/>
    <n v="5468"/>
    <n v="4928"/>
  </r>
  <r>
    <s v="Monthly-AE-February-2025-revised.csv"/>
    <x v="5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February-2025-revised.csv"/>
    <x v="5"/>
    <s v="AXG"/>
    <s v="NHS ENGLAND SOUTH WEST "/>
    <x v="30"/>
    <n v="0"/>
    <n v="0"/>
    <n v="2090"/>
    <n v="0"/>
    <n v="0"/>
    <n v="0"/>
    <n v="0"/>
    <n v="0"/>
    <n v="17"/>
    <n v="0"/>
    <n v="0"/>
    <n v="0"/>
    <n v="0"/>
    <n v="0"/>
    <n v="0"/>
    <n v="0"/>
    <n v="0"/>
    <n v="0"/>
    <n v="2090"/>
    <n v="17"/>
    <n v="0"/>
  </r>
  <r>
    <s v="Monthly-AE-February-2025-revised.csv"/>
    <x v="5"/>
    <s v="C82038"/>
    <s v="NHS ENGLAND MIDLANDS "/>
    <x v="31"/>
    <n v="0"/>
    <n v="0"/>
    <n v="278"/>
    <n v="0"/>
    <n v="0"/>
    <n v="0"/>
    <n v="0"/>
    <n v="0"/>
    <n v="0"/>
    <n v="0"/>
    <n v="0"/>
    <n v="0"/>
    <n v="0"/>
    <n v="0"/>
    <n v="0"/>
    <n v="0"/>
    <n v="0"/>
    <n v="0"/>
    <n v="278"/>
    <n v="0"/>
    <n v="0"/>
  </r>
  <r>
    <s v="Monthly-AE-February-2025-revised.csv"/>
    <x v="5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</r>
  <r>
    <s v="Monthly-AE-February-2025-revised.csv"/>
    <x v="5"/>
    <s v="REF"/>
    <s v="NHS ENGLAND SOUTH WEST "/>
    <x v="60"/>
    <n v="5765"/>
    <n v="0"/>
    <n v="10121"/>
    <n v="0"/>
    <n v="0"/>
    <n v="0"/>
    <n v="3114"/>
    <n v="0"/>
    <n v="487"/>
    <n v="0"/>
    <n v="0"/>
    <n v="0"/>
    <n v="666"/>
    <n v="253"/>
    <n v="2361"/>
    <n v="0"/>
    <n v="35"/>
    <n v="1046"/>
    <n v="15886"/>
    <n v="3601"/>
    <n v="3442"/>
  </r>
  <r>
    <s v="Monthly-AE-February-2025-revised.csv"/>
    <x v="5"/>
    <s v="REM"/>
    <s v="NHS ENGLAND NORTH WEST "/>
    <x v="35"/>
    <n v="14072"/>
    <n v="1623"/>
    <n v="7572"/>
    <n v="370"/>
    <n v="0"/>
    <n v="0"/>
    <n v="6924"/>
    <n v="71"/>
    <n v="240"/>
    <n v="75"/>
    <n v="0"/>
    <n v="0"/>
    <n v="1869"/>
    <n v="1016"/>
    <n v="4155"/>
    <n v="0"/>
    <n v="0"/>
    <n v="2206"/>
    <n v="23267"/>
    <n v="7235"/>
    <n v="6361"/>
  </r>
  <r>
    <s v="Monthly-AE-February-2025-revised.csv"/>
    <x v="5"/>
    <s v="RFR"/>
    <s v="NHS ENGLAND NORTH EAST AND YORKSHIRE "/>
    <x v="45"/>
    <n v="8181"/>
    <n v="0"/>
    <n v="0"/>
    <n v="0"/>
    <n v="0"/>
    <n v="0"/>
    <n v="2971"/>
    <n v="0"/>
    <n v="0"/>
    <n v="0"/>
    <n v="0"/>
    <n v="0"/>
    <n v="704"/>
    <n v="55"/>
    <n v="1742"/>
    <n v="0"/>
    <n v="0"/>
    <n v="200"/>
    <n v="8181"/>
    <n v="2971"/>
    <n v="1942"/>
  </r>
  <r>
    <s v="Monthly-AE-February-2025-revised.csv"/>
    <x v="5"/>
    <s v="RLQ"/>
    <s v="NHS ENGLAND MIDLANDS "/>
    <x v="86"/>
    <n v="5233"/>
    <n v="1036"/>
    <n v="86"/>
    <n v="135"/>
    <n v="0"/>
    <n v="0"/>
    <n v="2184"/>
    <n v="0"/>
    <n v="0"/>
    <n v="30"/>
    <n v="0"/>
    <n v="0"/>
    <n v="412"/>
    <n v="219"/>
    <n v="1304"/>
    <n v="0"/>
    <n v="0"/>
    <n v="117"/>
    <n v="6355"/>
    <n v="2184"/>
    <n v="1421"/>
  </r>
  <r>
    <s v="Monthly-AE-February-2025-revised.csv"/>
    <x v="5"/>
    <s v="RWP"/>
    <s v="NHS ENGLAND MIDLANDS "/>
    <x v="68"/>
    <n v="11492"/>
    <n v="0"/>
    <n v="4772"/>
    <n v="0"/>
    <n v="0"/>
    <n v="0"/>
    <n v="5476"/>
    <n v="0"/>
    <n v="27"/>
    <n v="0"/>
    <n v="0"/>
    <n v="0"/>
    <n v="891"/>
    <n v="669"/>
    <n v="2289"/>
    <n v="0"/>
    <n v="0"/>
    <n v="843"/>
    <n v="16264"/>
    <n v="5503"/>
    <n v="3132"/>
  </r>
  <r>
    <s v="Monthly-AE-February-2025-revised.csv"/>
    <x v="5"/>
    <s v="RXK"/>
    <s v="NHS ENGLAND MIDLANDS "/>
    <x v="119"/>
    <n v="10207"/>
    <n v="1051"/>
    <n v="7976"/>
    <n v="423"/>
    <n v="0"/>
    <n v="0"/>
    <n v="4654"/>
    <n v="149"/>
    <n v="13"/>
    <n v="191"/>
    <n v="0"/>
    <n v="0"/>
    <n v="699"/>
    <n v="354"/>
    <n v="2253"/>
    <n v="0"/>
    <n v="0"/>
    <n v="483"/>
    <n v="19234"/>
    <n v="4816"/>
    <n v="2736"/>
  </r>
  <r>
    <s v="Monthly-AE-February-2025-revised.csv"/>
    <x v="5"/>
    <s v="RY4"/>
    <s v="NHS ENGLAND EAST OF ENGLAND "/>
    <x v="93"/>
    <n v="0"/>
    <n v="0"/>
    <n v="1019"/>
    <n v="0"/>
    <n v="0"/>
    <n v="0"/>
    <n v="0"/>
    <n v="0"/>
    <n v="15"/>
    <n v="0"/>
    <n v="0"/>
    <n v="0"/>
    <n v="0"/>
    <n v="0"/>
    <n v="0"/>
    <n v="0"/>
    <n v="0"/>
    <n v="0"/>
    <n v="1019"/>
    <n v="15"/>
    <n v="0"/>
  </r>
  <r>
    <s v="Monthly-AE-February-2025-revised.csv"/>
    <x v="5"/>
    <s v="NLX"/>
    <s v="NHS ENGLAND SOUTH WEST "/>
    <x v="195"/>
    <n v="0"/>
    <n v="0"/>
    <n v="7473"/>
    <n v="0"/>
    <n v="0"/>
    <n v="356"/>
    <n v="0"/>
    <n v="0"/>
    <n v="340"/>
    <n v="0"/>
    <n v="0"/>
    <n v="45"/>
    <n v="0"/>
    <n v="0"/>
    <n v="0"/>
    <n v="0"/>
    <n v="0"/>
    <n v="0"/>
    <n v="7473"/>
    <n v="340"/>
    <n v="0"/>
  </r>
  <r>
    <s v="Monthly-AE-February-2025-revised.csv"/>
    <x v="5"/>
    <s v="NNJ"/>
    <s v="NHS ENGLAND MIDLANDS "/>
    <x v="43"/>
    <n v="0"/>
    <n v="0"/>
    <n v="1821"/>
    <n v="0"/>
    <n v="0"/>
    <n v="0"/>
    <n v="0"/>
    <n v="0"/>
    <n v="1"/>
    <n v="0"/>
    <n v="0"/>
    <n v="0"/>
    <n v="0"/>
    <n v="0"/>
    <n v="0"/>
    <n v="0"/>
    <n v="0"/>
    <n v="0"/>
    <n v="1821"/>
    <n v="1"/>
    <n v="0"/>
  </r>
  <r>
    <s v="Monthly-AE-February-2025-revised.csv"/>
    <x v="5"/>
    <s v="NR3"/>
    <s v="NHS ENGLAND MIDLANDS "/>
    <x v="57"/>
    <n v="0"/>
    <n v="0"/>
    <n v="5163"/>
    <n v="0"/>
    <n v="0"/>
    <n v="248"/>
    <n v="0"/>
    <n v="0"/>
    <n v="483"/>
    <n v="0"/>
    <n v="0"/>
    <n v="0"/>
    <n v="0"/>
    <n v="0"/>
    <n v="0"/>
    <n v="0"/>
    <n v="0"/>
    <n v="0"/>
    <n v="5163"/>
    <n v="483"/>
    <n v="0"/>
  </r>
  <r>
    <s v="Monthly-AE-February-2025-revised.csv"/>
    <x v="5"/>
    <s v="NTPAD"/>
    <s v="NHS ENGLAND SOUTH EAST "/>
    <x v="22"/>
    <n v="0"/>
    <n v="0"/>
    <n v="5036"/>
    <n v="0"/>
    <n v="0"/>
    <n v="217"/>
    <n v="0"/>
    <n v="0"/>
    <n v="115"/>
    <n v="0"/>
    <n v="0"/>
    <n v="0"/>
    <n v="0"/>
    <n v="0"/>
    <n v="0"/>
    <n v="0"/>
    <n v="0"/>
    <n v="0"/>
    <n v="5036"/>
    <n v="115"/>
    <n v="0"/>
  </r>
  <r>
    <s v="Monthly-AE-February-2025-revised.csv"/>
    <x v="5"/>
    <s v="R0A"/>
    <s v="NHS ENGLAND NORTH WEST "/>
    <x v="181"/>
    <n v="22416"/>
    <n v="2738"/>
    <n v="10287"/>
    <n v="3339"/>
    <n v="465"/>
    <n v="886"/>
    <n v="10230"/>
    <n v="98"/>
    <n v="498"/>
    <n v="1303"/>
    <n v="30"/>
    <n v="83"/>
    <n v="3764"/>
    <n v="211"/>
    <n v="5040"/>
    <n v="135"/>
    <n v="147"/>
    <n v="384"/>
    <n v="35441"/>
    <n v="10826"/>
    <n v="5706"/>
  </r>
  <r>
    <s v="Monthly-AE-February-2025-revised.csv"/>
    <x v="5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722"/>
    <n v="0"/>
    <n v="0"/>
    <n v="722"/>
  </r>
  <r>
    <s v="Monthly-AE-February-2025-revised.csv"/>
    <x v="5"/>
    <s v="RCX"/>
    <s v="NHS ENGLAND EAST OF ENGLAND "/>
    <x v="185"/>
    <n v="6037"/>
    <n v="0"/>
    <n v="1069"/>
    <n v="0"/>
    <n v="0"/>
    <n v="0"/>
    <n v="2929"/>
    <n v="0"/>
    <n v="0"/>
    <n v="0"/>
    <n v="0"/>
    <n v="0"/>
    <n v="270"/>
    <n v="127"/>
    <n v="2108"/>
    <n v="0"/>
    <n v="0"/>
    <n v="367"/>
    <n v="7106"/>
    <n v="2929"/>
    <n v="2475"/>
  </r>
  <r>
    <s v="Monthly-AE-February-2025-revised.csv"/>
    <x v="5"/>
    <s v="RDU"/>
    <s v="NHS ENGLAND SOUTH EAST "/>
    <x v="82"/>
    <n v="19788"/>
    <n v="936"/>
    <n v="11742"/>
    <n v="0"/>
    <n v="0"/>
    <n v="0"/>
    <n v="8753"/>
    <n v="1"/>
    <n v="297"/>
    <n v="0"/>
    <n v="0"/>
    <n v="0"/>
    <n v="1205"/>
    <n v="472"/>
    <n v="5632"/>
    <n v="0"/>
    <n v="0"/>
    <n v="100"/>
    <n v="32466"/>
    <n v="9051"/>
    <n v="5732"/>
  </r>
  <r>
    <s v="Monthly-AE-February-2025-revised.csv"/>
    <x v="5"/>
    <s v="RGR"/>
    <s v="NHS ENGLAND EAST OF ENGLAND "/>
    <x v="192"/>
    <n v="6671"/>
    <n v="0"/>
    <n v="653"/>
    <n v="57"/>
    <n v="0"/>
    <n v="0"/>
    <n v="2428"/>
    <n v="0"/>
    <n v="0"/>
    <n v="0"/>
    <n v="0"/>
    <n v="0"/>
    <n v="360"/>
    <n v="489"/>
    <n v="1557"/>
    <n v="0"/>
    <n v="0"/>
    <n v="334"/>
    <n v="7324"/>
    <n v="2428"/>
    <n v="1891"/>
  </r>
  <r>
    <s v="Monthly-AE-February-2025-revised.csv"/>
    <x v="5"/>
    <s v="RHU"/>
    <s v="NHS ENGLAND SOUTH EAST "/>
    <x v="194"/>
    <n v="9534"/>
    <n v="850"/>
    <n v="2565"/>
    <n v="1545"/>
    <n v="0"/>
    <n v="803"/>
    <n v="4265"/>
    <n v="9"/>
    <n v="67"/>
    <n v="454"/>
    <n v="0"/>
    <n v="13"/>
    <n v="1127"/>
    <n v="346"/>
    <n v="2887"/>
    <n v="0"/>
    <n v="0"/>
    <n v="2536"/>
    <n v="12949"/>
    <n v="4341"/>
    <n v="5423"/>
  </r>
  <r>
    <s v="Monthly-AE-February-2025-revised.csv"/>
    <x v="5"/>
    <s v="RJE"/>
    <s v="NHS ENGLAND MIDLANDS "/>
    <x v="84"/>
    <n v="12461"/>
    <n v="478"/>
    <n v="7582"/>
    <n v="661"/>
    <n v="0"/>
    <n v="676"/>
    <n v="6989"/>
    <n v="0"/>
    <n v="337"/>
    <n v="344"/>
    <n v="0"/>
    <n v="29"/>
    <n v="636"/>
    <n v="1275"/>
    <n v="4837"/>
    <n v="0"/>
    <n v="0"/>
    <n v="2954"/>
    <n v="20521"/>
    <n v="7326"/>
    <n v="7791"/>
  </r>
  <r>
    <s v="Monthly-AE-February-2025-revised.csv"/>
    <x v="5"/>
    <s v="RJN"/>
    <s v="NHS ENGLAND NORTH WEST "/>
    <x v="40"/>
    <n v="3848"/>
    <n v="0"/>
    <n v="0"/>
    <n v="64"/>
    <n v="0"/>
    <n v="66"/>
    <n v="1970"/>
    <n v="0"/>
    <n v="0"/>
    <n v="0"/>
    <n v="0"/>
    <n v="0"/>
    <n v="172"/>
    <n v="266"/>
    <n v="749"/>
    <n v="0"/>
    <n v="0"/>
    <n v="181"/>
    <n v="3848"/>
    <n v="1970"/>
    <n v="930"/>
  </r>
  <r>
    <s v="Monthly-AE-February-2025-revised.csv"/>
    <x v="5"/>
    <s v="RKB"/>
    <s v="NHS ENGLAND MIDLANDS "/>
    <x v="140"/>
    <n v="10786"/>
    <n v="1500"/>
    <n v="5717"/>
    <n v="0"/>
    <n v="0"/>
    <n v="0"/>
    <n v="5345"/>
    <n v="119"/>
    <n v="288"/>
    <n v="0"/>
    <n v="0"/>
    <n v="0"/>
    <n v="77"/>
    <n v="25"/>
    <n v="1592"/>
    <n v="42"/>
    <n v="46"/>
    <n v="587"/>
    <n v="18003"/>
    <n v="5752"/>
    <n v="2267"/>
  </r>
  <r>
    <s v="Monthly-AE-February-2025-revised.csv"/>
    <x v="5"/>
    <s v="RMC"/>
    <s v="NHS ENGLAND NORTH WEST "/>
    <x v="178"/>
    <n v="7278"/>
    <n v="0"/>
    <n v="3250"/>
    <n v="96"/>
    <n v="0"/>
    <n v="36"/>
    <n v="3644"/>
    <n v="0"/>
    <n v="175"/>
    <n v="46"/>
    <n v="0"/>
    <n v="3"/>
    <n v="486"/>
    <n v="454"/>
    <n v="2256"/>
    <n v="0"/>
    <n v="124"/>
    <n v="956"/>
    <n v="10528"/>
    <n v="3819"/>
    <n v="3336"/>
  </r>
  <r>
    <s v="Monthly-AE-February-2025-revised.csv"/>
    <x v="5"/>
    <s v="RNU"/>
    <s v="NHS ENGLAND SOUTH EAST "/>
    <x v="112"/>
    <n v="0"/>
    <n v="0"/>
    <n v="3103"/>
    <n v="0"/>
    <n v="0"/>
    <n v="0"/>
    <n v="0"/>
    <n v="0"/>
    <n v="270"/>
    <n v="0"/>
    <n v="0"/>
    <n v="0"/>
    <n v="0"/>
    <n v="0"/>
    <n v="0"/>
    <n v="0"/>
    <n v="0"/>
    <n v="0"/>
    <n v="3103"/>
    <n v="270"/>
    <n v="0"/>
  </r>
  <r>
    <s v="Monthly-AE-February-2025-revised.csv"/>
    <x v="5"/>
    <s v="RPC"/>
    <s v="NHS ENGLAND SOUTH EAST "/>
    <x v="27"/>
    <n v="0"/>
    <n v="0"/>
    <n v="1197"/>
    <n v="0"/>
    <n v="0"/>
    <n v="0"/>
    <n v="0"/>
    <n v="0"/>
    <n v="6"/>
    <n v="0"/>
    <n v="0"/>
    <n v="0"/>
    <n v="0"/>
    <n v="0"/>
    <n v="0"/>
    <n v="0"/>
    <n v="3"/>
    <n v="471"/>
    <n v="1197"/>
    <n v="6"/>
    <n v="474"/>
  </r>
  <r>
    <s v="Monthly-AE-February-2025-revised.csv"/>
    <x v="5"/>
    <s v="RQW"/>
    <s v="NHS ENGLAND EAST OF ENGLAND "/>
    <x v="148"/>
    <n v="7328"/>
    <n v="0"/>
    <n v="1913"/>
    <n v="0"/>
    <n v="0"/>
    <n v="670"/>
    <n v="3762"/>
    <n v="0"/>
    <n v="0"/>
    <n v="0"/>
    <n v="0"/>
    <n v="0"/>
    <n v="426"/>
    <n v="91"/>
    <n v="1587"/>
    <n v="0"/>
    <n v="0"/>
    <n v="241"/>
    <n v="9241"/>
    <n v="3762"/>
    <n v="1828"/>
  </r>
  <r>
    <s v="Monthly-AE-February-2025-revised.csv"/>
    <x v="5"/>
    <s v="RR7"/>
    <s v="NHS ENGLAND NORTH EAST AND YORKSHIRE "/>
    <x v="113"/>
    <n v="5241"/>
    <n v="0"/>
    <n v="3141"/>
    <n v="23"/>
    <n v="0"/>
    <n v="2"/>
    <n v="2185"/>
    <n v="0"/>
    <n v="28"/>
    <n v="10"/>
    <n v="0"/>
    <n v="0"/>
    <n v="822"/>
    <n v="0"/>
    <n v="1453"/>
    <n v="0"/>
    <n v="0"/>
    <n v="41"/>
    <n v="8382"/>
    <n v="2213"/>
    <n v="1494"/>
  </r>
  <r>
    <s v="Monthly-AE-February-2025-revised.csv"/>
    <x v="5"/>
    <s v="RW4"/>
    <s v="NHS ENGLAND NORTH WEST "/>
    <x v="42"/>
    <n v="0"/>
    <n v="0"/>
    <n v="13023"/>
    <n v="0"/>
    <n v="0"/>
    <n v="0"/>
    <n v="0"/>
    <n v="0"/>
    <n v="273"/>
    <n v="0"/>
    <n v="0"/>
    <n v="0"/>
    <n v="0"/>
    <n v="0"/>
    <n v="0"/>
    <n v="0"/>
    <n v="0"/>
    <n v="42"/>
    <n v="13023"/>
    <n v="273"/>
    <n v="42"/>
  </r>
  <r>
    <s v="Monthly-AE-February-2025-revised.csv"/>
    <x v="5"/>
    <s v="RYX"/>
    <s v="NHS ENGLAND LONDON"/>
    <x v="75"/>
    <n v="0"/>
    <n v="0"/>
    <n v="11296"/>
    <n v="0"/>
    <n v="0"/>
    <n v="393"/>
    <n v="0"/>
    <n v="0"/>
    <n v="257"/>
    <n v="0"/>
    <n v="0"/>
    <n v="7"/>
    <n v="0"/>
    <n v="0"/>
    <n v="0"/>
    <n v="0"/>
    <n v="0"/>
    <n v="0"/>
    <n v="11296"/>
    <n v="257"/>
    <n v="0"/>
  </r>
  <r>
    <s v="Monthly-AE-February-2025-revised.csv"/>
    <x v="5"/>
    <s v="NNF09"/>
    <s v="NHS ENGLAND NORTH EAST AND YORKSHIRE "/>
    <x v="124"/>
    <n v="0"/>
    <n v="0"/>
    <n v="3281"/>
    <n v="0"/>
    <n v="0"/>
    <n v="0"/>
    <n v="0"/>
    <n v="0"/>
    <n v="403"/>
    <n v="0"/>
    <n v="0"/>
    <n v="0"/>
    <n v="0"/>
    <n v="0"/>
    <n v="0"/>
    <n v="0"/>
    <n v="0"/>
    <n v="0"/>
    <n v="3281"/>
    <n v="403"/>
    <n v="0"/>
  </r>
  <r>
    <s v="Monthly-AE-February-2025-revised.csv"/>
    <x v="5"/>
    <s v="NNF16"/>
    <s v="NHS ENGLAND NORTH EAST AND YORKSHIRE "/>
    <x v="198"/>
    <n v="0"/>
    <n v="0"/>
    <n v="1248"/>
    <n v="0"/>
    <n v="0"/>
    <n v="0"/>
    <n v="0"/>
    <n v="0"/>
    <n v="18"/>
    <n v="0"/>
    <n v="0"/>
    <n v="0"/>
    <n v="0"/>
    <n v="0"/>
    <n v="0"/>
    <n v="0"/>
    <n v="0"/>
    <n v="0"/>
    <n v="1248"/>
    <n v="18"/>
    <n v="0"/>
  </r>
  <r>
    <s v="Monthly-AE-February-2025-revised.csv"/>
    <x v="5"/>
    <s v="NNF94"/>
    <s v="NHS ENGLAND NORTH EAST AND YORKSHIRE "/>
    <x v="125"/>
    <n v="0"/>
    <n v="0"/>
    <n v="2515"/>
    <n v="0"/>
    <n v="0"/>
    <n v="0"/>
    <n v="0"/>
    <n v="0"/>
    <n v="221"/>
    <n v="0"/>
    <n v="0"/>
    <n v="0"/>
    <n v="0"/>
    <n v="0"/>
    <n v="0"/>
    <n v="0"/>
    <n v="0"/>
    <n v="0"/>
    <n v="2515"/>
    <n v="221"/>
    <n v="0"/>
  </r>
  <r>
    <s v="Monthly-AE-February-2025-revised.csv"/>
    <x v="5"/>
    <s v="NNFA7"/>
    <s v="NHS ENGLAND NORTH EAST AND YORKSHIRE "/>
    <x v="126"/>
    <n v="0"/>
    <n v="0"/>
    <n v="1361"/>
    <n v="0"/>
    <n v="0"/>
    <n v="0"/>
    <n v="0"/>
    <n v="0"/>
    <n v="10"/>
    <n v="0"/>
    <n v="0"/>
    <n v="0"/>
    <n v="0"/>
    <n v="0"/>
    <n v="0"/>
    <n v="0"/>
    <n v="0"/>
    <n v="0"/>
    <n v="1361"/>
    <n v="10"/>
    <n v="0"/>
  </r>
  <r>
    <s v="Monthly-AE-February-2025-revised.csv"/>
    <x v="5"/>
    <s v="NNJ07"/>
    <s v="NHS ENGLAND MIDLANDS "/>
    <x v="52"/>
    <n v="0"/>
    <n v="0"/>
    <n v="5062"/>
    <n v="0"/>
    <n v="0"/>
    <n v="2228"/>
    <n v="0"/>
    <n v="0"/>
    <n v="29"/>
    <n v="0"/>
    <n v="0"/>
    <n v="3"/>
    <n v="0"/>
    <n v="0"/>
    <n v="0"/>
    <n v="0"/>
    <n v="0"/>
    <n v="0"/>
    <n v="5062"/>
    <n v="29"/>
    <n v="0"/>
  </r>
  <r>
    <s v="Monthly-AE-February-2025-revised.csv"/>
    <x v="5"/>
    <s v="NNJ0H"/>
    <s v="NHS ENGLAND MIDLANDS "/>
    <x v="53"/>
    <n v="0"/>
    <n v="0"/>
    <n v="156"/>
    <n v="0"/>
    <n v="0"/>
    <n v="1986"/>
    <n v="0"/>
    <n v="0"/>
    <n v="0"/>
    <n v="0"/>
    <n v="0"/>
    <n v="1"/>
    <n v="0"/>
    <n v="0"/>
    <n v="0"/>
    <n v="0"/>
    <n v="0"/>
    <n v="0"/>
    <n v="156"/>
    <n v="0"/>
    <n v="0"/>
  </r>
  <r>
    <s v="Monthly-AE-February-2025-revised.csv"/>
    <x v="5"/>
    <s v="NNJ12"/>
    <s v="NHS ENGLAND MIDLANDS "/>
    <x v="54"/>
    <n v="0"/>
    <n v="0"/>
    <n v="106"/>
    <n v="0"/>
    <n v="0"/>
    <n v="472"/>
    <n v="0"/>
    <n v="0"/>
    <n v="0"/>
    <n v="0"/>
    <n v="0"/>
    <n v="0"/>
    <n v="0"/>
    <n v="0"/>
    <n v="0"/>
    <n v="0"/>
    <n v="0"/>
    <n v="0"/>
    <n v="106"/>
    <n v="0"/>
    <n v="0"/>
  </r>
  <r>
    <s v="Monthly-AE-February-2025-revised.csv"/>
    <x v="5"/>
    <s v="NNJ13"/>
    <s v="NHS ENGLAND MIDLANDS "/>
    <x v="55"/>
    <n v="0"/>
    <n v="0"/>
    <n v="52"/>
    <n v="0"/>
    <n v="0"/>
    <n v="407"/>
    <n v="0"/>
    <n v="0"/>
    <n v="0"/>
    <n v="0"/>
    <n v="0"/>
    <n v="0"/>
    <n v="0"/>
    <n v="0"/>
    <n v="0"/>
    <n v="0"/>
    <n v="0"/>
    <n v="0"/>
    <n v="52"/>
    <n v="0"/>
    <n v="0"/>
  </r>
  <r>
    <s v="Monthly-AE-February-2025-revised.csv"/>
    <x v="5"/>
    <s v="NNJ14"/>
    <s v="NHS ENGLAND MIDLANDS "/>
    <x v="191"/>
    <n v="0"/>
    <n v="0"/>
    <n v="430"/>
    <n v="0"/>
    <n v="0"/>
    <n v="3022"/>
    <n v="0"/>
    <n v="0"/>
    <n v="1"/>
    <n v="0"/>
    <n v="0"/>
    <n v="1"/>
    <n v="0"/>
    <n v="0"/>
    <n v="0"/>
    <n v="0"/>
    <n v="0"/>
    <n v="0"/>
    <n v="430"/>
    <n v="1"/>
    <n v="0"/>
  </r>
  <r>
    <s v="Monthly-AE-February-2025-revised.csv"/>
    <x v="5"/>
    <s v="NNJ15"/>
    <s v="NHS ENGLAND MIDLANDS "/>
    <x v="56"/>
    <n v="0"/>
    <n v="0"/>
    <n v="64"/>
    <n v="0"/>
    <n v="0"/>
    <n v="349"/>
    <n v="0"/>
    <n v="0"/>
    <n v="0"/>
    <n v="0"/>
    <n v="0"/>
    <n v="0"/>
    <n v="0"/>
    <n v="0"/>
    <n v="0"/>
    <n v="0"/>
    <n v="0"/>
    <n v="0"/>
    <n v="64"/>
    <n v="0"/>
    <n v="0"/>
  </r>
  <r>
    <s v="Monthly-AE-February-2025-revised.csv"/>
    <x v="5"/>
    <s v="NV693"/>
    <s v="NHS ENGLAND NORTH WEST "/>
    <x v="76"/>
    <n v="0"/>
    <n v="0"/>
    <n v="866"/>
    <n v="0"/>
    <n v="0"/>
    <n v="0"/>
    <n v="0"/>
    <n v="0"/>
    <n v="1"/>
    <n v="0"/>
    <n v="0"/>
    <n v="0"/>
    <n v="0"/>
    <n v="0"/>
    <n v="0"/>
    <n v="0"/>
    <n v="0"/>
    <n v="0"/>
    <n v="866"/>
    <n v="1"/>
    <n v="0"/>
  </r>
  <r>
    <s v="Monthly-AE-February-2025-revised.csv"/>
    <x v="5"/>
    <s v="RA2"/>
    <s v="NHS ENGLAND SOUTH EAST "/>
    <x v="97"/>
    <n v="6118"/>
    <n v="0"/>
    <n v="1243"/>
    <n v="787"/>
    <n v="0"/>
    <n v="19"/>
    <n v="1866"/>
    <n v="0"/>
    <n v="0"/>
    <n v="171"/>
    <n v="0"/>
    <n v="0"/>
    <n v="312"/>
    <n v="1"/>
    <n v="2342"/>
    <n v="0"/>
    <n v="0"/>
    <n v="1039"/>
    <n v="7361"/>
    <n v="1866"/>
    <n v="3381"/>
  </r>
  <r>
    <s v="Monthly-AE-February-2025-revised.csv"/>
    <x v="5"/>
    <s v="RAT"/>
    <s v="NHS ENGLAND LONDON"/>
    <x v="203"/>
    <n v="0"/>
    <n v="0"/>
    <n v="1349"/>
    <n v="0"/>
    <n v="0"/>
    <n v="0"/>
    <n v="0"/>
    <n v="0"/>
    <n v="37"/>
    <n v="0"/>
    <n v="0"/>
    <n v="0"/>
    <n v="0"/>
    <n v="0"/>
    <n v="0"/>
    <n v="0"/>
    <n v="0"/>
    <n v="0"/>
    <n v="1349"/>
    <n v="37"/>
    <n v="0"/>
  </r>
  <r>
    <s v="Monthly-AE-February-2025-revised.csv"/>
    <x v="5"/>
    <s v="RD8"/>
    <s v="NHS ENGLAND EAST OF ENGLAND "/>
    <x v="105"/>
    <n v="7528"/>
    <n v="0"/>
    <n v="4659"/>
    <n v="545"/>
    <n v="0"/>
    <n v="146"/>
    <n v="2948"/>
    <n v="0"/>
    <n v="256"/>
    <n v="211"/>
    <n v="0"/>
    <n v="0"/>
    <n v="735"/>
    <n v="0"/>
    <n v="2153"/>
    <n v="0"/>
    <n v="0"/>
    <n v="426"/>
    <n v="12187"/>
    <n v="3204"/>
    <n v="2579"/>
  </r>
  <r>
    <s v="Monthly-AE-February-2025-revised.csv"/>
    <x v="5"/>
    <s v="RF4"/>
    <s v="NHS ENGLAND LONDON"/>
    <x v="167"/>
    <n v="12433"/>
    <n v="2272"/>
    <n v="13441"/>
    <n v="0"/>
    <n v="0"/>
    <n v="0"/>
    <n v="6017"/>
    <n v="366"/>
    <n v="143"/>
    <n v="0"/>
    <n v="0"/>
    <n v="0"/>
    <n v="615"/>
    <n v="816"/>
    <n v="7312"/>
    <n v="0"/>
    <n v="0"/>
    <n v="437"/>
    <n v="28146"/>
    <n v="6526"/>
    <n v="7749"/>
  </r>
  <r>
    <s v="Monthly-AE-February-2025-revised.csv"/>
    <x v="5"/>
    <s v="RGN"/>
    <s v="NHS ENGLAND EAST OF ENGLAND "/>
    <x v="106"/>
    <n v="13225"/>
    <n v="0"/>
    <n v="3915"/>
    <n v="306"/>
    <n v="0"/>
    <n v="461"/>
    <n v="5764"/>
    <n v="0"/>
    <n v="159"/>
    <n v="85"/>
    <n v="0"/>
    <n v="13"/>
    <n v="389"/>
    <n v="792"/>
    <n v="3302"/>
    <n v="0"/>
    <n v="37"/>
    <n v="1499"/>
    <n v="17140"/>
    <n v="5923"/>
    <n v="4838"/>
  </r>
  <r>
    <s v="Monthly-AE-February-2025-revised.csv"/>
    <x v="5"/>
    <s v="RH8"/>
    <s v="NHS ENGLAND SOUTH WEST "/>
    <x v="186"/>
    <n v="10851"/>
    <n v="0"/>
    <n v="3918"/>
    <n v="1168"/>
    <n v="0"/>
    <n v="51"/>
    <n v="4790"/>
    <n v="0"/>
    <n v="16"/>
    <n v="477"/>
    <n v="0"/>
    <n v="1"/>
    <n v="1386"/>
    <n v="79"/>
    <n v="3104"/>
    <n v="0"/>
    <n v="0"/>
    <n v="1787"/>
    <n v="14769"/>
    <n v="4806"/>
    <n v="4891"/>
  </r>
  <r>
    <s v="Monthly-AE-February-2025-revised.csv"/>
    <x v="5"/>
    <s v="RKE"/>
    <s v="NHS ENGLAND LONDON"/>
    <x v="170"/>
    <n v="8215"/>
    <n v="0"/>
    <n v="0"/>
    <n v="0"/>
    <n v="0"/>
    <n v="0"/>
    <n v="2725"/>
    <n v="0"/>
    <n v="0"/>
    <n v="0"/>
    <n v="0"/>
    <n v="0"/>
    <n v="215"/>
    <n v="324"/>
    <n v="1055"/>
    <n v="0"/>
    <n v="0"/>
    <n v="39"/>
    <n v="8215"/>
    <n v="2725"/>
    <n v="1094"/>
  </r>
  <r>
    <s v="Monthly-AE-February-2025-revised.csv"/>
    <x v="5"/>
    <s v="RL4"/>
    <s v="NHS ENGLAND MIDLANDS "/>
    <x v="85"/>
    <n v="11286"/>
    <n v="0"/>
    <n v="7671"/>
    <n v="78"/>
    <n v="0"/>
    <n v="743"/>
    <n v="3416"/>
    <n v="0"/>
    <n v="144"/>
    <n v="15"/>
    <n v="0"/>
    <n v="2"/>
    <n v="733"/>
    <n v="567"/>
    <n v="5182"/>
    <n v="0"/>
    <n v="0"/>
    <n v="930"/>
    <n v="18957"/>
    <n v="3560"/>
    <n v="6112"/>
  </r>
  <r>
    <s v="Monthly-AE-February-2025-revised.csv"/>
    <x v="5"/>
    <s v="RNA"/>
    <s v="NHS ENGLAND MIDLANDS "/>
    <x v="63"/>
    <n v="8415"/>
    <n v="0"/>
    <n v="4049"/>
    <n v="0"/>
    <n v="0"/>
    <n v="664"/>
    <n v="2555"/>
    <n v="0"/>
    <n v="239"/>
    <n v="0"/>
    <n v="0"/>
    <n v="0"/>
    <n v="1928"/>
    <n v="28"/>
    <n v="3464"/>
    <n v="0"/>
    <n v="0"/>
    <n v="2258"/>
    <n v="12464"/>
    <n v="2794"/>
    <n v="5722"/>
  </r>
  <r>
    <s v="Monthly-AE-February-2025-revised.csv"/>
    <x v="5"/>
    <s v="RQM"/>
    <s v="NHS ENGLAND LONDON"/>
    <x v="147"/>
    <n v="17620"/>
    <n v="0"/>
    <n v="5691"/>
    <n v="611"/>
    <n v="0"/>
    <n v="0"/>
    <n v="6091"/>
    <n v="0"/>
    <n v="103"/>
    <n v="0"/>
    <n v="0"/>
    <n v="0"/>
    <n v="1226"/>
    <n v="43"/>
    <n v="2563"/>
    <n v="0"/>
    <n v="0"/>
    <n v="353"/>
    <n v="23311"/>
    <n v="6194"/>
    <n v="2916"/>
  </r>
  <r>
    <s v="Monthly-AE-February-2025-revised.csv"/>
    <x v="5"/>
    <s v="RRK"/>
    <s v="NHS ENGLAND MIDLANDS "/>
    <x v="87"/>
    <n v="31058"/>
    <n v="282"/>
    <n v="1534"/>
    <n v="0"/>
    <n v="0"/>
    <n v="267"/>
    <n v="12580"/>
    <n v="0"/>
    <n v="5"/>
    <n v="0"/>
    <n v="0"/>
    <n v="2"/>
    <n v="2371"/>
    <n v="1657"/>
    <n v="9332"/>
    <n v="0"/>
    <n v="0"/>
    <n v="6424"/>
    <n v="32874"/>
    <n v="12585"/>
    <n v="15756"/>
  </r>
  <r>
    <s v="Monthly-AE-February-2025-revised.csv"/>
    <x v="5"/>
    <s v="RTK"/>
    <s v="NHS ENGLAND SOUTH EAST "/>
    <x v="114"/>
    <n v="9225"/>
    <n v="0"/>
    <n v="0"/>
    <n v="0"/>
    <n v="0"/>
    <n v="0"/>
    <n v="3070"/>
    <n v="0"/>
    <n v="0"/>
    <n v="0"/>
    <n v="0"/>
    <n v="0"/>
    <n v="464"/>
    <n v="289"/>
    <n v="2499"/>
    <n v="0"/>
    <n v="0"/>
    <n v="584"/>
    <n v="9225"/>
    <n v="3070"/>
    <n v="3083"/>
  </r>
  <r>
    <s v="Monthly-AE-February-2025-revised.csv"/>
    <x v="5"/>
    <s v="RTR"/>
    <s v="NHS ENGLAND NORTH EAST AND YORKSHIRE "/>
    <x v="153"/>
    <n v="6667"/>
    <n v="0"/>
    <n v="7880"/>
    <n v="0"/>
    <n v="0"/>
    <n v="1678"/>
    <n v="3433"/>
    <n v="0"/>
    <n v="503"/>
    <n v="0"/>
    <n v="0"/>
    <n v="56"/>
    <n v="292"/>
    <n v="11"/>
    <n v="2411"/>
    <n v="0"/>
    <n v="115"/>
    <n v="2151"/>
    <n v="14547"/>
    <n v="3936"/>
    <n v="4677"/>
  </r>
  <r>
    <s v="Monthly-AE-February-2025-revised.csv"/>
    <x v="5"/>
    <s v="RWE"/>
    <s v="NHS ENGLAND MIDLANDS "/>
    <x v="117"/>
    <n v="19778"/>
    <n v="1807"/>
    <n v="0"/>
    <n v="0"/>
    <n v="0"/>
    <n v="0"/>
    <n v="8352"/>
    <n v="112"/>
    <n v="0"/>
    <n v="0"/>
    <n v="0"/>
    <n v="0"/>
    <n v="1303"/>
    <n v="921"/>
    <n v="5806"/>
    <n v="2"/>
    <n v="0"/>
    <n v="3425"/>
    <n v="21585"/>
    <n v="8464"/>
    <n v="9233"/>
  </r>
  <r>
    <s v="Monthly-AE-February-2025-revised.csv"/>
    <x v="5"/>
    <s v="RWJ"/>
    <s v="NHS ENGLAND NORTH WEST "/>
    <x v="158"/>
    <n v="6843"/>
    <n v="0"/>
    <n v="985"/>
    <n v="305"/>
    <n v="0"/>
    <n v="50"/>
    <n v="2353"/>
    <n v="0"/>
    <n v="47"/>
    <n v="94"/>
    <n v="0"/>
    <n v="5"/>
    <n v="724"/>
    <n v="240"/>
    <n v="2525"/>
    <n v="0"/>
    <n v="61"/>
    <n v="822"/>
    <n v="7828"/>
    <n v="2400"/>
    <n v="3408"/>
  </r>
  <r>
    <s v="Monthly-AE-February-2025-revised.csv"/>
    <x v="5"/>
    <s v="RXR"/>
    <s v="NHS ENGLAND NORTH WEST "/>
    <x v="92"/>
    <n v="11973"/>
    <n v="0"/>
    <n v="9497"/>
    <n v="0"/>
    <n v="0"/>
    <n v="0"/>
    <n v="4297"/>
    <n v="0"/>
    <n v="648"/>
    <n v="0"/>
    <n v="0"/>
    <n v="0"/>
    <n v="421"/>
    <n v="1050"/>
    <n v="3543"/>
    <n v="0"/>
    <n v="93"/>
    <n v="1588"/>
    <n v="21470"/>
    <n v="4945"/>
    <n v="5224"/>
  </r>
  <r>
    <s v="Monthly-AE-February-2025-revised.csv"/>
    <x v="5"/>
    <s v="RY7"/>
    <s v="NHS ENGLAND NORTH WEST "/>
    <x v="12"/>
    <n v="0"/>
    <n v="0"/>
    <n v="3965"/>
    <n v="0"/>
    <n v="0"/>
    <n v="0"/>
    <n v="0"/>
    <n v="0"/>
    <n v="191"/>
    <n v="0"/>
    <n v="0"/>
    <n v="0"/>
    <n v="0"/>
    <n v="0"/>
    <n v="0"/>
    <n v="0"/>
    <n v="0"/>
    <n v="0"/>
    <n v="3965"/>
    <n v="191"/>
    <n v="0"/>
  </r>
  <r>
    <s v="Monthly-AE-February-2025-revised.csv"/>
    <x v="5"/>
    <s v="ARN03"/>
    <s v="NHS ENGLAND NORTH EAST AND YORKSHIRE "/>
    <x v="164"/>
    <n v="0"/>
    <n v="0"/>
    <n v="2059"/>
    <n v="0"/>
    <n v="0"/>
    <n v="264"/>
    <n v="0"/>
    <n v="0"/>
    <n v="9"/>
    <n v="0"/>
    <n v="0"/>
    <n v="0"/>
    <n v="0"/>
    <n v="0"/>
    <n v="0"/>
    <n v="0"/>
    <n v="0"/>
    <n v="0"/>
    <n v="2059"/>
    <n v="9"/>
    <n v="0"/>
  </r>
  <r>
    <s v="Monthly-AE-February-2025-revised.csv"/>
    <x v="5"/>
    <s v="R0D"/>
    <s v="NHS ENGLAND SOUTH WEST "/>
    <x v="77"/>
    <n v="11840"/>
    <n v="0"/>
    <n v="4341"/>
    <n v="0"/>
    <n v="0"/>
    <n v="0"/>
    <n v="4892"/>
    <n v="0"/>
    <n v="0"/>
    <n v="0"/>
    <n v="0"/>
    <n v="0"/>
    <n v="960"/>
    <n v="275"/>
    <n v="3751"/>
    <n v="1"/>
    <n v="0"/>
    <n v="2204"/>
    <n v="16181"/>
    <n v="4892"/>
    <n v="5956"/>
  </r>
  <r>
    <s v="Monthly-AE-February-2025-revised.csv"/>
    <x v="5"/>
    <s v="R1K"/>
    <s v="NHS ENGLAND LONDON"/>
    <x v="128"/>
    <n v="12788"/>
    <n v="0"/>
    <n v="13626"/>
    <n v="0"/>
    <n v="0"/>
    <n v="0"/>
    <n v="6764"/>
    <n v="0"/>
    <n v="131"/>
    <n v="0"/>
    <n v="0"/>
    <n v="0"/>
    <n v="699"/>
    <n v="547"/>
    <n v="5893"/>
    <n v="0"/>
    <n v="0"/>
    <n v="339"/>
    <n v="26414"/>
    <n v="6895"/>
    <n v="6232"/>
  </r>
  <r>
    <s v="Monthly-AE-February-2025-revised.csv"/>
    <x v="5"/>
    <s v="RAJ"/>
    <s v="NHS ENGLAND EAST OF ENGLAND "/>
    <x v="98"/>
    <n v="26897"/>
    <n v="0"/>
    <n v="3559"/>
    <n v="23"/>
    <n v="0"/>
    <n v="7"/>
    <n v="9735"/>
    <n v="0"/>
    <n v="229"/>
    <n v="4"/>
    <n v="0"/>
    <n v="0"/>
    <n v="2597"/>
    <n v="275"/>
    <n v="7902"/>
    <n v="0"/>
    <n v="174"/>
    <n v="1290"/>
    <n v="30456"/>
    <n v="9964"/>
    <n v="9366"/>
  </r>
  <r>
    <s v="Monthly-AE-February-2025-revised.csv"/>
    <x v="5"/>
    <s v="RAL"/>
    <s v="NHS ENGLAND LONDON"/>
    <x v="99"/>
    <n v="23137"/>
    <n v="451"/>
    <n v="14486"/>
    <n v="222"/>
    <n v="5"/>
    <n v="224"/>
    <n v="9238"/>
    <n v="7"/>
    <n v="909"/>
    <n v="114"/>
    <n v="0"/>
    <n v="31"/>
    <n v="1105"/>
    <n v="1691"/>
    <n v="4254"/>
    <n v="0"/>
    <n v="51"/>
    <n v="687"/>
    <n v="38074"/>
    <n v="10154"/>
    <n v="4992"/>
  </r>
  <r>
    <s v="Monthly-AE-February-2025-revised.csv"/>
    <x v="5"/>
    <s v="RAS"/>
    <s v="NHS ENGLAND LONDON"/>
    <x v="182"/>
    <n v="5687"/>
    <n v="0"/>
    <n v="5922"/>
    <n v="0"/>
    <n v="0"/>
    <n v="0"/>
    <n v="3208"/>
    <n v="0"/>
    <n v="90"/>
    <n v="0"/>
    <n v="0"/>
    <n v="0"/>
    <n v="624"/>
    <n v="94"/>
    <n v="1715"/>
    <n v="0"/>
    <n v="0"/>
    <n v="51"/>
    <n v="11609"/>
    <n v="3298"/>
    <n v="1766"/>
  </r>
  <r>
    <s v="Monthly-AE-February-2025-revised.csv"/>
    <x v="5"/>
    <s v="RBN"/>
    <s v="NHS ENGLAND NORTH WEST "/>
    <x v="174"/>
    <n v="15299"/>
    <n v="0"/>
    <n v="6647"/>
    <n v="427"/>
    <n v="0"/>
    <n v="0"/>
    <n v="5562"/>
    <n v="0"/>
    <n v="133"/>
    <n v="52"/>
    <n v="0"/>
    <n v="0"/>
    <n v="499"/>
    <n v="400"/>
    <n v="7357"/>
    <n v="0"/>
    <n v="0"/>
    <n v="549"/>
    <n v="21946"/>
    <n v="5695"/>
    <n v="7906"/>
  </r>
  <r>
    <s v="Monthly-AE-February-2025-revised.csv"/>
    <x v="5"/>
    <s v="RBT"/>
    <s v="NHS ENGLAND NORTH WEST "/>
    <x v="130"/>
    <n v="6236"/>
    <n v="0"/>
    <n v="2554"/>
    <n v="0"/>
    <n v="0"/>
    <n v="117"/>
    <n v="3576"/>
    <n v="0"/>
    <n v="44"/>
    <n v="0"/>
    <n v="0"/>
    <n v="22"/>
    <n v="537"/>
    <n v="475"/>
    <n v="1995"/>
    <n v="0"/>
    <n v="0"/>
    <n v="1161"/>
    <n v="8790"/>
    <n v="3620"/>
    <n v="3156"/>
  </r>
  <r>
    <s v="Monthly-AE-February-2025-revised.csv"/>
    <x v="5"/>
    <s v="RC9"/>
    <s v="NHS ENGLAND EAST OF ENGLAND "/>
    <x v="131"/>
    <n v="14688"/>
    <n v="0"/>
    <n v="8042"/>
    <n v="0"/>
    <n v="0"/>
    <n v="957"/>
    <n v="6486"/>
    <n v="0"/>
    <n v="0"/>
    <n v="0"/>
    <n v="0"/>
    <n v="0"/>
    <n v="80"/>
    <n v="8"/>
    <n v="4304"/>
    <n v="0"/>
    <n v="0"/>
    <n v="2198"/>
    <n v="22730"/>
    <n v="6486"/>
    <n v="6502"/>
  </r>
  <r>
    <s v="Monthly-AE-February-2025-revised.csv"/>
    <x v="5"/>
    <s v="RCU"/>
    <s v="NHS ENGLAND NORTH EAST AND YORKSHIRE "/>
    <x v="81"/>
    <n v="3892"/>
    <n v="0"/>
    <n v="451"/>
    <n v="272"/>
    <n v="0"/>
    <n v="30"/>
    <n v="355"/>
    <n v="0"/>
    <n v="0"/>
    <n v="20"/>
    <n v="0"/>
    <n v="0"/>
    <n v="7"/>
    <n v="0"/>
    <n v="984"/>
    <n v="0"/>
    <n v="0"/>
    <n v="80"/>
    <n v="4343"/>
    <n v="355"/>
    <n v="1064"/>
  </r>
  <r>
    <s v="Monthly-AE-February-2025-revised.csv"/>
    <x v="5"/>
    <s v="REP"/>
    <s v="NHS ENGLAND NORTH WEST "/>
    <x v="83"/>
    <n v="0"/>
    <n v="1408"/>
    <n v="0"/>
    <n v="0"/>
    <n v="122"/>
    <n v="0"/>
    <n v="0"/>
    <n v="178"/>
    <n v="0"/>
    <n v="0"/>
    <n v="0"/>
    <n v="0"/>
    <n v="0"/>
    <n v="0"/>
    <n v="0"/>
    <n v="97"/>
    <n v="0"/>
    <n v="17"/>
    <n v="1408"/>
    <n v="178"/>
    <n v="114"/>
  </r>
  <r>
    <s v="Monthly-AE-February-2025-revised.csv"/>
    <x v="5"/>
    <s v="RJ2"/>
    <s v="NHS ENGLAND LONDON"/>
    <x v="169"/>
    <n v="12884"/>
    <n v="0"/>
    <n v="10368"/>
    <n v="0"/>
    <n v="0"/>
    <n v="0"/>
    <n v="6709"/>
    <n v="0"/>
    <n v="1259"/>
    <n v="0"/>
    <n v="0"/>
    <n v="0"/>
    <n v="1081"/>
    <n v="750"/>
    <n v="4406"/>
    <n v="0"/>
    <n v="0"/>
    <n v="1159"/>
    <n v="23252"/>
    <n v="7968"/>
    <n v="5565"/>
  </r>
  <r>
    <s v="Monthly-AE-February-2025-revised.csv"/>
    <x v="5"/>
    <s v="RJC"/>
    <s v="NHS ENGLAND MIDLANDS "/>
    <x v="138"/>
    <n v="7205"/>
    <n v="0"/>
    <n v="337"/>
    <n v="1"/>
    <n v="0"/>
    <n v="0"/>
    <n v="2448"/>
    <n v="0"/>
    <n v="0"/>
    <n v="0"/>
    <n v="0"/>
    <n v="0"/>
    <n v="383"/>
    <n v="36"/>
    <n v="2053"/>
    <n v="0"/>
    <n v="0"/>
    <n v="788"/>
    <n v="7542"/>
    <n v="2448"/>
    <n v="2841"/>
  </r>
  <r>
    <s v="Monthly-AE-February-2025-revised.csv"/>
    <x v="5"/>
    <s v="RJL"/>
    <s v="NHS ENGLAND NORTH EAST AND YORKSHIRE "/>
    <x v="188"/>
    <n v="8126"/>
    <n v="0"/>
    <n v="6287"/>
    <n v="0"/>
    <n v="0"/>
    <n v="390"/>
    <n v="4234"/>
    <n v="0"/>
    <n v="42"/>
    <n v="0"/>
    <n v="0"/>
    <n v="1"/>
    <n v="570"/>
    <n v="736"/>
    <n v="5129"/>
    <n v="0"/>
    <n v="0"/>
    <n v="421"/>
    <n v="14413"/>
    <n v="4276"/>
    <n v="5550"/>
  </r>
  <r>
    <s v="Monthly-AE-February-2025-revised.csv"/>
    <x v="5"/>
    <s v="RJZ"/>
    <s v="NHS ENGLAND LONDON"/>
    <x v="62"/>
    <n v="14118"/>
    <n v="0"/>
    <n v="8153"/>
    <n v="45"/>
    <n v="0"/>
    <n v="1120"/>
    <n v="6639"/>
    <n v="0"/>
    <n v="171"/>
    <n v="18"/>
    <n v="0"/>
    <n v="0"/>
    <n v="1404"/>
    <n v="1069"/>
    <n v="3307"/>
    <n v="0"/>
    <n v="0"/>
    <n v="329"/>
    <n v="22271"/>
    <n v="6810"/>
    <n v="3636"/>
  </r>
  <r>
    <s v="Monthly-AE-February-2025-revised.csv"/>
    <x v="5"/>
    <s v="RN5"/>
    <s v="NHS ENGLAND SOUTH EAST "/>
    <x v="110"/>
    <n v="9858"/>
    <n v="86"/>
    <n v="2684"/>
    <n v="0"/>
    <n v="0"/>
    <n v="81"/>
    <n v="4319"/>
    <n v="0"/>
    <n v="96"/>
    <n v="0"/>
    <n v="0"/>
    <n v="0"/>
    <n v="402"/>
    <n v="147"/>
    <n v="3947"/>
    <n v="10"/>
    <n v="23"/>
    <n v="1250"/>
    <n v="12628"/>
    <n v="4415"/>
    <n v="5230"/>
  </r>
  <r>
    <s v="Monthly-AE-February-2025-revised.csv"/>
    <x v="5"/>
    <s v="RN7"/>
    <s v="NHS ENGLAND SOUTH EAST "/>
    <x v="171"/>
    <n v="10568"/>
    <n v="0"/>
    <n v="3847"/>
    <n v="0"/>
    <n v="0"/>
    <n v="0"/>
    <n v="3504"/>
    <n v="0"/>
    <n v="16"/>
    <n v="0"/>
    <n v="0"/>
    <n v="0"/>
    <n v="484"/>
    <n v="497"/>
    <n v="3014"/>
    <n v="0"/>
    <n v="0"/>
    <n v="402"/>
    <n v="14415"/>
    <n v="3520"/>
    <n v="3416"/>
  </r>
  <r>
    <s v="Monthly-AE-February-2025-revised.csv"/>
    <x v="5"/>
    <s v="RNN"/>
    <s v="NHS ENGLAND NORTH EAST AND YORKSHIRE "/>
    <x v="111"/>
    <n v="7764"/>
    <n v="0"/>
    <n v="1625"/>
    <n v="324"/>
    <n v="0"/>
    <n v="32"/>
    <n v="3698"/>
    <n v="0"/>
    <n v="15"/>
    <n v="78"/>
    <n v="0"/>
    <n v="0"/>
    <n v="708"/>
    <n v="502"/>
    <n v="2205"/>
    <n v="0"/>
    <n v="0"/>
    <n v="661"/>
    <n v="9389"/>
    <n v="3713"/>
    <n v="2866"/>
  </r>
  <r>
    <s v="Monthly-AE-February-2025-revised.csv"/>
    <x v="5"/>
    <s v="RNS"/>
    <s v="NHS ENGLAND MIDLANDS "/>
    <x v="41"/>
    <n v="7851"/>
    <n v="515"/>
    <n v="2051"/>
    <n v="1282"/>
    <n v="0"/>
    <n v="282"/>
    <n v="3296"/>
    <n v="11"/>
    <n v="205"/>
    <n v="487"/>
    <n v="0"/>
    <n v="24"/>
    <n v="578"/>
    <n v="659"/>
    <n v="2110"/>
    <n v="0"/>
    <n v="0"/>
    <n v="767"/>
    <n v="10417"/>
    <n v="3512"/>
    <n v="2877"/>
  </r>
  <r>
    <s v="Monthly-AE-February-2025-revised.csv"/>
    <x v="5"/>
    <s v="RNZ"/>
    <s v="NHS ENGLAND SOUTH WEST "/>
    <x v="144"/>
    <n v="4104"/>
    <n v="276"/>
    <n v="1584"/>
    <n v="159"/>
    <n v="0"/>
    <n v="0"/>
    <n v="1929"/>
    <n v="0"/>
    <n v="0"/>
    <n v="79"/>
    <n v="0"/>
    <n v="0"/>
    <n v="477"/>
    <n v="52"/>
    <n v="1202"/>
    <n v="0"/>
    <n v="0"/>
    <n v="907"/>
    <n v="5964"/>
    <n v="1929"/>
    <n v="2109"/>
  </r>
  <r>
    <s v="Monthly-AE-February-2025-revised.csv"/>
    <x v="5"/>
    <s v="RR8"/>
    <s v="NHS ENGLAND NORTH EAST AND YORKSHIRE "/>
    <x v="149"/>
    <n v="16141"/>
    <n v="660"/>
    <n v="11206"/>
    <n v="7"/>
    <n v="0"/>
    <n v="80"/>
    <n v="7361"/>
    <n v="0"/>
    <n v="220"/>
    <n v="1"/>
    <n v="0"/>
    <n v="0"/>
    <n v="1511"/>
    <n v="581"/>
    <n v="3376"/>
    <n v="0"/>
    <n v="0"/>
    <n v="1133"/>
    <n v="28007"/>
    <n v="7581"/>
    <n v="4509"/>
  </r>
  <r>
    <s v="Monthly-AE-February-2025-revised.csv"/>
    <x v="5"/>
    <s v="RTE"/>
    <s v="NHS ENGLAND SOUTH WEST "/>
    <x v="151"/>
    <n v="11528"/>
    <n v="0"/>
    <n v="0"/>
    <n v="199"/>
    <n v="0"/>
    <n v="0"/>
    <n v="4563"/>
    <n v="0"/>
    <n v="0"/>
    <n v="58"/>
    <n v="0"/>
    <n v="0"/>
    <n v="378"/>
    <n v="423"/>
    <n v="2435"/>
    <n v="0"/>
    <n v="0"/>
    <n v="2179"/>
    <n v="11528"/>
    <n v="4563"/>
    <n v="4614"/>
  </r>
  <r>
    <s v="Monthly-AE-February-2025-revised.csv"/>
    <x v="5"/>
    <s v="RTQ"/>
    <s v="NHS ENGLAND SOUTH WEST "/>
    <x v="115"/>
    <n v="0"/>
    <n v="0"/>
    <n v="6854"/>
    <n v="0"/>
    <n v="0"/>
    <n v="0"/>
    <n v="0"/>
    <n v="0"/>
    <n v="56"/>
    <n v="0"/>
    <n v="0"/>
    <n v="0"/>
    <n v="0"/>
    <n v="0"/>
    <n v="0"/>
    <n v="0"/>
    <n v="0"/>
    <n v="20"/>
    <n v="6854"/>
    <n v="56"/>
    <n v="20"/>
  </r>
  <r>
    <s v="Monthly-AE-February-2025-revised.csv"/>
    <x v="5"/>
    <s v="RVJ"/>
    <s v="NHS ENGLAND SOUTH WEST "/>
    <x v="89"/>
    <n v="7931"/>
    <n v="0"/>
    <n v="0"/>
    <n v="10"/>
    <n v="0"/>
    <n v="0"/>
    <n v="3221"/>
    <n v="0"/>
    <n v="0"/>
    <n v="4"/>
    <n v="0"/>
    <n v="0"/>
    <n v="379"/>
    <n v="536"/>
    <n v="2563"/>
    <n v="0"/>
    <n v="0"/>
    <n v="2324"/>
    <n v="7931"/>
    <n v="3221"/>
    <n v="4887"/>
  </r>
  <r>
    <s v="Monthly-AE-February-2025-revised.csv"/>
    <x v="5"/>
    <s v="RVW"/>
    <s v="NHS ENGLAND NORTH EAST AND YORKSHIRE "/>
    <x v="90"/>
    <n v="4546"/>
    <n v="0"/>
    <n v="10231"/>
    <n v="0"/>
    <n v="0"/>
    <n v="0"/>
    <n v="2115"/>
    <n v="0"/>
    <n v="28"/>
    <n v="0"/>
    <n v="0"/>
    <n v="0"/>
    <n v="156"/>
    <n v="1"/>
    <n v="1581"/>
    <n v="0"/>
    <n v="408"/>
    <n v="2085"/>
    <n v="14777"/>
    <n v="2143"/>
    <n v="4074"/>
  </r>
  <r>
    <s v="Monthly-AE-February-2025-revised.csv"/>
    <x v="5"/>
    <s v="RXC"/>
    <s v="NHS ENGLAND SOUTH EAST "/>
    <x v="70"/>
    <n v="7068"/>
    <n v="0"/>
    <n v="2211"/>
    <n v="1705"/>
    <n v="0"/>
    <n v="1676"/>
    <n v="3415"/>
    <n v="0"/>
    <n v="115"/>
    <n v="0"/>
    <n v="0"/>
    <n v="0"/>
    <n v="219"/>
    <n v="76"/>
    <n v="2799"/>
    <n v="0"/>
    <n v="0"/>
    <n v="496"/>
    <n v="9279"/>
    <n v="3530"/>
    <n v="3295"/>
  </r>
  <r>
    <s v="Monthly-AE-February-2025-revised.csv"/>
    <x v="5"/>
    <s v="RY2"/>
    <s v="NHS ENGLAND NORTH WEST "/>
    <x v="73"/>
    <n v="0"/>
    <n v="0"/>
    <n v="2711"/>
    <n v="0"/>
    <n v="0"/>
    <n v="146"/>
    <n v="0"/>
    <n v="0"/>
    <n v="154"/>
    <n v="0"/>
    <n v="0"/>
    <n v="8"/>
    <n v="0"/>
    <n v="0"/>
    <n v="0"/>
    <n v="0"/>
    <n v="0"/>
    <n v="0"/>
    <n v="2711"/>
    <n v="154"/>
    <n v="0"/>
  </r>
  <r>
    <s v="Monthly-AE-February-2025-revised.csv"/>
    <x v="5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3"/>
    <n v="79"/>
    <n v="0"/>
    <n v="0"/>
    <n v="82"/>
  </r>
  <r>
    <s v="Monthly-AE-February-2025-revised.csv"/>
    <x v="5"/>
    <s v="RYR"/>
    <s v="NHS ENGLAND SOUTH EAST "/>
    <x v="122"/>
    <n v="23507"/>
    <n v="1239"/>
    <n v="1249"/>
    <n v="1582"/>
    <n v="0"/>
    <n v="611"/>
    <n v="9141"/>
    <n v="31"/>
    <n v="149"/>
    <n v="394"/>
    <n v="0"/>
    <n v="2"/>
    <n v="799"/>
    <n v="962"/>
    <n v="7732"/>
    <n v="26"/>
    <n v="56"/>
    <n v="1395"/>
    <n v="25995"/>
    <n v="9321"/>
    <n v="9209"/>
  </r>
  <r>
    <s v="Monthly-AE-February-2025-revised.csv"/>
    <x v="5"/>
    <s v="C83023"/>
    <s v="NHS ENGLAND MIDLANDS "/>
    <x v="190"/>
    <n v="0"/>
    <n v="0"/>
    <n v="490"/>
    <n v="0"/>
    <n v="0"/>
    <n v="0"/>
    <n v="0"/>
    <n v="0"/>
    <n v="0"/>
    <n v="0"/>
    <n v="0"/>
    <n v="0"/>
    <n v="0"/>
    <n v="0"/>
    <n v="0"/>
    <n v="0"/>
    <n v="0"/>
    <n v="0"/>
    <n v="490"/>
    <n v="0"/>
    <n v="0"/>
  </r>
  <r>
    <s v="Monthly-AE-February-2025-revised.csv"/>
    <x v="5"/>
    <s v="R1F"/>
    <s v="NHS ENGLAND SOUTH EAST "/>
    <x v="127"/>
    <n v="4136"/>
    <n v="318"/>
    <n v="1275"/>
    <n v="22"/>
    <n v="0"/>
    <n v="18"/>
    <n v="1678"/>
    <n v="0"/>
    <n v="0"/>
    <n v="8"/>
    <n v="0"/>
    <n v="0"/>
    <n v="207"/>
    <n v="68"/>
    <n v="1161"/>
    <n v="0"/>
    <n v="0"/>
    <n v="103"/>
    <n v="5729"/>
    <n v="1678"/>
    <n v="1264"/>
  </r>
  <r>
    <s v="Monthly-AE-February-2025-revised.csv"/>
    <x v="5"/>
    <s v="R1H"/>
    <s v="NHS ENGLAND LONDON"/>
    <x v="96"/>
    <n v="22906"/>
    <n v="837"/>
    <n v="16926"/>
    <n v="0"/>
    <n v="0"/>
    <n v="0"/>
    <n v="10470"/>
    <n v="24"/>
    <n v="1686"/>
    <n v="0"/>
    <n v="0"/>
    <n v="0"/>
    <n v="1025"/>
    <n v="962"/>
    <n v="4110"/>
    <n v="0"/>
    <n v="33"/>
    <n v="1051"/>
    <n v="40669"/>
    <n v="12180"/>
    <n v="5194"/>
  </r>
  <r>
    <s v="Monthly-AE-February-2025-revised.csv"/>
    <x v="5"/>
    <s v="RAE"/>
    <s v="NHS ENGLAND NORTH EAST AND YORKSHIRE "/>
    <x v="79"/>
    <n v="8651"/>
    <n v="881"/>
    <n v="2733"/>
    <n v="0"/>
    <n v="0"/>
    <n v="0"/>
    <n v="2191"/>
    <n v="0"/>
    <n v="2"/>
    <n v="0"/>
    <n v="0"/>
    <n v="0"/>
    <n v="574"/>
    <n v="124"/>
    <n v="2311"/>
    <n v="0"/>
    <n v="18"/>
    <n v="1393"/>
    <n v="12265"/>
    <n v="2193"/>
    <n v="3722"/>
  </r>
  <r>
    <s v="Monthly-AE-February-2025-revised.csv"/>
    <x v="5"/>
    <s v="RBK"/>
    <s v="NHS ENGLAND MIDLANDS "/>
    <x v="102"/>
    <n v="8257"/>
    <n v="0"/>
    <n v="4002"/>
    <n v="34"/>
    <n v="0"/>
    <n v="133"/>
    <n v="3202"/>
    <n v="0"/>
    <n v="113"/>
    <n v="13"/>
    <n v="0"/>
    <n v="0"/>
    <n v="1173"/>
    <n v="358"/>
    <n v="3483"/>
    <n v="0"/>
    <n v="0"/>
    <n v="707"/>
    <n v="12259"/>
    <n v="3315"/>
    <n v="4190"/>
  </r>
  <r>
    <s v="Monthly-AE-February-2025-revised.csv"/>
    <x v="5"/>
    <s v="RBS"/>
    <s v="NHS ENGLAND NORTH WEST "/>
    <x v="80"/>
    <n v="5570"/>
    <n v="0"/>
    <n v="0"/>
    <n v="0"/>
    <n v="0"/>
    <n v="0"/>
    <n v="1182"/>
    <n v="0"/>
    <n v="0"/>
    <n v="0"/>
    <n v="0"/>
    <n v="0"/>
    <n v="1"/>
    <n v="0"/>
    <n v="816"/>
    <n v="0"/>
    <n v="0"/>
    <n v="272"/>
    <n v="5570"/>
    <n v="1182"/>
    <n v="1088"/>
  </r>
  <r>
    <s v="Monthly-AE-February-2025-revised.csv"/>
    <x v="5"/>
    <s v="RCB"/>
    <s v="NHS ENGLAND NORTH EAST AND YORKSHIRE "/>
    <x v="103"/>
    <n v="9502"/>
    <n v="321"/>
    <n v="6536"/>
    <n v="0"/>
    <n v="0"/>
    <n v="0"/>
    <n v="5345"/>
    <n v="0"/>
    <n v="191"/>
    <n v="0"/>
    <n v="0"/>
    <n v="0"/>
    <n v="704"/>
    <n v="433"/>
    <n v="4251"/>
    <n v="0"/>
    <n v="0"/>
    <n v="1416"/>
    <n v="16359"/>
    <n v="5536"/>
    <n v="5667"/>
  </r>
  <r>
    <s v="Monthly-AE-February-2025-revised.csv"/>
    <x v="5"/>
    <s v="RCF"/>
    <s v="NHS ENGLAND NORTH EAST AND YORKSHIRE "/>
    <x v="104"/>
    <n v="5169"/>
    <n v="217"/>
    <n v="0"/>
    <n v="476"/>
    <n v="0"/>
    <n v="0"/>
    <n v="2298"/>
    <n v="0"/>
    <n v="0"/>
    <n v="0"/>
    <n v="0"/>
    <n v="0"/>
    <n v="446"/>
    <n v="162"/>
    <n v="1442"/>
    <n v="0"/>
    <n v="0"/>
    <n v="488"/>
    <n v="5386"/>
    <n v="2298"/>
    <n v="1930"/>
  </r>
  <r>
    <s v="Monthly-AE-February-2025-revised.csv"/>
    <x v="5"/>
    <s v="RDE"/>
    <s v="NHS ENGLAND EAST OF ENGLAND "/>
    <x v="132"/>
    <n v="11244"/>
    <n v="0"/>
    <n v="13498"/>
    <n v="1004"/>
    <n v="0"/>
    <n v="568"/>
    <n v="6074"/>
    <n v="0"/>
    <n v="374"/>
    <n v="0"/>
    <n v="0"/>
    <n v="0"/>
    <n v="993"/>
    <n v="778"/>
    <n v="5855"/>
    <n v="0"/>
    <n v="359"/>
    <n v="1040"/>
    <n v="24742"/>
    <n v="6448"/>
    <n v="7254"/>
  </r>
  <r>
    <s v="Monthly-AE-February-2025-revised.csv"/>
    <x v="5"/>
    <s v="RDR"/>
    <s v="NHS ENGLAND SOUTH EAST "/>
    <x v="166"/>
    <n v="0"/>
    <n v="0"/>
    <n v="10491"/>
    <n v="0"/>
    <n v="0"/>
    <n v="0"/>
    <n v="0"/>
    <n v="0"/>
    <n v="101"/>
    <n v="0"/>
    <n v="0"/>
    <n v="0"/>
    <n v="0"/>
    <n v="0"/>
    <n v="0"/>
    <n v="0"/>
    <n v="0"/>
    <n v="0"/>
    <n v="10491"/>
    <n v="101"/>
    <n v="0"/>
  </r>
  <r>
    <s v="Monthly-AE-February-2025-revised.csv"/>
    <x v="5"/>
    <s v="RFS"/>
    <s v="NHS ENGLAND MIDLANDS "/>
    <x v="133"/>
    <n v="5996"/>
    <n v="0"/>
    <n v="5491"/>
    <n v="334"/>
    <n v="0"/>
    <n v="159"/>
    <n v="3019"/>
    <n v="0"/>
    <n v="296"/>
    <n v="150"/>
    <n v="0"/>
    <n v="12"/>
    <n v="841"/>
    <n v="151"/>
    <n v="2491"/>
    <n v="0"/>
    <n v="208"/>
    <n v="611"/>
    <n v="11487"/>
    <n v="3315"/>
    <n v="3310"/>
  </r>
  <r>
    <s v="Monthly-AE-February-2025-revised.csv"/>
    <x v="5"/>
    <s v="RHM"/>
    <s v="NHS ENGLAND SOUTH EAST "/>
    <x v="134"/>
    <n v="10784"/>
    <n v="1122"/>
    <n v="0"/>
    <n v="299"/>
    <n v="0"/>
    <n v="0"/>
    <n v="4900"/>
    <n v="159"/>
    <n v="0"/>
    <n v="137"/>
    <n v="0"/>
    <n v="0"/>
    <n v="481"/>
    <n v="11"/>
    <n v="3568"/>
    <n v="17"/>
    <n v="0"/>
    <n v="1465"/>
    <n v="11906"/>
    <n v="5059"/>
    <n v="5050"/>
  </r>
  <r>
    <s v="Monthly-AE-February-2025-revised.csv"/>
    <x v="5"/>
    <s v="RJ1"/>
    <s v="NHS ENGLAND LONDON"/>
    <x v="135"/>
    <n v="9085"/>
    <n v="702"/>
    <n v="6171"/>
    <n v="0"/>
    <n v="0"/>
    <n v="0"/>
    <n v="3570"/>
    <n v="20"/>
    <n v="137"/>
    <n v="0"/>
    <n v="0"/>
    <n v="0"/>
    <n v="140"/>
    <n v="19"/>
    <n v="1883"/>
    <n v="0"/>
    <n v="0"/>
    <n v="232"/>
    <n v="15958"/>
    <n v="3727"/>
    <n v="2115"/>
  </r>
  <r>
    <s v="Monthly-AE-February-2025-revised.csv"/>
    <x v="5"/>
    <s v="RJ6"/>
    <s v="NHS ENGLAND LONDON"/>
    <x v="136"/>
    <n v="11931"/>
    <n v="0"/>
    <n v="4589"/>
    <n v="0"/>
    <n v="0"/>
    <n v="0"/>
    <n v="4204"/>
    <n v="0"/>
    <n v="0"/>
    <n v="0"/>
    <n v="0"/>
    <n v="0"/>
    <n v="286"/>
    <n v="446"/>
    <n v="1139"/>
    <n v="0"/>
    <n v="0"/>
    <n v="125"/>
    <n v="16520"/>
    <n v="4204"/>
    <n v="1264"/>
  </r>
  <r>
    <s v="Monthly-AE-February-2025-revised.csv"/>
    <x v="5"/>
    <s v="RK5"/>
    <s v="NHS ENGLAND MIDLANDS "/>
    <x v="109"/>
    <n v="9495"/>
    <n v="0"/>
    <n v="5178"/>
    <n v="372"/>
    <n v="0"/>
    <n v="157"/>
    <n v="4191"/>
    <n v="0"/>
    <n v="493"/>
    <n v="154"/>
    <n v="0"/>
    <n v="4"/>
    <n v="653"/>
    <n v="170"/>
    <n v="3531"/>
    <n v="0"/>
    <n v="0"/>
    <n v="283"/>
    <n v="14673"/>
    <n v="4684"/>
    <n v="3814"/>
  </r>
  <r>
    <s v="Monthly-AE-February-2025-revised.csv"/>
    <x v="5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0"/>
    <n v="0"/>
    <n v="27"/>
  </r>
  <r>
    <s v="Monthly-AE-February-2025-revised.csv"/>
    <x v="5"/>
    <s v="RMP"/>
    <s v="NHS ENGLAND NORTH WEST "/>
    <x v="143"/>
    <n v="7669"/>
    <n v="0"/>
    <n v="2834"/>
    <n v="319"/>
    <n v="0"/>
    <n v="90"/>
    <n v="3540"/>
    <n v="0"/>
    <n v="53"/>
    <n v="0"/>
    <n v="0"/>
    <n v="0"/>
    <n v="540"/>
    <n v="327"/>
    <n v="1470"/>
    <n v="0"/>
    <n v="0"/>
    <n v="234"/>
    <n v="10503"/>
    <n v="3593"/>
    <n v="1704"/>
  </r>
  <r>
    <s v="Monthly-AE-February-2025-revised.csv"/>
    <x v="5"/>
    <s v="RP5"/>
    <s v="NHS ENGLAND NORTH EAST AND YORKSHIRE "/>
    <x v="145"/>
    <n v="12394"/>
    <n v="0"/>
    <n v="3649"/>
    <n v="0"/>
    <n v="0"/>
    <n v="0"/>
    <n v="4429"/>
    <n v="0"/>
    <n v="1"/>
    <n v="0"/>
    <n v="0"/>
    <n v="0"/>
    <n v="1027"/>
    <n v="124"/>
    <n v="3496"/>
    <n v="0"/>
    <n v="217"/>
    <n v="1025"/>
    <n v="16043"/>
    <n v="4430"/>
    <n v="4738"/>
  </r>
  <r>
    <s v="Monthly-AE-February-2025-revised.csv"/>
    <x v="5"/>
    <s v="RP6"/>
    <s v="NHS ENGLAND LONDON"/>
    <x v="65"/>
    <n v="0"/>
    <n v="5007"/>
    <n v="0"/>
    <n v="0"/>
    <n v="0"/>
    <n v="0"/>
    <n v="0"/>
    <n v="65"/>
    <n v="0"/>
    <n v="0"/>
    <n v="0"/>
    <n v="0"/>
    <n v="0"/>
    <n v="0"/>
    <n v="0"/>
    <n v="0"/>
    <n v="0"/>
    <n v="186"/>
    <n v="5007"/>
    <n v="65"/>
    <n v="186"/>
  </r>
  <r>
    <s v="Monthly-AE-February-2025-revised.csv"/>
    <x v="5"/>
    <s v="RPA"/>
    <s v="NHS ENGLAND SOUTH EAST "/>
    <x v="146"/>
    <n v="7722"/>
    <n v="0"/>
    <n v="6157"/>
    <n v="249"/>
    <n v="0"/>
    <n v="1184"/>
    <n v="2739"/>
    <n v="0"/>
    <n v="623"/>
    <n v="75"/>
    <n v="0"/>
    <n v="0"/>
    <n v="269"/>
    <n v="707"/>
    <n v="1577"/>
    <n v="0"/>
    <n v="0"/>
    <n v="459"/>
    <n v="13879"/>
    <n v="3362"/>
    <n v="2036"/>
  </r>
  <r>
    <s v="Monthly-AE-February-2025-revised.csv"/>
    <x v="5"/>
    <s v="RRF"/>
    <s v="NHS ENGLAND NORTH WEST "/>
    <x v="150"/>
    <n v="6655"/>
    <n v="0"/>
    <n v="4556"/>
    <n v="0"/>
    <n v="0"/>
    <n v="0"/>
    <n v="3542"/>
    <n v="0"/>
    <n v="73"/>
    <n v="0"/>
    <n v="0"/>
    <n v="0"/>
    <n v="1015"/>
    <n v="440"/>
    <n v="1981"/>
    <n v="0"/>
    <n v="0"/>
    <n v="622"/>
    <n v="11211"/>
    <n v="3615"/>
    <n v="2603"/>
  </r>
  <r>
    <s v="Monthly-AE-February-2025-revised.csv"/>
    <x v="5"/>
    <s v="RTD"/>
    <s v="NHS ENGLAND NORTH EAST AND YORKSHIRE "/>
    <x v="180"/>
    <n v="11293"/>
    <n v="1530"/>
    <n v="4882"/>
    <n v="0"/>
    <n v="0"/>
    <n v="1063"/>
    <n v="4249"/>
    <n v="110"/>
    <n v="5"/>
    <n v="0"/>
    <n v="0"/>
    <n v="0"/>
    <n v="544"/>
    <n v="35"/>
    <n v="3415"/>
    <n v="17"/>
    <n v="0"/>
    <n v="2611"/>
    <n v="17705"/>
    <n v="4364"/>
    <n v="6043"/>
  </r>
  <r>
    <s v="Monthly-AE-February-2025-revised.csv"/>
    <x v="5"/>
    <s v="RTF"/>
    <s v="NHS ENGLAND NORTH EAST AND YORKSHIRE "/>
    <x v="152"/>
    <n v="8770"/>
    <n v="0"/>
    <n v="10454"/>
    <n v="0"/>
    <n v="0"/>
    <n v="0"/>
    <n v="2769"/>
    <n v="0"/>
    <n v="4"/>
    <n v="0"/>
    <n v="0"/>
    <n v="0"/>
    <n v="116"/>
    <n v="3"/>
    <n v="3496"/>
    <n v="0"/>
    <n v="16"/>
    <n v="315"/>
    <n v="19224"/>
    <n v="2773"/>
    <n v="3827"/>
  </r>
  <r>
    <s v="Monthly-AE-February-2025-revised.csv"/>
    <x v="5"/>
    <s v="RTG"/>
    <s v="NHS ENGLAND MIDLANDS "/>
    <x v="88"/>
    <n v="16929"/>
    <n v="0"/>
    <n v="8345"/>
    <n v="1333"/>
    <n v="0"/>
    <n v="22"/>
    <n v="7999"/>
    <n v="0"/>
    <n v="7"/>
    <n v="318"/>
    <n v="0"/>
    <n v="0"/>
    <n v="905"/>
    <n v="862"/>
    <n v="3737"/>
    <n v="0"/>
    <n v="1"/>
    <n v="1787"/>
    <n v="25274"/>
    <n v="8006"/>
    <n v="5525"/>
  </r>
  <r>
    <s v="Monthly-AE-February-2025-revised.csv"/>
    <x v="5"/>
    <s v="RTX"/>
    <s v="NHS ENGLAND NORTH WEST "/>
    <x v="172"/>
    <n v="8117"/>
    <n v="0"/>
    <n v="2267"/>
    <n v="60"/>
    <n v="0"/>
    <n v="1472"/>
    <n v="2707"/>
    <n v="0"/>
    <n v="51"/>
    <n v="11"/>
    <n v="0"/>
    <n v="48"/>
    <n v="558"/>
    <n v="382"/>
    <n v="2905"/>
    <n v="0"/>
    <n v="18"/>
    <n v="856"/>
    <n v="10384"/>
    <n v="2758"/>
    <n v="3779"/>
  </r>
  <r>
    <s v="Monthly-AE-February-2025-revised.csv"/>
    <x v="5"/>
    <s v="RVV"/>
    <s v="NHS ENGLAND SOUTH EAST "/>
    <x v="155"/>
    <n v="11788"/>
    <n v="0"/>
    <n v="11781"/>
    <n v="0"/>
    <n v="0"/>
    <n v="0"/>
    <n v="5878"/>
    <n v="0"/>
    <n v="441"/>
    <n v="0"/>
    <n v="0"/>
    <n v="0"/>
    <n v="346"/>
    <n v="1177"/>
    <n v="2602"/>
    <n v="0"/>
    <n v="476"/>
    <n v="477"/>
    <n v="23569"/>
    <n v="6319"/>
    <n v="3555"/>
  </r>
  <r>
    <s v="Monthly-AE-February-2025-revised.csv"/>
    <x v="5"/>
    <s v="RWA"/>
    <s v="NHS ENGLAND NORTH EAST AND YORKSHIRE "/>
    <x v="116"/>
    <n v="8151"/>
    <n v="0"/>
    <n v="4608"/>
    <n v="0"/>
    <n v="0"/>
    <n v="0"/>
    <n v="4986"/>
    <n v="0"/>
    <n v="401"/>
    <n v="0"/>
    <n v="0"/>
    <n v="0"/>
    <n v="924"/>
    <n v="391"/>
    <n v="3249"/>
    <n v="0"/>
    <n v="0"/>
    <n v="2011"/>
    <n v="12759"/>
    <n v="5387"/>
    <n v="5260"/>
  </r>
  <r>
    <s v="Monthly-AE-February-2025-revised.csv"/>
    <x v="5"/>
    <s v="RWD"/>
    <s v="NHS ENGLAND MIDLANDS "/>
    <x v="202"/>
    <n v="14759"/>
    <n v="0"/>
    <n v="3331"/>
    <n v="0"/>
    <n v="0"/>
    <n v="0"/>
    <n v="6039"/>
    <n v="0"/>
    <n v="598"/>
    <n v="0"/>
    <n v="0"/>
    <n v="0"/>
    <n v="803"/>
    <n v="1070"/>
    <n v="4170"/>
    <n v="0"/>
    <n v="0"/>
    <n v="1118"/>
    <n v="18090"/>
    <n v="6637"/>
    <n v="5288"/>
  </r>
  <r>
    <s v="Monthly-AE-February-2025-revised.csv"/>
    <x v="5"/>
    <s v="RWF"/>
    <s v="NHS ENGLAND SOUTH EAST "/>
    <x v="118"/>
    <n v="16890"/>
    <n v="0"/>
    <n v="1982"/>
    <n v="793"/>
    <n v="0"/>
    <n v="223"/>
    <n v="3358"/>
    <n v="0"/>
    <n v="13"/>
    <n v="103"/>
    <n v="0"/>
    <n v="2"/>
    <n v="817"/>
    <n v="189"/>
    <n v="4950"/>
    <n v="0"/>
    <n v="0"/>
    <n v="914"/>
    <n v="18872"/>
    <n v="3371"/>
    <n v="5864"/>
  </r>
  <r>
    <s v="Monthly-AE-February-2025-revised.csv"/>
    <x v="5"/>
    <s v="RWW"/>
    <s v="NHS ENGLAND NORTH WEST "/>
    <x v="159"/>
    <n v="6149"/>
    <n v="0"/>
    <n v="2655"/>
    <n v="223"/>
    <n v="0"/>
    <n v="92"/>
    <n v="3291"/>
    <n v="0"/>
    <n v="62"/>
    <n v="70"/>
    <n v="0"/>
    <n v="4"/>
    <n v="532"/>
    <n v="908"/>
    <n v="1542"/>
    <n v="0"/>
    <n v="0"/>
    <n v="145"/>
    <n v="8804"/>
    <n v="3353"/>
    <n v="1687"/>
  </r>
  <r>
    <s v="Monthly-AE-February-2025-revised.csv"/>
    <x v="5"/>
    <s v="RXL"/>
    <s v="NHS ENGLAND NORTH WEST "/>
    <x v="72"/>
    <n v="7854"/>
    <n v="0"/>
    <n v="9854"/>
    <n v="307"/>
    <n v="0"/>
    <n v="322"/>
    <n v="3654"/>
    <n v="0"/>
    <n v="116"/>
    <n v="91"/>
    <n v="0"/>
    <n v="0"/>
    <n v="377"/>
    <n v="579"/>
    <n v="2405"/>
    <n v="0"/>
    <n v="0"/>
    <n v="1471"/>
    <n v="17708"/>
    <n v="3770"/>
    <n v="3876"/>
  </r>
  <r>
    <s v="Monthly-AE-February-2025-revised.csv"/>
    <x v="5"/>
    <s v="RXN"/>
    <s v="NHS ENGLAND NORTH WEST "/>
    <x v="91"/>
    <n v="10449"/>
    <n v="0"/>
    <n v="3136"/>
    <n v="259"/>
    <n v="0"/>
    <n v="80"/>
    <n v="4239"/>
    <n v="0"/>
    <n v="162"/>
    <n v="66"/>
    <n v="0"/>
    <n v="3"/>
    <n v="891"/>
    <n v="455"/>
    <n v="2100"/>
    <n v="0"/>
    <n v="84"/>
    <n v="1103"/>
    <n v="13585"/>
    <n v="4401"/>
    <n v="3287"/>
  </r>
  <r>
    <s v="Monthly-AE-February-2025-revised.csv"/>
    <x v="5"/>
    <s v="RXP"/>
    <s v="NHS ENGLAND NORTH EAST AND YORKSHIRE "/>
    <x v="161"/>
    <n v="11724"/>
    <n v="0"/>
    <n v="3703"/>
    <n v="0"/>
    <n v="0"/>
    <n v="7048"/>
    <n v="4853"/>
    <n v="0"/>
    <n v="0"/>
    <n v="0"/>
    <n v="0"/>
    <n v="0"/>
    <n v="1764"/>
    <n v="16"/>
    <n v="4006"/>
    <n v="0"/>
    <n v="0"/>
    <n v="741"/>
    <n v="15427"/>
    <n v="4853"/>
    <n v="4747"/>
  </r>
  <r>
    <s v="Monthly-AE-February-2025-revised.csv"/>
    <x v="5"/>
    <s v="RA7"/>
    <s v="NHS ENGLAND SOUTH WEST "/>
    <x v="78"/>
    <n v="13998"/>
    <n v="2114"/>
    <n v="0"/>
    <n v="0"/>
    <n v="0"/>
    <n v="0"/>
    <n v="5660"/>
    <n v="175"/>
    <n v="0"/>
    <n v="0"/>
    <n v="0"/>
    <n v="0"/>
    <n v="1118"/>
    <n v="664"/>
    <n v="4689"/>
    <n v="11"/>
    <n v="0"/>
    <n v="1483"/>
    <n v="16112"/>
    <n v="5835"/>
    <n v="6183"/>
  </r>
  <r>
    <s v="Monthly-AE-February-2025-revised.csv"/>
    <x v="5"/>
    <s v="RD1"/>
    <s v="NHS ENGLAND SOUTH WEST "/>
    <x v="165"/>
    <n v="7674"/>
    <n v="0"/>
    <n v="0"/>
    <n v="0"/>
    <n v="0"/>
    <n v="0"/>
    <n v="3269"/>
    <n v="0"/>
    <n v="0"/>
    <n v="0"/>
    <n v="0"/>
    <n v="0"/>
    <n v="763"/>
    <n v="205"/>
    <n v="2305"/>
    <n v="0"/>
    <n v="12"/>
    <n v="1594"/>
    <n v="7674"/>
    <n v="3269"/>
    <n v="3911"/>
  </r>
  <r>
    <s v="Monthly-AE-February-2025-revised.csv"/>
    <x v="5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n v="0"/>
    <n v="0"/>
    <n v="174"/>
  </r>
  <r>
    <s v="Monthly-AE-February-2025-revised.csv"/>
    <x v="5"/>
    <s v="RGT"/>
    <s v="NHS ENGLAND EAST OF ENGLAND "/>
    <x v="107"/>
    <n v="9643"/>
    <n v="0"/>
    <n v="5233"/>
    <n v="280"/>
    <n v="0"/>
    <n v="296"/>
    <n v="4689"/>
    <n v="0"/>
    <n v="44"/>
    <n v="85"/>
    <n v="0"/>
    <n v="7"/>
    <n v="406"/>
    <n v="630"/>
    <n v="2413"/>
    <n v="0"/>
    <n v="21"/>
    <n v="432"/>
    <n v="14876"/>
    <n v="4733"/>
    <n v="2866"/>
  </r>
  <r>
    <s v="Monthly-AE-February-2025-revised.csv"/>
    <x v="5"/>
    <s v="RHQ"/>
    <s v="NHS ENGLAND NORTH EAST AND YORKSHIRE "/>
    <x v="168"/>
    <n v="7927"/>
    <n v="1109"/>
    <n v="6570"/>
    <n v="366"/>
    <n v="1"/>
    <n v="1247"/>
    <n v="4223"/>
    <n v="0"/>
    <n v="295"/>
    <n v="175"/>
    <n v="0"/>
    <n v="10"/>
    <n v="943"/>
    <n v="8"/>
    <n v="3372"/>
    <n v="0"/>
    <n v="0"/>
    <n v="2795"/>
    <n v="15606"/>
    <n v="4518"/>
    <n v="6167"/>
  </r>
  <r>
    <s v="Monthly-AE-February-2025-revised.csv"/>
    <x v="5"/>
    <s v="RM1"/>
    <s v="NHS ENGLAND EAST OF ENGLAND "/>
    <x v="142"/>
    <n v="10792"/>
    <n v="0"/>
    <n v="7401"/>
    <n v="0"/>
    <n v="0"/>
    <n v="0"/>
    <n v="3503"/>
    <n v="0"/>
    <n v="0"/>
    <n v="0"/>
    <n v="0"/>
    <n v="0"/>
    <n v="902"/>
    <n v="294"/>
    <n v="2292"/>
    <n v="0"/>
    <n v="0"/>
    <n v="1500"/>
    <n v="18193"/>
    <n v="3503"/>
    <n v="3792"/>
  </r>
  <r>
    <s v="Monthly-AE-February-2025-revised.csv"/>
    <x v="5"/>
    <s v="RN3"/>
    <s v="NHS ENGLAND SOUTH WEST "/>
    <x v="179"/>
    <n v="4962"/>
    <n v="0"/>
    <n v="4772"/>
    <n v="0"/>
    <n v="0"/>
    <n v="0"/>
    <n v="2388"/>
    <n v="0"/>
    <n v="288"/>
    <n v="0"/>
    <n v="0"/>
    <n v="0"/>
    <n v="403"/>
    <n v="378"/>
    <n v="2201"/>
    <n v="0"/>
    <n v="0"/>
    <n v="1323"/>
    <n v="9734"/>
    <n v="2676"/>
    <n v="3524"/>
  </r>
  <r>
    <s v="Monthly-AE-February-2025-revised.csv"/>
    <x v="5"/>
    <s v="RRV"/>
    <s v="NHS ENGLAND LONDON"/>
    <x v="28"/>
    <n v="11981"/>
    <n v="0"/>
    <n v="0"/>
    <n v="367"/>
    <n v="0"/>
    <n v="0"/>
    <n v="3195"/>
    <n v="0"/>
    <n v="0"/>
    <n v="0"/>
    <n v="0"/>
    <n v="0"/>
    <n v="309"/>
    <n v="203"/>
    <n v="1231"/>
    <n v="0"/>
    <n v="0"/>
    <n v="252"/>
    <n v="11981"/>
    <n v="3195"/>
    <n v="1483"/>
  </r>
  <r>
    <s v="Monthly-AE-February-2025-revised.csv"/>
    <x v="5"/>
    <s v="RVR"/>
    <s v="NHS ENGLAND LONDON"/>
    <x v="154"/>
    <n v="9712"/>
    <n v="355"/>
    <n v="1226"/>
    <n v="444"/>
    <n v="1"/>
    <n v="39"/>
    <n v="3009"/>
    <n v="0"/>
    <n v="72"/>
    <n v="54"/>
    <n v="0"/>
    <n v="0"/>
    <n v="243"/>
    <n v="652"/>
    <n v="1793"/>
    <n v="4"/>
    <n v="0"/>
    <n v="123"/>
    <n v="11293"/>
    <n v="3081"/>
    <n v="1920"/>
  </r>
  <r>
    <s v="Monthly-AE-February-2025-revised.csv"/>
    <x v="5"/>
    <s v="RWH"/>
    <s v="NHS ENGLAND EAST OF ENGLAND "/>
    <x v="157"/>
    <n v="8035"/>
    <n v="0"/>
    <n v="6880"/>
    <n v="0"/>
    <n v="0"/>
    <n v="0"/>
    <n v="4478"/>
    <n v="0"/>
    <n v="127"/>
    <n v="0"/>
    <n v="0"/>
    <n v="0"/>
    <n v="254"/>
    <n v="267"/>
    <n v="2493"/>
    <n v="0"/>
    <n v="5"/>
    <n v="226"/>
    <n v="14915"/>
    <n v="4605"/>
    <n v="2724"/>
  </r>
  <r>
    <s v="Monthly-AE-February-2025-revised.csv"/>
    <x v="5"/>
    <s v="RWX"/>
    <s v="NHS ENGLAND SOUTH EAST "/>
    <x v="173"/>
    <n v="0"/>
    <n v="0"/>
    <n v="1173"/>
    <n v="0"/>
    <n v="0"/>
    <n v="0"/>
    <n v="0"/>
    <n v="0"/>
    <n v="9"/>
    <n v="0"/>
    <n v="0"/>
    <n v="0"/>
    <n v="0"/>
    <n v="0"/>
    <n v="0"/>
    <n v="0"/>
    <n v="23"/>
    <n v="0"/>
    <n v="1173"/>
    <n v="9"/>
    <n v="23"/>
  </r>
  <r>
    <s v="Monthly-AE-February-2025-revised.csv"/>
    <x v="5"/>
    <s v="RHW"/>
    <s v="NHS ENGLAND SOUTH EAST "/>
    <x v="187"/>
    <n v="9494"/>
    <n v="2262"/>
    <n v="2057"/>
    <n v="818"/>
    <n v="17"/>
    <n v="0"/>
    <n v="3716"/>
    <n v="15"/>
    <n v="0"/>
    <n v="331"/>
    <n v="0"/>
    <n v="0"/>
    <n v="528"/>
    <n v="12"/>
    <n v="2192"/>
    <n v="1"/>
    <n v="0"/>
    <n v="405"/>
    <n v="13813"/>
    <n v="3731"/>
    <n v="2598"/>
  </r>
  <r>
    <s v="Monthly-AE-February-2025-revised.csv"/>
    <x v="5"/>
    <s v="RQ3"/>
    <s v="NHS ENGLAND MIDLANDS "/>
    <x v="189"/>
    <n v="4700"/>
    <n v="0"/>
    <n v="0"/>
    <n v="0"/>
    <n v="0"/>
    <n v="0"/>
    <n v="982"/>
    <n v="0"/>
    <n v="0"/>
    <n v="0"/>
    <n v="0"/>
    <n v="0"/>
    <n v="0"/>
    <n v="6"/>
    <n v="979"/>
    <n v="0"/>
    <n v="0"/>
    <n v="134"/>
    <n v="4700"/>
    <n v="982"/>
    <n v="1113"/>
  </r>
  <r>
    <s v="Monthly-AE-February-2025-revised.csv"/>
    <x v="5"/>
    <s v="RTH"/>
    <s v="NHS ENGLAND SOUTH EAST "/>
    <x v="196"/>
    <n v="11154"/>
    <n v="1621"/>
    <n v="2142"/>
    <n v="1587"/>
    <n v="0"/>
    <n v="86"/>
    <n v="4359"/>
    <n v="0"/>
    <n v="2"/>
    <n v="490"/>
    <n v="0"/>
    <n v="0"/>
    <n v="836"/>
    <n v="0"/>
    <n v="3945"/>
    <n v="102"/>
    <n v="6"/>
    <n v="4035"/>
    <n v="14917"/>
    <n v="4361"/>
    <n v="8088"/>
  </r>
  <r>
    <s v="Monthly-AE-February-2025-revised.csv"/>
    <x v="5"/>
    <s v="RJ7"/>
    <s v="NHS ENGLAND LONDON"/>
    <x v="137"/>
    <n v="8065"/>
    <n v="0"/>
    <n v="2886"/>
    <n v="492"/>
    <n v="0"/>
    <n v="0"/>
    <n v="2134"/>
    <n v="0"/>
    <n v="0"/>
    <n v="55"/>
    <n v="0"/>
    <n v="0"/>
    <n v="453"/>
    <n v="738"/>
    <n v="2380"/>
    <n v="0"/>
    <n v="0"/>
    <n v="672"/>
    <n v="10951"/>
    <n v="2134"/>
    <n v="3052"/>
  </r>
  <r>
    <s v="Monthly-AE-February-2025-revised.csv"/>
    <x v="5"/>
    <s v="RLT"/>
    <s v="NHS ENGLAND MIDLANDS "/>
    <x v="141"/>
    <n v="6292"/>
    <n v="0"/>
    <n v="1466"/>
    <n v="0"/>
    <n v="0"/>
    <n v="0"/>
    <n v="2296"/>
    <n v="0"/>
    <n v="62"/>
    <n v="0"/>
    <n v="0"/>
    <n v="0"/>
    <n v="316"/>
    <n v="392"/>
    <n v="982"/>
    <n v="0"/>
    <n v="0"/>
    <n v="1"/>
    <n v="7758"/>
    <n v="2358"/>
    <n v="983"/>
  </r>
  <r>
    <s v="Monthly-AE-February-2025-revised.csv"/>
    <x v="5"/>
    <s v="RXF"/>
    <s v="NHS ENGLAND NORTH EAST AND YORKSHIRE "/>
    <x v="160"/>
    <n v="14812"/>
    <n v="119"/>
    <n v="5233"/>
    <n v="112"/>
    <n v="0"/>
    <n v="63"/>
    <n v="6475"/>
    <n v="0"/>
    <n v="387"/>
    <n v="2"/>
    <n v="0"/>
    <n v="0"/>
    <n v="2042"/>
    <n v="458"/>
    <n v="3169"/>
    <n v="0"/>
    <n v="125"/>
    <n v="792"/>
    <n v="20164"/>
    <n v="6862"/>
    <n v="4086"/>
  </r>
  <r>
    <s v="Monthly-AE-February-2025-revised.csv"/>
    <x v="5"/>
    <s v="RBD"/>
    <s v="NHS ENGLAND SOUTH WEST "/>
    <x v="101"/>
    <n v="3471"/>
    <n v="0"/>
    <n v="0"/>
    <n v="341"/>
    <n v="0"/>
    <n v="3557"/>
    <n v="1509"/>
    <n v="0"/>
    <n v="0"/>
    <n v="101"/>
    <n v="0"/>
    <n v="6"/>
    <n v="192"/>
    <n v="24"/>
    <n v="1548"/>
    <n v="0"/>
    <n v="0"/>
    <n v="493"/>
    <n v="3471"/>
    <n v="1509"/>
    <n v="2041"/>
  </r>
  <r>
    <s v="Monthly-AE-February-2025-revised.csv"/>
    <x v="5"/>
    <s v="RM3"/>
    <s v="NHS ENGLAND NORTH WEST "/>
    <x v="193"/>
    <n v="22781"/>
    <n v="0"/>
    <n v="8419"/>
    <n v="0"/>
    <n v="0"/>
    <n v="0"/>
    <n v="9896"/>
    <n v="0"/>
    <n v="408"/>
    <n v="0"/>
    <n v="0"/>
    <n v="0"/>
    <n v="1156"/>
    <n v="1005"/>
    <n v="6566"/>
    <n v="0"/>
    <n v="314"/>
    <n v="1919"/>
    <n v="31200"/>
    <n v="10304"/>
    <n v="8799"/>
  </r>
  <r>
    <s v="Monthly-AE-February-2025-revised.csv"/>
    <x v="5"/>
    <s v="RBL"/>
    <s v="NHS ENGLAND NORTH WEST "/>
    <x v="183"/>
    <n v="6626"/>
    <n v="0"/>
    <n v="2815"/>
    <n v="0"/>
    <n v="0"/>
    <n v="187"/>
    <n v="3677"/>
    <n v="0"/>
    <n v="27"/>
    <n v="0"/>
    <n v="0"/>
    <n v="2"/>
    <n v="346"/>
    <n v="871"/>
    <n v="1781"/>
    <n v="0"/>
    <n v="0"/>
    <n v="1567"/>
    <n v="9441"/>
    <n v="3704"/>
    <n v="3348"/>
  </r>
  <r>
    <s v="Monthly-AE-February-2025-revised.csv"/>
    <x v="5"/>
    <s v="RYJ"/>
    <s v="NHS ENGLAND LONDON"/>
    <x v="163"/>
    <n v="11067"/>
    <n v="3367"/>
    <n v="6469"/>
    <n v="0"/>
    <n v="0"/>
    <n v="431"/>
    <n v="4982"/>
    <n v="39"/>
    <n v="361"/>
    <n v="0"/>
    <n v="0"/>
    <n v="0"/>
    <n v="617"/>
    <n v="364"/>
    <n v="3265"/>
    <n v="0"/>
    <n v="0"/>
    <n v="1042"/>
    <n v="20903"/>
    <n v="5382"/>
    <n v="4307"/>
  </r>
  <r>
    <s v="Monthly-AE-February-2025-revised.csv"/>
    <x v="5"/>
    <s v="NQT5F"/>
    <s v="NHS ENGLAND NORTH WEST "/>
    <x v="20"/>
    <n v="0"/>
    <n v="0"/>
    <n v="1730"/>
    <n v="0"/>
    <n v="0"/>
    <n v="0"/>
    <n v="0"/>
    <n v="0"/>
    <n v="6"/>
    <n v="0"/>
    <n v="0"/>
    <n v="0"/>
    <n v="0"/>
    <n v="0"/>
    <n v="0"/>
    <n v="0"/>
    <n v="0"/>
    <n v="0"/>
    <n v="1730"/>
    <n v="6"/>
    <n v="0"/>
  </r>
  <r>
    <s v="Monthly-AE-February-2025-revised.csv"/>
    <x v="5"/>
    <s v="NQT5H"/>
    <s v="NHS ENGLAND SOUTH WEST "/>
    <x v="21"/>
    <n v="0"/>
    <n v="0"/>
    <n v="913"/>
    <n v="0"/>
    <n v="0"/>
    <n v="0"/>
    <n v="0"/>
    <n v="0"/>
    <n v="5"/>
    <n v="0"/>
    <n v="0"/>
    <n v="0"/>
    <n v="0"/>
    <n v="0"/>
    <n v="0"/>
    <n v="0"/>
    <n v="0"/>
    <n v="0"/>
    <n v="913"/>
    <n v="5"/>
    <n v="0"/>
  </r>
  <r>
    <s v="Monthly-AE-February-2025-revised.csv"/>
    <x v="5"/>
    <s v="RX1"/>
    <s v="NHS ENGLAND MIDLANDS "/>
    <x v="69"/>
    <n v="14519"/>
    <n v="1625"/>
    <n v="882"/>
    <n v="0"/>
    <n v="0"/>
    <n v="0"/>
    <n v="7643"/>
    <n v="70"/>
    <n v="301"/>
    <n v="0"/>
    <n v="0"/>
    <n v="0"/>
    <n v="214"/>
    <n v="509"/>
    <n v="4242"/>
    <n v="0"/>
    <n v="0"/>
    <n v="3931"/>
    <n v="17026"/>
    <n v="8014"/>
    <n v="8173"/>
  </r>
  <r>
    <s v="Monthly-AE-February-2025-revised.csv"/>
    <x v="5"/>
    <s v="RH5"/>
    <s v="NHS ENGLAND SOUTH WEST "/>
    <x v="175"/>
    <n v="10816"/>
    <n v="0"/>
    <n v="8601"/>
    <n v="0"/>
    <n v="0"/>
    <n v="0"/>
    <n v="5066"/>
    <n v="0"/>
    <n v="168"/>
    <n v="0"/>
    <n v="0"/>
    <n v="0"/>
    <n v="575"/>
    <n v="271"/>
    <n v="2698"/>
    <n v="0"/>
    <n v="0"/>
    <n v="1604"/>
    <n v="19417"/>
    <n v="5234"/>
    <n v="4302"/>
  </r>
  <r>
    <s v="Monthly-AE-February-2025-revised.csv"/>
    <x v="5"/>
    <s v="RYY"/>
    <s v="NHS ENGLAND SOUTH EAST "/>
    <x v="48"/>
    <n v="0"/>
    <n v="0"/>
    <n v="8561"/>
    <n v="0"/>
    <n v="0"/>
    <n v="0"/>
    <n v="0"/>
    <n v="0"/>
    <n v="43"/>
    <n v="0"/>
    <n v="0"/>
    <n v="0"/>
    <n v="0"/>
    <n v="0"/>
    <n v="0"/>
    <n v="0"/>
    <n v="0"/>
    <n v="0"/>
    <n v="8561"/>
    <n v="43"/>
    <n v="0"/>
  </r>
  <r>
    <s v="Monthly-AE-February-2025-revised.csv"/>
    <x v="3"/>
    <s v="TOTAL"/>
    <s v="TOTAL"/>
    <x v="199"/>
    <n v="1241931"/>
    <n v="45071"/>
    <n v="721461"/>
    <n v="29405"/>
    <n v="611"/>
    <n v="49592"/>
    <n v="521619"/>
    <n v="1851"/>
    <n v="22206"/>
    <n v="7883"/>
    <n v="30"/>
    <n v="557"/>
    <n v="83614"/>
    <n v="47623"/>
    <n v="362605"/>
    <n v="1252"/>
    <n v="3721"/>
    <n v="128517"/>
    <n v="2008463"/>
    <n v="545676"/>
    <n v="496095"/>
  </r>
  <r>
    <s v="Monthly-AE-January-2025.csv"/>
    <x v="6"/>
    <s v="AQN04"/>
    <s v="NHS ENGLAND SOUTH EAST "/>
    <x v="4"/>
    <n v="0"/>
    <n v="0"/>
    <n v="2652"/>
    <n v="0"/>
    <n v="0"/>
    <n v="5"/>
    <n v="0"/>
    <n v="0"/>
    <n v="3"/>
    <n v="0"/>
    <n v="0"/>
    <n v="0"/>
    <n v="0"/>
    <n v="0"/>
    <n v="0"/>
    <n v="0"/>
    <n v="0"/>
    <n v="0"/>
    <n v="2652"/>
    <n v="3"/>
    <n v="0"/>
  </r>
  <r>
    <s v="Monthly-AE-January-2025.csv"/>
    <x v="6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45"/>
  </r>
  <r>
    <s v="Monthly-AE-January-2025.csv"/>
    <x v="6"/>
    <s v="RWY"/>
    <s v="NHS ENGLAND NORTH EAST AND YORKSHIRE "/>
    <x v="10"/>
    <n v="14485"/>
    <n v="0"/>
    <n v="0"/>
    <n v="0"/>
    <n v="0"/>
    <n v="0"/>
    <n v="4954"/>
    <n v="0"/>
    <n v="0"/>
    <n v="0"/>
    <n v="0"/>
    <n v="0"/>
    <n v="1427"/>
    <n v="33"/>
    <n v="2970"/>
    <n v="0"/>
    <n v="0"/>
    <n v="219"/>
    <n v="14485"/>
    <n v="4954"/>
    <n v="3189"/>
  </r>
  <r>
    <s v="Monthly-AE-January-2025.csv"/>
    <x v="6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January-2025.csv"/>
    <x v="6"/>
    <s v="AAH"/>
    <s v="NHS ENGLAND SOUTH WEST "/>
    <x v="0"/>
    <n v="0"/>
    <n v="0"/>
    <n v="599"/>
    <n v="0"/>
    <n v="0"/>
    <n v="0"/>
    <n v="0"/>
    <n v="0"/>
    <n v="0"/>
    <n v="0"/>
    <n v="0"/>
    <n v="0"/>
    <n v="0"/>
    <n v="0"/>
    <n v="0"/>
    <n v="0"/>
    <n v="0"/>
    <n v="0"/>
    <n v="599"/>
    <n v="0"/>
    <n v="0"/>
  </r>
  <r>
    <s v="Monthly-AE-January-2025.csv"/>
    <x v="6"/>
    <s v="AJN"/>
    <s v="NHS ENGLAND NORTH EAST AND YORKSHIRE "/>
    <x v="94"/>
    <n v="0"/>
    <n v="0"/>
    <n v="313"/>
    <n v="0"/>
    <n v="0"/>
    <n v="0"/>
    <n v="0"/>
    <n v="0"/>
    <n v="0"/>
    <n v="0"/>
    <n v="0"/>
    <n v="0"/>
    <n v="0"/>
    <n v="0"/>
    <n v="0"/>
    <n v="0"/>
    <n v="0"/>
    <n v="0"/>
    <n v="313"/>
    <n v="0"/>
    <n v="0"/>
  </r>
  <r>
    <s v="Monthly-AE-January-2025.csv"/>
    <x v="6"/>
    <s v="C82038"/>
    <s v="NHS ENGLAND MIDLANDS "/>
    <x v="31"/>
    <n v="0"/>
    <n v="0"/>
    <n v="305"/>
    <n v="0"/>
    <n v="0"/>
    <n v="0"/>
    <n v="0"/>
    <n v="0"/>
    <n v="0"/>
    <n v="0"/>
    <n v="0"/>
    <n v="0"/>
    <n v="0"/>
    <n v="0"/>
    <n v="0"/>
    <n v="0"/>
    <n v="0"/>
    <n v="0"/>
    <n v="305"/>
    <n v="0"/>
    <n v="0"/>
  </r>
  <r>
    <s v="Monthly-AE-January-2025.csv"/>
    <x v="6"/>
    <s v="NDJ"/>
    <s v="NHS ENGLAND SOUTH EAST "/>
    <x v="51"/>
    <n v="0"/>
    <n v="0"/>
    <n v="2070"/>
    <n v="0"/>
    <n v="0"/>
    <n v="0"/>
    <n v="0"/>
    <n v="0"/>
    <n v="0"/>
    <n v="0"/>
    <n v="0"/>
    <n v="0"/>
    <n v="0"/>
    <n v="0"/>
    <n v="0"/>
    <n v="0"/>
    <n v="0"/>
    <n v="0"/>
    <n v="2070"/>
    <n v="0"/>
    <n v="0"/>
  </r>
  <r>
    <s v="Monthly-AE-January-2025.csv"/>
    <x v="6"/>
    <s v="NQT5F"/>
    <s v="NHS ENGLAND NORTH WEST "/>
    <x v="20"/>
    <n v="0"/>
    <n v="0"/>
    <n v="1730"/>
    <n v="0"/>
    <n v="0"/>
    <n v="0"/>
    <n v="0"/>
    <n v="0"/>
    <n v="6"/>
    <n v="0"/>
    <n v="0"/>
    <n v="0"/>
    <n v="0"/>
    <n v="0"/>
    <n v="0"/>
    <n v="0"/>
    <n v="0"/>
    <n v="0"/>
    <n v="1730"/>
    <n v="6"/>
    <n v="0"/>
  </r>
  <r>
    <s v="Monthly-AE-January-2025.csv"/>
    <x v="6"/>
    <s v="NQT5H"/>
    <s v="NHS ENGLAND SOUTH WEST "/>
    <x v="21"/>
    <n v="0"/>
    <n v="0"/>
    <n v="913"/>
    <n v="0"/>
    <n v="0"/>
    <n v="0"/>
    <n v="0"/>
    <n v="0"/>
    <n v="5"/>
    <n v="0"/>
    <n v="0"/>
    <n v="0"/>
    <n v="0"/>
    <n v="0"/>
    <n v="0"/>
    <n v="0"/>
    <n v="0"/>
    <n v="0"/>
    <n v="913"/>
    <n v="5"/>
    <n v="0"/>
  </r>
  <r>
    <s v="Monthly-AE-January-2025.csv"/>
    <x v="6"/>
    <s v="NTP11"/>
    <s v="NHS ENGLAND SOUTH EAST "/>
    <x v="34"/>
    <n v="0"/>
    <n v="0"/>
    <n v="5148"/>
    <n v="0"/>
    <n v="0"/>
    <n v="0"/>
    <n v="0"/>
    <n v="0"/>
    <n v="268"/>
    <n v="0"/>
    <n v="0"/>
    <n v="0"/>
    <n v="0"/>
    <n v="0"/>
    <n v="0"/>
    <n v="0"/>
    <n v="0"/>
    <n v="0"/>
    <n v="5148"/>
    <n v="268"/>
    <n v="0"/>
  </r>
  <r>
    <s v="Monthly-AE-January-2025.csv"/>
    <x v="6"/>
    <s v="NTV0B"/>
    <s v="NHS ENGLAND SOUTH EAST "/>
    <x v="23"/>
    <n v="0"/>
    <n v="0"/>
    <n v="2292"/>
    <n v="0"/>
    <n v="0"/>
    <n v="0"/>
    <n v="0"/>
    <n v="0"/>
    <n v="91"/>
    <n v="0"/>
    <n v="0"/>
    <n v="0"/>
    <n v="0"/>
    <n v="0"/>
    <n v="0"/>
    <n v="0"/>
    <n v="0"/>
    <n v="0"/>
    <n v="2292"/>
    <n v="91"/>
    <n v="0"/>
  </r>
  <r>
    <s v="Monthly-AE-January-2025.csv"/>
    <x v="6"/>
    <s v="NTV0W"/>
    <s v="NHS ENGLAND SOUTH EAST "/>
    <x v="24"/>
    <n v="0"/>
    <n v="0"/>
    <n v="2535"/>
    <n v="0"/>
    <n v="0"/>
    <n v="0"/>
    <n v="0"/>
    <n v="0"/>
    <n v="48"/>
    <n v="0"/>
    <n v="0"/>
    <n v="0"/>
    <n v="0"/>
    <n v="0"/>
    <n v="0"/>
    <n v="0"/>
    <n v="0"/>
    <n v="0"/>
    <n v="2535"/>
    <n v="48"/>
    <n v="0"/>
  </r>
  <r>
    <s v="Monthly-AE-January-2025.csv"/>
    <x v="6"/>
    <s v="RBT"/>
    <s v="NHS ENGLAND NORTH WEST "/>
    <x v="130"/>
    <n v="6632"/>
    <n v="0"/>
    <n v="2710"/>
    <n v="0"/>
    <n v="0"/>
    <n v="52"/>
    <n v="4017"/>
    <n v="0"/>
    <n v="48"/>
    <n v="0"/>
    <n v="0"/>
    <n v="5"/>
    <n v="545"/>
    <n v="724"/>
    <n v="2149"/>
    <n v="0"/>
    <n v="0"/>
    <n v="1294"/>
    <n v="9342"/>
    <n v="4065"/>
    <n v="3443"/>
  </r>
  <r>
    <s v="Monthly-AE-January-2025.csv"/>
    <x v="6"/>
    <s v="RGP"/>
    <s v="NHS ENGLAND EAST OF ENGLAND "/>
    <x v="61"/>
    <n v="6535"/>
    <n v="0"/>
    <n v="1515"/>
    <n v="0"/>
    <n v="0"/>
    <n v="0"/>
    <n v="3057"/>
    <n v="0"/>
    <n v="0"/>
    <n v="0"/>
    <n v="0"/>
    <n v="0"/>
    <n v="606"/>
    <n v="456"/>
    <n v="1611"/>
    <n v="0"/>
    <n v="0"/>
    <n v="498"/>
    <n v="8050"/>
    <n v="3057"/>
    <n v="2109"/>
  </r>
  <r>
    <s v="Monthly-AE-January-2025.csv"/>
    <x v="6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10"/>
    <n v="81"/>
    <n v="0"/>
    <n v="0"/>
    <n v="91"/>
  </r>
  <r>
    <s v="Monthly-AE-January-2025.csv"/>
    <x v="6"/>
    <s v="RJN"/>
    <s v="NHS ENGLAND NORTH WEST "/>
    <x v="40"/>
    <n v="4011"/>
    <n v="0"/>
    <n v="0"/>
    <n v="78"/>
    <n v="0"/>
    <n v="59"/>
    <n v="2049"/>
    <n v="0"/>
    <n v="0"/>
    <n v="0"/>
    <n v="0"/>
    <n v="0"/>
    <n v="154"/>
    <n v="451"/>
    <n v="784"/>
    <n v="0"/>
    <n v="0"/>
    <n v="208"/>
    <n v="4011"/>
    <n v="2049"/>
    <n v="992"/>
  </r>
  <r>
    <s v="Monthly-AE-January-2025.csv"/>
    <x v="6"/>
    <s v="RV9"/>
    <s v="NHS ENGLAND NORTH EAST AND YORKSHIRE "/>
    <x v="67"/>
    <n v="0"/>
    <n v="0"/>
    <n v="974"/>
    <n v="0"/>
    <n v="0"/>
    <n v="29"/>
    <n v="0"/>
    <n v="0"/>
    <n v="6"/>
    <n v="0"/>
    <n v="0"/>
    <n v="0"/>
    <n v="0"/>
    <n v="0"/>
    <n v="0"/>
    <n v="0"/>
    <n v="0"/>
    <n v="0"/>
    <n v="974"/>
    <n v="6"/>
    <n v="0"/>
  </r>
  <r>
    <s v="Monthly-AE-January-2025.csv"/>
    <x v="6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04"/>
    <n v="0"/>
    <n v="0"/>
    <n v="104"/>
  </r>
  <r>
    <s v="Monthly-AE-January-2025.csv"/>
    <x v="6"/>
    <s v="RY7"/>
    <s v="NHS ENGLAND NORTH WEST "/>
    <x v="12"/>
    <n v="0"/>
    <n v="0"/>
    <n v="4232"/>
    <n v="0"/>
    <n v="0"/>
    <n v="0"/>
    <n v="0"/>
    <n v="0"/>
    <n v="265"/>
    <n v="0"/>
    <n v="0"/>
    <n v="0"/>
    <n v="0"/>
    <n v="0"/>
    <n v="0"/>
    <n v="0"/>
    <n v="0"/>
    <n v="0"/>
    <n v="4232"/>
    <n v="265"/>
    <n v="0"/>
  </r>
  <r>
    <s v="Monthly-AE-January-2025.csv"/>
    <x v="6"/>
    <s v="RYF"/>
    <s v="NHS ENGLAND SOUTH WEST "/>
    <x v="74"/>
    <n v="0"/>
    <n v="0"/>
    <n v="1619"/>
    <n v="0"/>
    <n v="0"/>
    <n v="16"/>
    <n v="0"/>
    <n v="0"/>
    <n v="35"/>
    <n v="0"/>
    <n v="0"/>
    <n v="0"/>
    <n v="0"/>
    <n v="0"/>
    <n v="0"/>
    <n v="0"/>
    <n v="0"/>
    <n v="0"/>
    <n v="1619"/>
    <n v="35"/>
    <n v="0"/>
  </r>
  <r>
    <s v="Monthly-AE-January-2025.csv"/>
    <x v="6"/>
    <s v="Y02532"/>
    <s v="NHS ENGLAND NORTH WEST "/>
    <x v="15"/>
    <n v="0"/>
    <n v="0"/>
    <n v="1666"/>
    <n v="0"/>
    <n v="0"/>
    <n v="0"/>
    <n v="0"/>
    <n v="0"/>
    <n v="8"/>
    <n v="0"/>
    <n v="0"/>
    <n v="0"/>
    <n v="0"/>
    <n v="0"/>
    <n v="0"/>
    <n v="0"/>
    <n v="0"/>
    <n v="0"/>
    <n v="1666"/>
    <n v="8"/>
    <n v="0"/>
  </r>
  <r>
    <s v="Monthly-AE-January-2025.csv"/>
    <x v="6"/>
    <s v="Y02615"/>
    <s v="NHS ENGLAND MIDLANDS "/>
    <x v="16"/>
    <n v="0"/>
    <n v="0"/>
    <n v="7079"/>
    <n v="0"/>
    <n v="0"/>
    <n v="0"/>
    <n v="0"/>
    <n v="0"/>
    <n v="0"/>
    <n v="0"/>
    <n v="0"/>
    <n v="0"/>
    <n v="0"/>
    <n v="0"/>
    <n v="0"/>
    <n v="0"/>
    <n v="0"/>
    <n v="0"/>
    <n v="7079"/>
    <n v="0"/>
    <n v="0"/>
  </r>
  <r>
    <s v="Monthly-AE-January-2025.csv"/>
    <x v="6"/>
    <s v="8J094"/>
    <s v="NHS ENGLAND MIDLANDS "/>
    <x v="2"/>
    <n v="0"/>
    <n v="0"/>
    <n v="0"/>
    <n v="0"/>
    <n v="0"/>
    <n v="1429"/>
    <n v="0"/>
    <n v="0"/>
    <n v="0"/>
    <n v="0"/>
    <n v="0"/>
    <n v="0"/>
    <n v="0"/>
    <n v="0"/>
    <n v="0"/>
    <n v="0"/>
    <n v="0"/>
    <n v="0"/>
    <n v="0"/>
    <n v="0"/>
    <n v="0"/>
  </r>
  <r>
    <s v="Monthly-AE-January-2025.csv"/>
    <x v="6"/>
    <s v="NQTE4"/>
    <s v="NHS ENGLAND MIDLANDS "/>
    <x v="6"/>
    <n v="0"/>
    <n v="0"/>
    <n v="3194"/>
    <n v="0"/>
    <n v="0"/>
    <n v="0"/>
    <n v="0"/>
    <n v="0"/>
    <n v="0"/>
    <n v="0"/>
    <n v="0"/>
    <n v="0"/>
    <n v="0"/>
    <n v="0"/>
    <n v="0"/>
    <n v="0"/>
    <n v="0"/>
    <n v="0"/>
    <n v="3194"/>
    <n v="0"/>
    <n v="0"/>
  </r>
  <r>
    <s v="Monthly-AE-January-2025.csv"/>
    <x v="6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87"/>
    <n v="0"/>
    <n v="0"/>
    <n v="187"/>
  </r>
  <r>
    <s v="Monthly-AE-January-2025.csv"/>
    <x v="6"/>
    <s v="RCD"/>
    <s v="NHS ENGLAND NORTH EAST AND YORKSHIRE "/>
    <x v="184"/>
    <n v="4739"/>
    <n v="0"/>
    <n v="836"/>
    <n v="361"/>
    <n v="0"/>
    <n v="42"/>
    <n v="1550"/>
    <n v="0"/>
    <n v="0"/>
    <n v="78"/>
    <n v="0"/>
    <n v="0"/>
    <n v="460"/>
    <n v="90"/>
    <n v="1173"/>
    <n v="0"/>
    <n v="0"/>
    <n v="289"/>
    <n v="5575"/>
    <n v="1550"/>
    <n v="1462"/>
  </r>
  <r>
    <s v="Monthly-AE-January-2025.csv"/>
    <x v="6"/>
    <s v="REM"/>
    <s v="NHS ENGLAND NORTH WEST "/>
    <x v="35"/>
    <n v="14224"/>
    <n v="1684"/>
    <n v="7490"/>
    <n v="499"/>
    <n v="0"/>
    <n v="0"/>
    <n v="6639"/>
    <n v="24"/>
    <n v="122"/>
    <n v="78"/>
    <n v="0"/>
    <n v="0"/>
    <n v="2034"/>
    <n v="1117"/>
    <n v="4597"/>
    <n v="0"/>
    <n v="0"/>
    <n v="2238"/>
    <n v="23398"/>
    <n v="6785"/>
    <n v="6835"/>
  </r>
  <r>
    <s v="Monthly-AE-January-2025.csv"/>
    <x v="6"/>
    <s v="RFF"/>
    <s v="NHS ENGLAND NORTH EAST AND YORKSHIRE "/>
    <x v="26"/>
    <n v="8663"/>
    <n v="0"/>
    <n v="0"/>
    <n v="20"/>
    <n v="0"/>
    <n v="0"/>
    <n v="3459"/>
    <n v="0"/>
    <n v="0"/>
    <n v="0"/>
    <n v="0"/>
    <n v="0"/>
    <n v="795"/>
    <n v="0"/>
    <n v="2894"/>
    <n v="0"/>
    <n v="0"/>
    <n v="516"/>
    <n v="8663"/>
    <n v="3459"/>
    <n v="3410"/>
  </r>
  <r>
    <s v="Monthly-AE-January-2025.csv"/>
    <x v="6"/>
    <s v="RNU"/>
    <s v="NHS ENGLAND SOUTH EAST "/>
    <x v="112"/>
    <n v="0"/>
    <n v="0"/>
    <n v="3531"/>
    <n v="0"/>
    <n v="0"/>
    <n v="0"/>
    <n v="0"/>
    <n v="0"/>
    <n v="314"/>
    <n v="0"/>
    <n v="0"/>
    <n v="0"/>
    <n v="0"/>
    <n v="0"/>
    <n v="0"/>
    <n v="0"/>
    <n v="0"/>
    <n v="0"/>
    <n v="3531"/>
    <n v="314"/>
    <n v="0"/>
  </r>
  <r>
    <s v="Monthly-AE-January-2025.csv"/>
    <x v="6"/>
    <s v="RPC"/>
    <s v="NHS ENGLAND SOUTH EAST "/>
    <x v="27"/>
    <n v="0"/>
    <n v="0"/>
    <n v="1279"/>
    <n v="0"/>
    <n v="0"/>
    <n v="0"/>
    <n v="0"/>
    <n v="0"/>
    <n v="1"/>
    <n v="0"/>
    <n v="0"/>
    <n v="0"/>
    <n v="0"/>
    <n v="0"/>
    <n v="0"/>
    <n v="0"/>
    <n v="3"/>
    <n v="444"/>
    <n v="1279"/>
    <n v="1"/>
    <n v="447"/>
  </r>
  <r>
    <s v="Monthly-AE-January-2025.csv"/>
    <x v="6"/>
    <s v="RTK"/>
    <s v="NHS ENGLAND SOUTH EAST "/>
    <x v="114"/>
    <n v="10059"/>
    <n v="0"/>
    <n v="0"/>
    <n v="0"/>
    <n v="0"/>
    <n v="0"/>
    <n v="3370"/>
    <n v="0"/>
    <n v="0"/>
    <n v="0"/>
    <n v="0"/>
    <n v="0"/>
    <n v="441"/>
    <n v="521"/>
    <n v="2810"/>
    <n v="0"/>
    <n v="0"/>
    <n v="725"/>
    <n v="10059"/>
    <n v="3370"/>
    <n v="3535"/>
  </r>
  <r>
    <s v="Monthly-AE-January-2025.csv"/>
    <x v="6"/>
    <s v="RTP"/>
    <s v="NHS ENGLAND SOUTH EAST "/>
    <x v="66"/>
    <n v="9612"/>
    <n v="0"/>
    <n v="0"/>
    <n v="0"/>
    <n v="0"/>
    <n v="0"/>
    <n v="3640"/>
    <n v="0"/>
    <n v="0"/>
    <n v="0"/>
    <n v="0"/>
    <n v="0"/>
    <n v="527"/>
    <n v="703"/>
    <n v="2940"/>
    <n v="0"/>
    <n v="0"/>
    <n v="922"/>
    <n v="9612"/>
    <n v="3640"/>
    <n v="3862"/>
  </r>
  <r>
    <s v="Monthly-AE-January-2025.csv"/>
    <x v="6"/>
    <s v="RW1"/>
    <s v="NHS ENGLAND SOUTH EAST "/>
    <x v="200"/>
    <n v="0"/>
    <n v="0"/>
    <n v="2632"/>
    <n v="0"/>
    <n v="0"/>
    <n v="0"/>
    <n v="0"/>
    <n v="0"/>
    <n v="56"/>
    <n v="0"/>
    <n v="0"/>
    <n v="0"/>
    <n v="0"/>
    <n v="0"/>
    <n v="0"/>
    <n v="0"/>
    <n v="0"/>
    <n v="132"/>
    <n v="2632"/>
    <n v="56"/>
    <n v="132"/>
  </r>
  <r>
    <s v="Monthly-AE-January-2025.csv"/>
    <x v="6"/>
    <s v="RY4"/>
    <s v="NHS ENGLAND EAST OF ENGLAND "/>
    <x v="93"/>
    <n v="0"/>
    <n v="0"/>
    <n v="1125"/>
    <n v="0"/>
    <n v="0"/>
    <n v="0"/>
    <n v="0"/>
    <n v="0"/>
    <n v="37"/>
    <n v="0"/>
    <n v="0"/>
    <n v="0"/>
    <n v="0"/>
    <n v="0"/>
    <n v="0"/>
    <n v="0"/>
    <n v="0"/>
    <n v="0"/>
    <n v="1125"/>
    <n v="37"/>
    <n v="0"/>
  </r>
  <r>
    <s v="Monthly-AE-January-2025.csv"/>
    <x v="6"/>
    <s v="Y02428"/>
    <s v="NHS ENGLAND EAST OF ENGLAND "/>
    <x v="49"/>
    <n v="0"/>
    <n v="0"/>
    <n v="3234"/>
    <n v="0"/>
    <n v="0"/>
    <n v="0"/>
    <n v="0"/>
    <n v="0"/>
    <n v="0"/>
    <n v="0"/>
    <n v="0"/>
    <n v="0"/>
    <n v="0"/>
    <n v="0"/>
    <n v="0"/>
    <n v="0"/>
    <n v="0"/>
    <n v="0"/>
    <n v="3234"/>
    <n v="0"/>
    <n v="0"/>
  </r>
  <r>
    <s v="Monthly-AE-January-2025.csv"/>
    <x v="6"/>
    <s v="Y02676"/>
    <s v="NHS ENGLAND SOUTH EAST "/>
    <x v="37"/>
    <n v="0"/>
    <n v="0"/>
    <n v="1987"/>
    <n v="0"/>
    <n v="0"/>
    <n v="0"/>
    <n v="0"/>
    <n v="0"/>
    <n v="0"/>
    <n v="0"/>
    <n v="0"/>
    <n v="0"/>
    <n v="0"/>
    <n v="0"/>
    <n v="0"/>
    <n v="0"/>
    <n v="0"/>
    <n v="0"/>
    <n v="1987"/>
    <n v="0"/>
    <n v="0"/>
  </r>
  <r>
    <s v="Monthly-AE-January-2025.csv"/>
    <x v="6"/>
    <s v="Y03007"/>
    <s v="NHS ENGLAND MIDLANDS "/>
    <x v="17"/>
    <n v="0"/>
    <n v="0"/>
    <n v="0"/>
    <n v="0"/>
    <n v="0"/>
    <n v="2337"/>
    <n v="0"/>
    <n v="0"/>
    <n v="0"/>
    <n v="0"/>
    <n v="0"/>
    <n v="0"/>
    <n v="0"/>
    <n v="0"/>
    <n v="0"/>
    <n v="0"/>
    <n v="0"/>
    <n v="0"/>
    <n v="0"/>
    <n v="0"/>
    <n v="0"/>
  </r>
  <r>
    <s v="Monthly-AE-January-2025.csv"/>
    <x v="6"/>
    <s v="NR3"/>
    <s v="NHS ENGLAND MIDLANDS "/>
    <x v="57"/>
    <n v="0"/>
    <n v="0"/>
    <n v="5135"/>
    <n v="0"/>
    <n v="0"/>
    <n v="274"/>
    <n v="0"/>
    <n v="0"/>
    <n v="604"/>
    <n v="0"/>
    <n v="0"/>
    <n v="0"/>
    <n v="0"/>
    <n v="0"/>
    <n v="0"/>
    <n v="0"/>
    <n v="0"/>
    <n v="0"/>
    <n v="5135"/>
    <n v="604"/>
    <n v="0"/>
  </r>
  <r>
    <s v="Monthly-AE-January-2025.csv"/>
    <x v="6"/>
    <s v="R0B"/>
    <s v="NHS ENGLAND NORTH EAST AND YORKSHIRE "/>
    <x v="44"/>
    <n v="10809"/>
    <n v="1172"/>
    <n v="5192"/>
    <n v="750"/>
    <n v="0"/>
    <n v="1490"/>
    <n v="6163"/>
    <n v="33"/>
    <n v="217"/>
    <n v="426"/>
    <n v="0"/>
    <n v="53"/>
    <n v="1224"/>
    <n v="55"/>
    <n v="4624"/>
    <n v="15"/>
    <n v="0"/>
    <n v="1150"/>
    <n v="17173"/>
    <n v="6413"/>
    <n v="5789"/>
  </r>
  <r>
    <s v="Monthly-AE-January-2025.csv"/>
    <x v="6"/>
    <s v="RA9"/>
    <s v="NHS ENGLAND SOUTH WEST "/>
    <x v="7"/>
    <n v="5843"/>
    <n v="0"/>
    <n v="2879"/>
    <n v="353"/>
    <n v="0"/>
    <n v="141"/>
    <n v="2900"/>
    <n v="0"/>
    <n v="14"/>
    <n v="155"/>
    <n v="0"/>
    <n v="0"/>
    <n v="396"/>
    <n v="70"/>
    <n v="2166"/>
    <n v="0"/>
    <n v="0"/>
    <n v="1229"/>
    <n v="8722"/>
    <n v="2914"/>
    <n v="3395"/>
  </r>
  <r>
    <s v="Monthly-AE-January-2025.csv"/>
    <x v="6"/>
    <s v="RCX"/>
    <s v="NHS ENGLAND EAST OF ENGLAND "/>
    <x v="185"/>
    <n v="6370"/>
    <n v="0"/>
    <n v="1131"/>
    <n v="0"/>
    <n v="0"/>
    <n v="0"/>
    <n v="2953"/>
    <n v="0"/>
    <n v="0"/>
    <n v="0"/>
    <n v="0"/>
    <n v="0"/>
    <n v="265"/>
    <n v="122"/>
    <n v="2035"/>
    <n v="0"/>
    <n v="0"/>
    <n v="313"/>
    <n v="7501"/>
    <n v="2953"/>
    <n v="2348"/>
  </r>
  <r>
    <s v="Monthly-AE-January-2025.csv"/>
    <x v="6"/>
    <s v="RXK"/>
    <s v="NHS ENGLAND MIDLANDS "/>
    <x v="119"/>
    <n v="10692"/>
    <n v="1103"/>
    <n v="8325"/>
    <n v="589"/>
    <n v="0"/>
    <n v="0"/>
    <n v="4832"/>
    <n v="183"/>
    <n v="294"/>
    <n v="0"/>
    <n v="0"/>
    <n v="0"/>
    <n v="804"/>
    <n v="196"/>
    <n v="2578"/>
    <n v="0"/>
    <n v="0"/>
    <n v="507"/>
    <n v="20120"/>
    <n v="5309"/>
    <n v="3085"/>
  </r>
  <r>
    <s v="Monthly-AE-January-2025.csv"/>
    <x v="6"/>
    <s v="C82009"/>
    <s v="NHS ENGLAND MIDLANDS "/>
    <x v="123"/>
    <n v="0"/>
    <n v="0"/>
    <n v="247"/>
    <n v="0"/>
    <n v="0"/>
    <n v="0"/>
    <n v="0"/>
    <n v="0"/>
    <n v="0"/>
    <n v="0"/>
    <n v="0"/>
    <n v="0"/>
    <n v="0"/>
    <n v="0"/>
    <n v="0"/>
    <n v="0"/>
    <n v="0"/>
    <n v="0"/>
    <n v="247"/>
    <n v="0"/>
    <n v="0"/>
  </r>
  <r>
    <s v="Monthly-AE-January-2025.csv"/>
    <x v="6"/>
    <s v="C83023"/>
    <s v="NHS ENGLAND MIDLANDS "/>
    <x v="190"/>
    <n v="0"/>
    <n v="0"/>
    <n v="495"/>
    <n v="0"/>
    <n v="0"/>
    <n v="0"/>
    <n v="0"/>
    <n v="0"/>
    <n v="0"/>
    <n v="0"/>
    <n v="0"/>
    <n v="0"/>
    <n v="0"/>
    <n v="0"/>
    <n v="0"/>
    <n v="0"/>
    <n v="0"/>
    <n v="0"/>
    <n v="495"/>
    <n v="0"/>
    <n v="0"/>
  </r>
  <r>
    <s v="Monthly-AE-January-2025.csv"/>
    <x v="6"/>
    <s v="DT301"/>
    <s v="NHS ENGLAND EAST OF ENGLAND "/>
    <x v="19"/>
    <n v="0"/>
    <n v="0"/>
    <n v="2063"/>
    <n v="0"/>
    <n v="0"/>
    <n v="0"/>
    <n v="0"/>
    <n v="0"/>
    <n v="56"/>
    <n v="0"/>
    <n v="0"/>
    <n v="0"/>
    <n v="0"/>
    <n v="0"/>
    <n v="0"/>
    <n v="0"/>
    <n v="0"/>
    <n v="0"/>
    <n v="2063"/>
    <n v="56"/>
    <n v="0"/>
  </r>
  <r>
    <s v="Monthly-AE-January-2025.csv"/>
    <x v="6"/>
    <s v="L83087"/>
    <s v="NHS ENGLAND SOUTH WEST "/>
    <x v="5"/>
    <n v="0"/>
    <n v="0"/>
    <n v="77"/>
    <n v="0"/>
    <n v="0"/>
    <n v="0"/>
    <n v="0"/>
    <n v="0"/>
    <n v="0"/>
    <n v="0"/>
    <n v="0"/>
    <n v="0"/>
    <n v="0"/>
    <n v="0"/>
    <n v="0"/>
    <n v="0"/>
    <n v="0"/>
    <n v="0"/>
    <n v="77"/>
    <n v="0"/>
    <n v="0"/>
  </r>
  <r>
    <s v="Monthly-AE-January-2025.csv"/>
    <x v="6"/>
    <s v="NL7"/>
    <s v="NHS ENGLAND MIDLANDS "/>
    <x v="95"/>
    <n v="0"/>
    <n v="0"/>
    <n v="4432"/>
    <n v="0"/>
    <n v="0"/>
    <n v="0"/>
    <n v="0"/>
    <n v="0"/>
    <n v="0"/>
    <n v="0"/>
    <n v="0"/>
    <n v="0"/>
    <n v="0"/>
    <n v="0"/>
    <n v="0"/>
    <n v="0"/>
    <n v="0"/>
    <n v="0"/>
    <n v="4432"/>
    <n v="0"/>
    <n v="0"/>
  </r>
  <r>
    <s v="Monthly-AE-January-2025.csv"/>
    <x v="6"/>
    <s v="NQT51"/>
    <s v="NHS ENGLAND SOUTH EAST "/>
    <x v="39"/>
    <n v="0"/>
    <n v="0"/>
    <n v="1090"/>
    <n v="0"/>
    <n v="0"/>
    <n v="0"/>
    <n v="0"/>
    <n v="0"/>
    <n v="0"/>
    <n v="0"/>
    <n v="0"/>
    <n v="0"/>
    <n v="0"/>
    <n v="0"/>
    <n v="0"/>
    <n v="0"/>
    <n v="0"/>
    <n v="0"/>
    <n v="1090"/>
    <n v="0"/>
    <n v="0"/>
  </r>
  <r>
    <s v="Monthly-AE-January-2025.csv"/>
    <x v="6"/>
    <s v="RA2"/>
    <s v="NHS ENGLAND SOUTH EAST "/>
    <x v="97"/>
    <n v="6385"/>
    <n v="0"/>
    <n v="1360"/>
    <n v="855"/>
    <n v="0"/>
    <n v="3"/>
    <n v="1892"/>
    <n v="0"/>
    <n v="0"/>
    <n v="180"/>
    <n v="0"/>
    <n v="0"/>
    <n v="414"/>
    <n v="13"/>
    <n v="2451"/>
    <n v="0"/>
    <n v="0"/>
    <n v="1165"/>
    <n v="7745"/>
    <n v="1892"/>
    <n v="3616"/>
  </r>
  <r>
    <s v="Monthly-AE-January-2025.csv"/>
    <x v="6"/>
    <s v="RAE"/>
    <s v="NHS ENGLAND NORTH EAST AND YORKSHIRE "/>
    <x v="79"/>
    <n v="8851"/>
    <n v="961"/>
    <n v="2947"/>
    <n v="0"/>
    <n v="0"/>
    <n v="0"/>
    <n v="2289"/>
    <n v="0"/>
    <n v="0"/>
    <n v="0"/>
    <n v="0"/>
    <n v="0"/>
    <n v="710"/>
    <n v="122"/>
    <n v="2521"/>
    <n v="0"/>
    <n v="33"/>
    <n v="1486"/>
    <n v="12759"/>
    <n v="2289"/>
    <n v="4040"/>
  </r>
  <r>
    <s v="Monthly-AE-January-2025.csv"/>
    <x v="6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</r>
  <r>
    <s v="Monthly-AE-January-2025.csv"/>
    <x v="6"/>
    <s v="RWG"/>
    <s v="NHS ENGLAND EAST OF ENGLAND "/>
    <x v="47"/>
    <n v="8229"/>
    <n v="0"/>
    <n v="6655"/>
    <n v="0"/>
    <n v="0"/>
    <n v="837"/>
    <n v="3010"/>
    <n v="0"/>
    <n v="92"/>
    <n v="0"/>
    <n v="0"/>
    <n v="0"/>
    <n v="919"/>
    <n v="28"/>
    <n v="4215"/>
    <n v="0"/>
    <n v="0"/>
    <n v="601"/>
    <n v="14884"/>
    <n v="3102"/>
    <n v="4816"/>
  </r>
  <r>
    <s v="Monthly-AE-January-2025.csv"/>
    <x v="6"/>
    <s v="RY8"/>
    <s v="NHS ENGLAND MIDLANDS "/>
    <x v="13"/>
    <n v="0"/>
    <n v="0"/>
    <n v="5873"/>
    <n v="0"/>
    <n v="0"/>
    <n v="2193"/>
    <n v="0"/>
    <n v="0"/>
    <n v="89"/>
    <n v="0"/>
    <n v="0"/>
    <n v="5"/>
    <n v="0"/>
    <n v="0"/>
    <n v="0"/>
    <n v="0"/>
    <n v="0"/>
    <n v="0"/>
    <n v="5873"/>
    <n v="89"/>
    <n v="0"/>
  </r>
  <r>
    <s v="Monthly-AE-January-2025.csv"/>
    <x v="6"/>
    <s v="NNJ"/>
    <s v="NHS ENGLAND MIDLANDS "/>
    <x v="43"/>
    <n v="0"/>
    <n v="0"/>
    <n v="1813"/>
    <n v="0"/>
    <n v="0"/>
    <n v="0"/>
    <n v="0"/>
    <n v="0"/>
    <n v="0"/>
    <n v="0"/>
    <n v="0"/>
    <n v="0"/>
    <n v="0"/>
    <n v="0"/>
    <n v="0"/>
    <n v="0"/>
    <n v="0"/>
    <n v="0"/>
    <n v="1813"/>
    <n v="0"/>
    <n v="0"/>
  </r>
  <r>
    <s v="Monthly-AE-January-2025.csv"/>
    <x v="6"/>
    <s v="R1D"/>
    <s v="NHS ENGLAND MIDLANDS "/>
    <x v="58"/>
    <n v="0"/>
    <n v="0"/>
    <n v="2889"/>
    <n v="0"/>
    <n v="0"/>
    <n v="0"/>
    <n v="0"/>
    <n v="0"/>
    <n v="3"/>
    <n v="0"/>
    <n v="0"/>
    <n v="0"/>
    <n v="0"/>
    <n v="0"/>
    <n v="0"/>
    <n v="0"/>
    <n v="0"/>
    <n v="0"/>
    <n v="2889"/>
    <n v="3"/>
    <n v="0"/>
  </r>
  <r>
    <s v="Monthly-AE-January-2025.csv"/>
    <x v="6"/>
    <s v="RLQ"/>
    <s v="NHS ENGLAND MIDLANDS "/>
    <x v="86"/>
    <n v="5515"/>
    <n v="1141"/>
    <n v="123"/>
    <n v="145"/>
    <n v="0"/>
    <n v="0"/>
    <n v="2460"/>
    <n v="0"/>
    <n v="0"/>
    <n v="28"/>
    <n v="0"/>
    <n v="0"/>
    <n v="439"/>
    <n v="323"/>
    <n v="1416"/>
    <n v="0"/>
    <n v="0"/>
    <n v="135"/>
    <n v="6779"/>
    <n v="2460"/>
    <n v="1551"/>
  </r>
  <r>
    <s v="Monthly-AE-January-2025.csv"/>
    <x v="6"/>
    <s v="RWP"/>
    <s v="NHS ENGLAND MIDLANDS "/>
    <x v="68"/>
    <n v="12351"/>
    <n v="0"/>
    <n v="5089"/>
    <n v="0"/>
    <n v="0"/>
    <n v="0"/>
    <n v="7172"/>
    <n v="0"/>
    <n v="37"/>
    <n v="0"/>
    <n v="0"/>
    <n v="0"/>
    <n v="969"/>
    <n v="713"/>
    <n v="2758"/>
    <n v="0"/>
    <n v="0"/>
    <n v="858"/>
    <n v="17440"/>
    <n v="7209"/>
    <n v="3616"/>
  </r>
  <r>
    <s v="Monthly-AE-January-2025.csv"/>
    <x v="6"/>
    <s v="RYY"/>
    <s v="NHS ENGLAND SOUTH EAST "/>
    <x v="48"/>
    <n v="0"/>
    <n v="0"/>
    <n v="9305"/>
    <n v="0"/>
    <n v="0"/>
    <n v="0"/>
    <n v="0"/>
    <n v="0"/>
    <n v="19"/>
    <n v="0"/>
    <n v="0"/>
    <n v="0"/>
    <n v="0"/>
    <n v="0"/>
    <n v="0"/>
    <n v="0"/>
    <n v="0"/>
    <n v="0"/>
    <n v="9305"/>
    <n v="19"/>
    <n v="0"/>
  </r>
  <r>
    <s v="Monthly-AE-January-2025.csv"/>
    <x v="6"/>
    <s v="Y07709"/>
    <s v="NHS ENGLAND SOUTH EAST "/>
    <x v="38"/>
    <n v="0"/>
    <n v="0"/>
    <n v="1959"/>
    <n v="0"/>
    <n v="0"/>
    <n v="0"/>
    <n v="0"/>
    <n v="0"/>
    <n v="0"/>
    <n v="0"/>
    <n v="0"/>
    <n v="0"/>
    <n v="0"/>
    <n v="0"/>
    <n v="0"/>
    <n v="0"/>
    <n v="0"/>
    <n v="0"/>
    <n v="1959"/>
    <n v="0"/>
    <n v="0"/>
  </r>
  <r>
    <s v="Monthly-AE-January-2025.csv"/>
    <x v="6"/>
    <s v="ACH01"/>
    <s v="NHS ENGLAND SOUTH EAST "/>
    <x v="50"/>
    <n v="0"/>
    <n v="0"/>
    <n v="5162"/>
    <n v="0"/>
    <n v="0"/>
    <n v="0"/>
    <n v="0"/>
    <n v="0"/>
    <n v="0"/>
    <n v="0"/>
    <n v="0"/>
    <n v="0"/>
    <n v="0"/>
    <n v="0"/>
    <n v="0"/>
    <n v="0"/>
    <n v="0"/>
    <n v="0"/>
    <n v="5162"/>
    <n v="0"/>
    <n v="0"/>
  </r>
  <r>
    <s v="Monthly-AE-January-2025.csv"/>
    <x v="6"/>
    <s v="G0Q0L"/>
    <s v="NHS ENGLAND LONDON"/>
    <x v="32"/>
    <n v="0"/>
    <n v="0"/>
    <n v="2777"/>
    <n v="0"/>
    <n v="0"/>
    <n v="0"/>
    <n v="0"/>
    <n v="0"/>
    <n v="12"/>
    <n v="0"/>
    <n v="0"/>
    <n v="0"/>
    <n v="0"/>
    <n v="0"/>
    <n v="0"/>
    <n v="0"/>
    <n v="0"/>
    <n v="0"/>
    <n v="2777"/>
    <n v="12"/>
    <n v="0"/>
  </r>
  <r>
    <s v="Monthly-AE-January-2025.csv"/>
    <x v="6"/>
    <s v="K6K0R"/>
    <s v="NHS ENGLAND LONDON"/>
    <x v="33"/>
    <n v="0"/>
    <n v="0"/>
    <n v="2825"/>
    <n v="0"/>
    <n v="0"/>
    <n v="0"/>
    <n v="0"/>
    <n v="0"/>
    <n v="4"/>
    <n v="0"/>
    <n v="0"/>
    <n v="0"/>
    <n v="0"/>
    <n v="0"/>
    <n v="0"/>
    <n v="0"/>
    <n v="0"/>
    <n v="0"/>
    <n v="2825"/>
    <n v="4"/>
    <n v="0"/>
  </r>
  <r>
    <s v="Monthly-AE-January-2025.csv"/>
    <x v="6"/>
    <s v="NLX"/>
    <s v="NHS ENGLAND SOUTH WEST "/>
    <x v="195"/>
    <n v="0"/>
    <n v="0"/>
    <n v="7710"/>
    <n v="0"/>
    <n v="0"/>
    <n v="346"/>
    <n v="0"/>
    <n v="0"/>
    <n v="333"/>
    <n v="0"/>
    <n v="0"/>
    <n v="45"/>
    <n v="0"/>
    <n v="0"/>
    <n v="0"/>
    <n v="0"/>
    <n v="0"/>
    <n v="0"/>
    <n v="7710"/>
    <n v="333"/>
    <n v="0"/>
  </r>
  <r>
    <s v="Monthly-AE-January-2025.csv"/>
    <x v="6"/>
    <s v="NTPAD"/>
    <s v="NHS ENGLAND SOUTH EAST "/>
    <x v="22"/>
    <n v="0"/>
    <n v="0"/>
    <n v="5187"/>
    <n v="0"/>
    <n v="0"/>
    <n v="232"/>
    <n v="0"/>
    <n v="0"/>
    <n v="125"/>
    <n v="0"/>
    <n v="0"/>
    <n v="6"/>
    <n v="0"/>
    <n v="0"/>
    <n v="0"/>
    <n v="0"/>
    <n v="0"/>
    <n v="0"/>
    <n v="5187"/>
    <n v="125"/>
    <n v="0"/>
  </r>
  <r>
    <s v="Monthly-AE-January-2025.csv"/>
    <x v="6"/>
    <s v="NV693"/>
    <s v="NHS ENGLAND NORTH WEST "/>
    <x v="76"/>
    <n v="0"/>
    <n v="0"/>
    <n v="920"/>
    <n v="0"/>
    <n v="0"/>
    <n v="0"/>
    <n v="0"/>
    <n v="0"/>
    <n v="1"/>
    <n v="0"/>
    <n v="0"/>
    <n v="0"/>
    <n v="0"/>
    <n v="0"/>
    <n v="0"/>
    <n v="0"/>
    <n v="0"/>
    <n v="0"/>
    <n v="920"/>
    <n v="1"/>
    <n v="0"/>
  </r>
  <r>
    <s v="Monthly-AE-January-2025.csv"/>
    <x v="6"/>
    <s v="R0D"/>
    <s v="NHS ENGLAND SOUTH WEST "/>
    <x v="77"/>
    <n v="12296"/>
    <n v="0"/>
    <n v="4726"/>
    <n v="0"/>
    <n v="0"/>
    <n v="0"/>
    <n v="4996"/>
    <n v="0"/>
    <n v="0"/>
    <n v="0"/>
    <n v="0"/>
    <n v="0"/>
    <n v="1043"/>
    <n v="484"/>
    <n v="4019"/>
    <n v="0"/>
    <n v="0"/>
    <n v="2517"/>
    <n v="17022"/>
    <n v="4996"/>
    <n v="6536"/>
  </r>
  <r>
    <s v="Monthly-AE-January-2025.csv"/>
    <x v="6"/>
    <s v="REP"/>
    <s v="NHS ENGLAND NORTH WEST "/>
    <x v="83"/>
    <n v="0"/>
    <n v="1429"/>
    <n v="0"/>
    <n v="0"/>
    <n v="182"/>
    <n v="0"/>
    <n v="0"/>
    <n v="155"/>
    <n v="0"/>
    <n v="0"/>
    <n v="0"/>
    <n v="0"/>
    <n v="0"/>
    <n v="0"/>
    <n v="0"/>
    <n v="89"/>
    <n v="0"/>
    <n v="17"/>
    <n v="1429"/>
    <n v="155"/>
    <n v="106"/>
  </r>
  <r>
    <s v="Monthly-AE-January-2025.csv"/>
    <x v="6"/>
    <s v="RF4"/>
    <s v="NHS ENGLAND LONDON"/>
    <x v="167"/>
    <n v="13814"/>
    <n v="2497"/>
    <n v="14157"/>
    <n v="0"/>
    <n v="0"/>
    <n v="0"/>
    <n v="6286"/>
    <n v="360"/>
    <n v="143"/>
    <n v="0"/>
    <n v="0"/>
    <n v="0"/>
    <n v="698"/>
    <n v="1064"/>
    <n v="8389"/>
    <n v="0"/>
    <n v="0"/>
    <n v="426"/>
    <n v="30468"/>
    <n v="6789"/>
    <n v="8815"/>
  </r>
  <r>
    <s v="Monthly-AE-January-2025.csv"/>
    <x v="6"/>
    <s v="RGR"/>
    <s v="NHS ENGLAND EAST OF ENGLAND "/>
    <x v="192"/>
    <n v="7423"/>
    <n v="0"/>
    <n v="669"/>
    <n v="58"/>
    <n v="0"/>
    <n v="0"/>
    <n v="2959"/>
    <n v="0"/>
    <n v="0"/>
    <n v="0"/>
    <n v="0"/>
    <n v="0"/>
    <n v="475"/>
    <n v="707"/>
    <n v="1829"/>
    <n v="0"/>
    <n v="0"/>
    <n v="290"/>
    <n v="8092"/>
    <n v="2959"/>
    <n v="2119"/>
  </r>
  <r>
    <s v="Monthly-AE-January-2025.csv"/>
    <x v="6"/>
    <s v="RK9"/>
    <s v="NHS ENGLAND SOUTH WEST "/>
    <x v="139"/>
    <n v="8603"/>
    <n v="160"/>
    <n v="4975"/>
    <n v="0"/>
    <n v="0"/>
    <n v="0"/>
    <n v="4558"/>
    <n v="1"/>
    <n v="93"/>
    <n v="0"/>
    <n v="0"/>
    <n v="0"/>
    <n v="327"/>
    <n v="860"/>
    <n v="2776"/>
    <n v="0"/>
    <n v="0"/>
    <n v="1457"/>
    <n v="13738"/>
    <n v="4652"/>
    <n v="4233"/>
  </r>
  <r>
    <s v="Monthly-AE-January-2025.csv"/>
    <x v="6"/>
    <s v="RL4"/>
    <s v="NHS ENGLAND MIDLANDS "/>
    <x v="85"/>
    <n v="12006"/>
    <n v="0"/>
    <n v="8055"/>
    <n v="64"/>
    <n v="0"/>
    <n v="746"/>
    <n v="3674"/>
    <n v="0"/>
    <n v="136"/>
    <n v="9"/>
    <n v="0"/>
    <n v="2"/>
    <n v="591"/>
    <n v="847"/>
    <n v="5690"/>
    <n v="0"/>
    <n v="0"/>
    <n v="940"/>
    <n v="20061"/>
    <n v="3810"/>
    <n v="6630"/>
  </r>
  <r>
    <s v="Monthly-AE-January-2025.csv"/>
    <x v="6"/>
    <s v="RQW"/>
    <s v="NHS ENGLAND EAST OF ENGLAND "/>
    <x v="148"/>
    <n v="7889"/>
    <n v="0"/>
    <n v="1783"/>
    <n v="0"/>
    <n v="0"/>
    <n v="751"/>
    <n v="4506"/>
    <n v="0"/>
    <n v="0"/>
    <n v="0"/>
    <n v="0"/>
    <n v="0"/>
    <n v="553"/>
    <n v="190"/>
    <n v="1692"/>
    <n v="0"/>
    <n v="0"/>
    <n v="224"/>
    <n v="9672"/>
    <n v="4506"/>
    <n v="1916"/>
  </r>
  <r>
    <s v="Monthly-AE-January-2025.csv"/>
    <x v="6"/>
    <s v="RTD"/>
    <s v="NHS ENGLAND NORTH EAST AND YORKSHIRE "/>
    <x v="180"/>
    <n v="11656"/>
    <n v="1642"/>
    <n v="4848"/>
    <n v="0"/>
    <n v="0"/>
    <n v="992"/>
    <n v="4559"/>
    <n v="150"/>
    <n v="1"/>
    <n v="0"/>
    <n v="0"/>
    <n v="0"/>
    <n v="749"/>
    <n v="41"/>
    <n v="3591"/>
    <n v="24"/>
    <n v="0"/>
    <n v="2909"/>
    <n v="18146"/>
    <n v="4710"/>
    <n v="6524"/>
  </r>
  <r>
    <s v="Monthly-AE-January-2025.csv"/>
    <x v="6"/>
    <s v="RW4"/>
    <s v="NHS ENGLAND NORTH WEST "/>
    <x v="42"/>
    <n v="0"/>
    <n v="0"/>
    <n v="12806"/>
    <n v="0"/>
    <n v="0"/>
    <n v="0"/>
    <n v="0"/>
    <n v="0"/>
    <n v="162"/>
    <n v="0"/>
    <n v="0"/>
    <n v="0"/>
    <n v="0"/>
    <n v="0"/>
    <n v="0"/>
    <n v="0"/>
    <n v="0"/>
    <n v="55"/>
    <n v="12806"/>
    <n v="162"/>
    <n v="55"/>
  </r>
  <r>
    <s v="Monthly-AE-January-2025.csv"/>
    <x v="6"/>
    <s v="RXL"/>
    <s v="NHS ENGLAND NORTH WEST "/>
    <x v="72"/>
    <n v="8263"/>
    <n v="0"/>
    <n v="9875"/>
    <n v="336"/>
    <n v="0"/>
    <n v="303"/>
    <n v="4033"/>
    <n v="0"/>
    <n v="52"/>
    <n v="107"/>
    <n v="0"/>
    <n v="0"/>
    <n v="410"/>
    <n v="774"/>
    <n v="2749"/>
    <n v="0"/>
    <n v="0"/>
    <n v="1601"/>
    <n v="18138"/>
    <n v="4085"/>
    <n v="4350"/>
  </r>
  <r>
    <s v="Monthly-AE-January-2025.csv"/>
    <x v="6"/>
    <s v="Y03218"/>
    <s v="NHS ENGLAND LONDON"/>
    <x v="18"/>
    <n v="0"/>
    <n v="0"/>
    <n v="897"/>
    <n v="0"/>
    <n v="0"/>
    <n v="0"/>
    <n v="0"/>
    <n v="0"/>
    <n v="0"/>
    <n v="0"/>
    <n v="0"/>
    <n v="0"/>
    <n v="0"/>
    <n v="0"/>
    <n v="0"/>
    <n v="0"/>
    <n v="0"/>
    <n v="0"/>
    <n v="897"/>
    <n v="0"/>
    <n v="0"/>
  </r>
  <r>
    <s v="Monthly-AE-January-2025.csv"/>
    <x v="6"/>
    <s v="AXG"/>
    <s v="NHS ENGLAND SOUTH WEST "/>
    <x v="30"/>
    <n v="0"/>
    <n v="0"/>
    <n v="2116"/>
    <n v="0"/>
    <n v="0"/>
    <n v="0"/>
    <n v="0"/>
    <n v="0"/>
    <n v="9"/>
    <n v="0"/>
    <n v="0"/>
    <n v="0"/>
    <n v="0"/>
    <n v="0"/>
    <n v="0"/>
    <n v="0"/>
    <n v="0"/>
    <n v="0"/>
    <n v="2116"/>
    <n v="9"/>
    <n v="0"/>
  </r>
  <r>
    <s v="Monthly-AE-January-2025.csv"/>
    <x v="6"/>
    <s v="NNF09"/>
    <s v="NHS ENGLAND NORTH EAST AND YORKSHIRE "/>
    <x v="124"/>
    <n v="0"/>
    <n v="0"/>
    <n v="3572"/>
    <n v="0"/>
    <n v="0"/>
    <n v="0"/>
    <n v="0"/>
    <n v="0"/>
    <n v="339"/>
    <n v="0"/>
    <n v="0"/>
    <n v="0"/>
    <n v="0"/>
    <n v="0"/>
    <n v="0"/>
    <n v="0"/>
    <n v="0"/>
    <n v="0"/>
    <n v="3572"/>
    <n v="339"/>
    <n v="0"/>
  </r>
  <r>
    <s v="Monthly-AE-January-2025.csv"/>
    <x v="6"/>
    <s v="RA7"/>
    <s v="NHS ENGLAND SOUTH WEST "/>
    <x v="78"/>
    <n v="14626"/>
    <n v="2376"/>
    <n v="0"/>
    <n v="0"/>
    <n v="0"/>
    <n v="0"/>
    <n v="5610"/>
    <n v="177"/>
    <n v="0"/>
    <n v="0"/>
    <n v="0"/>
    <n v="0"/>
    <n v="968"/>
    <n v="909"/>
    <n v="5092"/>
    <n v="10"/>
    <n v="0"/>
    <n v="1747"/>
    <n v="17002"/>
    <n v="5787"/>
    <n v="6849"/>
  </r>
  <r>
    <s v="Monthly-AE-January-2025.csv"/>
    <x v="6"/>
    <s v="RAJ"/>
    <s v="NHS ENGLAND EAST OF ENGLAND "/>
    <x v="98"/>
    <n v="28930"/>
    <n v="0"/>
    <n v="3880"/>
    <n v="46"/>
    <n v="0"/>
    <n v="25"/>
    <n v="11052"/>
    <n v="0"/>
    <n v="246"/>
    <n v="18"/>
    <n v="0"/>
    <n v="1"/>
    <n v="3247"/>
    <n v="451"/>
    <n v="8794"/>
    <n v="0"/>
    <n v="198"/>
    <n v="1398"/>
    <n v="32810"/>
    <n v="11298"/>
    <n v="10390"/>
  </r>
  <r>
    <s v="Monthly-AE-January-2025.csv"/>
    <x v="6"/>
    <s v="RAT"/>
    <s v="NHS ENGLAND LONDON"/>
    <x v="203"/>
    <n v="0"/>
    <n v="0"/>
    <n v="1674"/>
    <n v="0"/>
    <n v="0"/>
    <n v="0"/>
    <n v="0"/>
    <n v="0"/>
    <n v="46"/>
    <n v="0"/>
    <n v="0"/>
    <n v="0"/>
    <n v="0"/>
    <n v="0"/>
    <n v="0"/>
    <n v="0"/>
    <n v="0"/>
    <n v="0"/>
    <n v="1674"/>
    <n v="46"/>
    <n v="0"/>
  </r>
  <r>
    <s v="Monthly-AE-January-2025.csv"/>
    <x v="6"/>
    <s v="RCF"/>
    <s v="NHS ENGLAND NORTH EAST AND YORKSHIRE "/>
    <x v="104"/>
    <n v="5350"/>
    <n v="250"/>
    <n v="0"/>
    <n v="567"/>
    <n v="0"/>
    <n v="0"/>
    <n v="2341"/>
    <n v="0"/>
    <n v="0"/>
    <n v="0"/>
    <n v="0"/>
    <n v="0"/>
    <n v="480"/>
    <n v="237"/>
    <n v="1554"/>
    <n v="0"/>
    <n v="0"/>
    <n v="562"/>
    <n v="5600"/>
    <n v="2341"/>
    <n v="2116"/>
  </r>
  <r>
    <s v="Monthly-AE-January-2025.csv"/>
    <x v="6"/>
    <s v="RD8"/>
    <s v="NHS ENGLAND EAST OF ENGLAND "/>
    <x v="105"/>
    <n v="7840"/>
    <n v="0"/>
    <n v="4790"/>
    <n v="592"/>
    <n v="0"/>
    <n v="171"/>
    <n v="3214"/>
    <n v="0"/>
    <n v="236"/>
    <n v="246"/>
    <n v="0"/>
    <n v="0"/>
    <n v="1025"/>
    <n v="0"/>
    <n v="2167"/>
    <n v="0"/>
    <n v="0"/>
    <n v="464"/>
    <n v="12630"/>
    <n v="3450"/>
    <n v="2631"/>
  </r>
  <r>
    <s v="Monthly-AE-January-2025.csv"/>
    <x v="6"/>
    <s v="REF"/>
    <s v="NHS ENGLAND SOUTH WEST "/>
    <x v="60"/>
    <n v="5987"/>
    <n v="0"/>
    <n v="10682"/>
    <n v="0"/>
    <n v="0"/>
    <n v="0"/>
    <n v="3231"/>
    <n v="0"/>
    <n v="657"/>
    <n v="0"/>
    <n v="0"/>
    <n v="0"/>
    <n v="778"/>
    <n v="545"/>
    <n v="2492"/>
    <n v="0"/>
    <n v="48"/>
    <n v="1211"/>
    <n v="16669"/>
    <n v="3888"/>
    <n v="3751"/>
  </r>
  <r>
    <s v="Monthly-AE-January-2025.csv"/>
    <x v="6"/>
    <s v="RJ2"/>
    <s v="NHS ENGLAND LONDON"/>
    <x v="169"/>
    <n v="14126"/>
    <n v="0"/>
    <n v="10954"/>
    <n v="0"/>
    <n v="0"/>
    <n v="0"/>
    <n v="7503"/>
    <n v="0"/>
    <n v="1298"/>
    <n v="0"/>
    <n v="0"/>
    <n v="0"/>
    <n v="1152"/>
    <n v="834"/>
    <n v="5055"/>
    <n v="0"/>
    <n v="0"/>
    <n v="1338"/>
    <n v="25080"/>
    <n v="8801"/>
    <n v="6393"/>
  </r>
  <r>
    <s v="Monthly-AE-January-2025.csv"/>
    <x v="6"/>
    <s v="RJR"/>
    <s v="NHS ENGLAND NORTH WEST "/>
    <x v="108"/>
    <n v="4792"/>
    <n v="0"/>
    <n v="2147"/>
    <n v="0"/>
    <n v="0"/>
    <n v="0"/>
    <n v="2606"/>
    <n v="0"/>
    <n v="220"/>
    <n v="0"/>
    <n v="0"/>
    <n v="0"/>
    <n v="226"/>
    <n v="717"/>
    <n v="1678"/>
    <n v="0"/>
    <n v="0"/>
    <n v="1366"/>
    <n v="6939"/>
    <n v="2826"/>
    <n v="3044"/>
  </r>
  <r>
    <s v="Monthly-AE-January-2025.csv"/>
    <x v="6"/>
    <s v="RMC"/>
    <s v="NHS ENGLAND NORTH WEST "/>
    <x v="178"/>
    <n v="7790"/>
    <n v="0"/>
    <n v="3614"/>
    <n v="100"/>
    <n v="0"/>
    <n v="55"/>
    <n v="3727"/>
    <n v="0"/>
    <n v="157"/>
    <n v="47"/>
    <n v="0"/>
    <n v="3"/>
    <n v="535"/>
    <n v="504"/>
    <n v="2424"/>
    <n v="0"/>
    <n v="128"/>
    <n v="1029"/>
    <n v="11404"/>
    <n v="3884"/>
    <n v="3581"/>
  </r>
  <r>
    <s v="Monthly-AE-January-2025.csv"/>
    <x v="6"/>
    <s v="RNQ"/>
    <s v="NHS ENGLAND MIDLANDS "/>
    <x v="64"/>
    <n v="9817"/>
    <n v="0"/>
    <n v="8542"/>
    <n v="342"/>
    <n v="0"/>
    <n v="0"/>
    <n v="3720"/>
    <n v="0"/>
    <n v="155"/>
    <n v="0"/>
    <n v="0"/>
    <n v="0"/>
    <n v="1388"/>
    <n v="0"/>
    <n v="1899"/>
    <n v="0"/>
    <n v="0"/>
    <n v="327"/>
    <n v="18359"/>
    <n v="3875"/>
    <n v="2226"/>
  </r>
  <r>
    <s v="Monthly-AE-January-2025.csv"/>
    <x v="6"/>
    <s v="RNS"/>
    <s v="NHS ENGLAND MIDLANDS "/>
    <x v="41"/>
    <n v="8461"/>
    <n v="575"/>
    <n v="2081"/>
    <n v="1380"/>
    <n v="1"/>
    <n v="282"/>
    <n v="3466"/>
    <n v="14"/>
    <n v="126"/>
    <n v="500"/>
    <n v="0"/>
    <n v="12"/>
    <n v="456"/>
    <n v="938"/>
    <n v="2282"/>
    <n v="0"/>
    <n v="0"/>
    <n v="906"/>
    <n v="11117"/>
    <n v="3606"/>
    <n v="3188"/>
  </r>
  <r>
    <s v="Monthly-AE-January-2025.csv"/>
    <x v="6"/>
    <s v="RRK"/>
    <s v="NHS ENGLAND MIDLANDS "/>
    <x v="87"/>
    <n v="33067"/>
    <n v="325"/>
    <n v="1655"/>
    <n v="0"/>
    <n v="0"/>
    <n v="331"/>
    <n v="13753"/>
    <n v="0"/>
    <n v="32"/>
    <n v="0"/>
    <n v="0"/>
    <n v="9"/>
    <n v="2671"/>
    <n v="1847"/>
    <n v="10511"/>
    <n v="0"/>
    <n v="0"/>
    <n v="6876"/>
    <n v="35047"/>
    <n v="13785"/>
    <n v="17387"/>
  </r>
  <r>
    <s v="Monthly-AE-January-2025.csv"/>
    <x v="6"/>
    <s v="RTQ"/>
    <s v="NHS ENGLAND SOUTH WEST "/>
    <x v="115"/>
    <n v="0"/>
    <n v="0"/>
    <n v="7168"/>
    <n v="0"/>
    <n v="0"/>
    <n v="0"/>
    <n v="0"/>
    <n v="0"/>
    <n v="42"/>
    <n v="0"/>
    <n v="0"/>
    <n v="0"/>
    <n v="0"/>
    <n v="0"/>
    <n v="0"/>
    <n v="0"/>
    <n v="0"/>
    <n v="21"/>
    <n v="7168"/>
    <n v="42"/>
    <n v="21"/>
  </r>
  <r>
    <s v="Monthly-AE-January-2025.csv"/>
    <x v="6"/>
    <s v="RVW"/>
    <s v="NHS ENGLAND NORTH EAST AND YORKSHIRE "/>
    <x v="90"/>
    <n v="4804"/>
    <n v="0"/>
    <n v="10523"/>
    <n v="0"/>
    <n v="0"/>
    <n v="0"/>
    <n v="2841"/>
    <n v="0"/>
    <n v="22"/>
    <n v="0"/>
    <n v="0"/>
    <n v="0"/>
    <n v="312"/>
    <n v="49"/>
    <n v="1690"/>
    <n v="0"/>
    <n v="509"/>
    <n v="2439"/>
    <n v="15327"/>
    <n v="2863"/>
    <n v="4638"/>
  </r>
  <r>
    <s v="Monthly-AE-January-2025.csv"/>
    <x v="6"/>
    <s v="RWA"/>
    <s v="NHS ENGLAND NORTH EAST AND YORKSHIRE "/>
    <x v="116"/>
    <n v="8707"/>
    <n v="0"/>
    <n v="4795"/>
    <n v="0"/>
    <n v="0"/>
    <n v="0"/>
    <n v="5136"/>
    <n v="0"/>
    <n v="441"/>
    <n v="0"/>
    <n v="0"/>
    <n v="0"/>
    <n v="1076"/>
    <n v="614"/>
    <n v="3502"/>
    <n v="0"/>
    <n v="0"/>
    <n v="2373"/>
    <n v="13502"/>
    <n v="5577"/>
    <n v="5875"/>
  </r>
  <r>
    <s v="Monthly-AE-January-2025.csv"/>
    <x v="6"/>
    <s v="RWE"/>
    <s v="NHS ENGLAND MIDLANDS "/>
    <x v="117"/>
    <n v="21070"/>
    <n v="1977"/>
    <n v="0"/>
    <n v="0"/>
    <n v="0"/>
    <n v="0"/>
    <n v="9121"/>
    <n v="102"/>
    <n v="0"/>
    <n v="0"/>
    <n v="0"/>
    <n v="0"/>
    <n v="1513"/>
    <n v="1178"/>
    <n v="6395"/>
    <n v="5"/>
    <n v="0"/>
    <n v="3749"/>
    <n v="23047"/>
    <n v="9223"/>
    <n v="10149"/>
  </r>
  <r>
    <s v="Monthly-AE-January-2025.csv"/>
    <x v="6"/>
    <s v="RWF"/>
    <s v="NHS ENGLAND SOUTH EAST "/>
    <x v="118"/>
    <n v="17894"/>
    <n v="0"/>
    <n v="2034"/>
    <n v="875"/>
    <n v="0"/>
    <n v="218"/>
    <n v="3826"/>
    <n v="0"/>
    <n v="35"/>
    <n v="145"/>
    <n v="0"/>
    <n v="2"/>
    <n v="982"/>
    <n v="274"/>
    <n v="5178"/>
    <n v="0"/>
    <n v="0"/>
    <n v="983"/>
    <n v="19928"/>
    <n v="3861"/>
    <n v="6161"/>
  </r>
  <r>
    <s v="Monthly-AE-January-2025.csv"/>
    <x v="6"/>
    <s v="RXP"/>
    <s v="NHS ENGLAND NORTH EAST AND YORKSHIRE "/>
    <x v="161"/>
    <n v="12293"/>
    <n v="0"/>
    <n v="3784"/>
    <n v="0"/>
    <n v="0"/>
    <n v="7264"/>
    <n v="5250"/>
    <n v="0"/>
    <n v="0"/>
    <n v="0"/>
    <n v="0"/>
    <n v="0"/>
    <n v="2427"/>
    <n v="23"/>
    <n v="4334"/>
    <n v="0"/>
    <n v="0"/>
    <n v="810"/>
    <n v="16077"/>
    <n v="5250"/>
    <n v="5144"/>
  </r>
  <r>
    <s v="Monthly-AE-January-2025.csv"/>
    <x v="6"/>
    <s v="RXQ"/>
    <s v="NHS ENGLAND SOUTH EAST "/>
    <x v="11"/>
    <n v="10375"/>
    <n v="1234"/>
    <n v="3481"/>
    <n v="0"/>
    <n v="0"/>
    <n v="0"/>
    <n v="3310"/>
    <n v="0"/>
    <n v="218"/>
    <n v="0"/>
    <n v="0"/>
    <n v="0"/>
    <n v="303"/>
    <n v="322"/>
    <n v="4204"/>
    <n v="851"/>
    <n v="0"/>
    <n v="2362"/>
    <n v="15090"/>
    <n v="3528"/>
    <n v="7417"/>
  </r>
  <r>
    <s v="Monthly-AE-January-2025.csv"/>
    <x v="6"/>
    <s v="RXW"/>
    <s v="NHS ENGLAND MIDLANDS "/>
    <x v="120"/>
    <n v="9443"/>
    <n v="0"/>
    <n v="2370"/>
    <n v="0"/>
    <n v="0"/>
    <n v="0"/>
    <n v="5433"/>
    <n v="0"/>
    <n v="202"/>
    <n v="0"/>
    <n v="0"/>
    <n v="0"/>
    <n v="349"/>
    <n v="1316"/>
    <n v="3068"/>
    <n v="0"/>
    <n v="178"/>
    <n v="2217"/>
    <n v="11813"/>
    <n v="5635"/>
    <n v="5463"/>
  </r>
  <r>
    <s v="Monthly-AE-January-2025.csv"/>
    <x v="6"/>
    <s v="RYX"/>
    <s v="NHS ENGLAND LONDON"/>
    <x v="75"/>
    <n v="0"/>
    <n v="0"/>
    <n v="12079"/>
    <n v="0"/>
    <n v="0"/>
    <n v="403"/>
    <n v="0"/>
    <n v="0"/>
    <n v="168"/>
    <n v="0"/>
    <n v="0"/>
    <n v="6"/>
    <n v="0"/>
    <n v="0"/>
    <n v="0"/>
    <n v="0"/>
    <n v="0"/>
    <n v="0"/>
    <n v="12079"/>
    <n v="168"/>
    <n v="0"/>
  </r>
  <r>
    <s v="Monthly-AE-January-2025.csv"/>
    <x v="6"/>
    <s v="Y02147"/>
    <s v="NHS ENGLAND LONDON"/>
    <x v="29"/>
    <n v="0"/>
    <n v="0"/>
    <n v="7684"/>
    <n v="0"/>
    <n v="0"/>
    <n v="544"/>
    <n v="0"/>
    <n v="0"/>
    <n v="177"/>
    <n v="0"/>
    <n v="0"/>
    <n v="2"/>
    <n v="0"/>
    <n v="0"/>
    <n v="0"/>
    <n v="0"/>
    <n v="0"/>
    <n v="0"/>
    <n v="7684"/>
    <n v="177"/>
    <n v="0"/>
  </r>
  <r>
    <s v="Monthly-AE-January-2025.csv"/>
    <x v="6"/>
    <s v="NNF16"/>
    <s v="NHS ENGLAND NORTH EAST AND YORKSHIRE "/>
    <x v="198"/>
    <n v="0"/>
    <n v="0"/>
    <n v="1306"/>
    <n v="0"/>
    <n v="0"/>
    <n v="0"/>
    <n v="0"/>
    <n v="0"/>
    <n v="26"/>
    <n v="0"/>
    <n v="0"/>
    <n v="0"/>
    <n v="0"/>
    <n v="0"/>
    <n v="0"/>
    <n v="0"/>
    <n v="0"/>
    <n v="0"/>
    <n v="1306"/>
    <n v="26"/>
    <n v="0"/>
  </r>
  <r>
    <s v="Monthly-AE-January-2025.csv"/>
    <x v="6"/>
    <s v="NNF94"/>
    <s v="NHS ENGLAND NORTH EAST AND YORKSHIRE "/>
    <x v="125"/>
    <n v="0"/>
    <n v="0"/>
    <n v="2563"/>
    <n v="0"/>
    <n v="0"/>
    <n v="0"/>
    <n v="0"/>
    <n v="0"/>
    <n v="128"/>
    <n v="0"/>
    <n v="0"/>
    <n v="0"/>
    <n v="0"/>
    <n v="0"/>
    <n v="0"/>
    <n v="0"/>
    <n v="0"/>
    <n v="0"/>
    <n v="2563"/>
    <n v="128"/>
    <n v="0"/>
  </r>
  <r>
    <s v="Monthly-AE-January-2025.csv"/>
    <x v="6"/>
    <s v="NNFA7"/>
    <s v="NHS ENGLAND NORTH EAST AND YORKSHIRE "/>
    <x v="126"/>
    <n v="0"/>
    <n v="0"/>
    <n v="1387"/>
    <n v="0"/>
    <n v="0"/>
    <n v="0"/>
    <n v="0"/>
    <n v="0"/>
    <n v="6"/>
    <n v="0"/>
    <n v="0"/>
    <n v="0"/>
    <n v="0"/>
    <n v="0"/>
    <n v="0"/>
    <n v="0"/>
    <n v="0"/>
    <n v="0"/>
    <n v="1387"/>
    <n v="6"/>
    <n v="0"/>
  </r>
  <r>
    <s v="Monthly-AE-January-2025.csv"/>
    <x v="6"/>
    <s v="NNJ07"/>
    <s v="NHS ENGLAND MIDLANDS "/>
    <x v="52"/>
    <n v="0"/>
    <n v="0"/>
    <n v="6973"/>
    <n v="0"/>
    <n v="0"/>
    <n v="870"/>
    <n v="0"/>
    <n v="0"/>
    <n v="44"/>
    <n v="0"/>
    <n v="0"/>
    <n v="2"/>
    <n v="0"/>
    <n v="0"/>
    <n v="0"/>
    <n v="0"/>
    <n v="0"/>
    <n v="0"/>
    <n v="6973"/>
    <n v="44"/>
    <n v="0"/>
  </r>
  <r>
    <s v="Monthly-AE-January-2025.csv"/>
    <x v="6"/>
    <s v="NNJ0H"/>
    <s v="NHS ENGLAND MIDLANDS "/>
    <x v="53"/>
    <n v="0"/>
    <n v="0"/>
    <n v="195"/>
    <n v="0"/>
    <n v="0"/>
    <n v="2216"/>
    <n v="0"/>
    <n v="0"/>
    <n v="0"/>
    <n v="0"/>
    <n v="0"/>
    <n v="0"/>
    <n v="0"/>
    <n v="0"/>
    <n v="0"/>
    <n v="0"/>
    <n v="0"/>
    <n v="0"/>
    <n v="195"/>
    <n v="0"/>
    <n v="0"/>
  </r>
  <r>
    <s v="Monthly-AE-January-2025.csv"/>
    <x v="6"/>
    <s v="NNJ12"/>
    <s v="NHS ENGLAND MIDLANDS "/>
    <x v="54"/>
    <n v="0"/>
    <n v="0"/>
    <n v="102"/>
    <n v="0"/>
    <n v="0"/>
    <n v="575"/>
    <n v="0"/>
    <n v="0"/>
    <n v="0"/>
    <n v="0"/>
    <n v="0"/>
    <n v="0"/>
    <n v="0"/>
    <n v="0"/>
    <n v="0"/>
    <n v="0"/>
    <n v="0"/>
    <n v="0"/>
    <n v="102"/>
    <n v="0"/>
    <n v="0"/>
  </r>
  <r>
    <s v="Monthly-AE-January-2025.csv"/>
    <x v="6"/>
    <s v="NNJ13"/>
    <s v="NHS ENGLAND MIDLANDS "/>
    <x v="55"/>
    <n v="0"/>
    <n v="0"/>
    <n v="69"/>
    <n v="0"/>
    <n v="0"/>
    <n v="493"/>
    <n v="0"/>
    <n v="0"/>
    <n v="0"/>
    <n v="0"/>
    <n v="0"/>
    <n v="0"/>
    <n v="0"/>
    <n v="0"/>
    <n v="0"/>
    <n v="0"/>
    <n v="0"/>
    <n v="0"/>
    <n v="69"/>
    <n v="0"/>
    <n v="0"/>
  </r>
  <r>
    <s v="Monthly-AE-January-2025.csv"/>
    <x v="6"/>
    <s v="NNJ14"/>
    <s v="NHS ENGLAND MIDLANDS "/>
    <x v="191"/>
    <n v="0"/>
    <n v="0"/>
    <n v="499"/>
    <n v="0"/>
    <n v="0"/>
    <n v="3391"/>
    <n v="0"/>
    <n v="0"/>
    <n v="0"/>
    <n v="0"/>
    <n v="0"/>
    <n v="0"/>
    <n v="0"/>
    <n v="0"/>
    <n v="0"/>
    <n v="0"/>
    <n v="0"/>
    <n v="0"/>
    <n v="499"/>
    <n v="0"/>
    <n v="0"/>
  </r>
  <r>
    <s v="Monthly-AE-January-2025.csv"/>
    <x v="6"/>
    <s v="NNJ15"/>
    <s v="NHS ENGLAND MIDLANDS "/>
    <x v="56"/>
    <n v="0"/>
    <n v="0"/>
    <n v="59"/>
    <n v="0"/>
    <n v="0"/>
    <n v="371"/>
    <n v="0"/>
    <n v="0"/>
    <n v="0"/>
    <n v="0"/>
    <n v="0"/>
    <n v="0"/>
    <n v="0"/>
    <n v="0"/>
    <n v="0"/>
    <n v="0"/>
    <n v="0"/>
    <n v="0"/>
    <n v="59"/>
    <n v="0"/>
    <n v="0"/>
  </r>
  <r>
    <s v="Monthly-AE-January-2025.csv"/>
    <x v="6"/>
    <s v="R0A"/>
    <s v="NHS ENGLAND NORTH WEST "/>
    <x v="181"/>
    <n v="24310"/>
    <n v="2966"/>
    <n v="10858"/>
    <n v="3436"/>
    <n v="493"/>
    <n v="1018"/>
    <n v="11707"/>
    <n v="123"/>
    <n v="638"/>
    <n v="1502"/>
    <n v="24"/>
    <n v="103"/>
    <n v="4456"/>
    <n v="749"/>
    <n v="5458"/>
    <n v="121"/>
    <n v="139"/>
    <n v="444"/>
    <n v="38134"/>
    <n v="12468"/>
    <n v="6162"/>
  </r>
  <r>
    <s v="Monthly-AE-January-2025.csv"/>
    <x v="6"/>
    <s v="R1K"/>
    <s v="NHS ENGLAND LONDON"/>
    <x v="128"/>
    <n v="13728"/>
    <n v="0"/>
    <n v="14754"/>
    <n v="0"/>
    <n v="0"/>
    <n v="0"/>
    <n v="7460"/>
    <n v="0"/>
    <n v="162"/>
    <n v="0"/>
    <n v="0"/>
    <n v="0"/>
    <n v="769"/>
    <n v="738"/>
    <n v="6525"/>
    <n v="0"/>
    <n v="0"/>
    <n v="347"/>
    <n v="28482"/>
    <n v="7622"/>
    <n v="6872"/>
  </r>
  <r>
    <s v="Monthly-AE-January-2025.csv"/>
    <x v="6"/>
    <s v="RAL"/>
    <s v="NHS ENGLAND LONDON"/>
    <x v="99"/>
    <n v="24850"/>
    <n v="469"/>
    <n v="15178"/>
    <n v="250"/>
    <n v="3"/>
    <n v="267"/>
    <n v="9848"/>
    <n v="5"/>
    <n v="905"/>
    <n v="137"/>
    <n v="0"/>
    <n v="39"/>
    <n v="1218"/>
    <n v="1939"/>
    <n v="4965"/>
    <n v="0"/>
    <n v="55"/>
    <n v="750"/>
    <n v="40497"/>
    <n v="10758"/>
    <n v="5770"/>
  </r>
  <r>
    <s v="Monthly-AE-January-2025.csv"/>
    <x v="6"/>
    <s v="RAS"/>
    <s v="NHS ENGLAND LONDON"/>
    <x v="182"/>
    <n v="5973"/>
    <n v="0"/>
    <n v="6578"/>
    <n v="0"/>
    <n v="0"/>
    <n v="0"/>
    <n v="3503"/>
    <n v="0"/>
    <n v="186"/>
    <n v="0"/>
    <n v="0"/>
    <n v="0"/>
    <n v="731"/>
    <n v="79"/>
    <n v="1815"/>
    <n v="0"/>
    <n v="0"/>
    <n v="74"/>
    <n v="12551"/>
    <n v="3689"/>
    <n v="1889"/>
  </r>
  <r>
    <s v="Monthly-AE-January-2025.csv"/>
    <x v="6"/>
    <s v="RBD"/>
    <s v="NHS ENGLAND SOUTH WEST "/>
    <x v="101"/>
    <n v="3841"/>
    <n v="0"/>
    <n v="0"/>
    <n v="347"/>
    <n v="0"/>
    <n v="3817"/>
    <n v="1873"/>
    <n v="0"/>
    <n v="0"/>
    <n v="112"/>
    <n v="0"/>
    <n v="4"/>
    <n v="225"/>
    <n v="93"/>
    <n v="1760"/>
    <n v="0"/>
    <n v="0"/>
    <n v="556"/>
    <n v="3841"/>
    <n v="1873"/>
    <n v="2316"/>
  </r>
  <r>
    <s v="Monthly-AE-January-2025.csv"/>
    <x v="6"/>
    <s v="RBN"/>
    <s v="NHS ENGLAND NORTH WEST "/>
    <x v="174"/>
    <n v="16188"/>
    <n v="0"/>
    <n v="6642"/>
    <n v="415"/>
    <n v="0"/>
    <n v="0"/>
    <n v="6164"/>
    <n v="0"/>
    <n v="53"/>
    <n v="46"/>
    <n v="0"/>
    <n v="0"/>
    <n v="452"/>
    <n v="482"/>
    <n v="7454"/>
    <n v="0"/>
    <n v="0"/>
    <n v="762"/>
    <n v="22830"/>
    <n v="6217"/>
    <n v="8216"/>
  </r>
  <r>
    <s v="Monthly-AE-January-2025.csv"/>
    <x v="6"/>
    <s v="RCB"/>
    <s v="NHS ENGLAND NORTH EAST AND YORKSHIRE "/>
    <x v="103"/>
    <n v="10119"/>
    <n v="388"/>
    <n v="5567"/>
    <n v="0"/>
    <n v="0"/>
    <n v="0"/>
    <n v="5742"/>
    <n v="0"/>
    <n v="192"/>
    <n v="0"/>
    <n v="0"/>
    <n v="0"/>
    <n v="833"/>
    <n v="949"/>
    <n v="4477"/>
    <n v="0"/>
    <n v="0"/>
    <n v="1723"/>
    <n v="16074"/>
    <n v="5934"/>
    <n v="6200"/>
  </r>
  <r>
    <s v="Monthly-AE-January-2025.csv"/>
    <x v="6"/>
    <s v="RFR"/>
    <s v="NHS ENGLAND NORTH EAST AND YORKSHIRE "/>
    <x v="45"/>
    <n v="8708"/>
    <n v="0"/>
    <n v="0"/>
    <n v="0"/>
    <n v="0"/>
    <n v="0"/>
    <n v="3595"/>
    <n v="0"/>
    <n v="0"/>
    <n v="0"/>
    <n v="0"/>
    <n v="0"/>
    <n v="947"/>
    <n v="109"/>
    <n v="1987"/>
    <n v="0"/>
    <n v="0"/>
    <n v="249"/>
    <n v="8708"/>
    <n v="3595"/>
    <n v="2236"/>
  </r>
  <r>
    <s v="Monthly-AE-January-2025.csv"/>
    <x v="6"/>
    <s v="RJC"/>
    <s v="NHS ENGLAND MIDLANDS "/>
    <x v="138"/>
    <n v="7498"/>
    <n v="0"/>
    <n v="330"/>
    <n v="1"/>
    <n v="0"/>
    <n v="0"/>
    <n v="2820"/>
    <n v="0"/>
    <n v="0"/>
    <n v="0"/>
    <n v="0"/>
    <n v="0"/>
    <n v="480"/>
    <n v="122"/>
    <n v="2241"/>
    <n v="0"/>
    <n v="0"/>
    <n v="914"/>
    <n v="7828"/>
    <n v="2820"/>
    <n v="3155"/>
  </r>
  <r>
    <s v="Monthly-AE-January-2025.csv"/>
    <x v="6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0"/>
    <n v="0"/>
    <n v="27"/>
  </r>
  <r>
    <s v="Monthly-AE-January-2025.csv"/>
    <x v="6"/>
    <s v="RMP"/>
    <s v="NHS ENGLAND NORTH WEST "/>
    <x v="143"/>
    <n v="8430"/>
    <n v="0"/>
    <n v="3154"/>
    <n v="392"/>
    <n v="0"/>
    <n v="93"/>
    <n v="4007"/>
    <n v="0"/>
    <n v="6"/>
    <n v="0"/>
    <n v="0"/>
    <n v="0"/>
    <n v="231"/>
    <n v="798"/>
    <n v="1685"/>
    <n v="0"/>
    <n v="0"/>
    <n v="285"/>
    <n v="11584"/>
    <n v="4013"/>
    <n v="1970"/>
  </r>
  <r>
    <s v="Monthly-AE-January-2025.csv"/>
    <x v="6"/>
    <s v="RN5"/>
    <s v="NHS ENGLAND SOUTH EAST "/>
    <x v="110"/>
    <n v="10341"/>
    <n v="127"/>
    <n v="2619"/>
    <n v="0"/>
    <n v="0"/>
    <n v="131"/>
    <n v="4889"/>
    <n v="0"/>
    <n v="83"/>
    <n v="0"/>
    <n v="0"/>
    <n v="0"/>
    <n v="428"/>
    <n v="195"/>
    <n v="4013"/>
    <n v="14"/>
    <n v="39"/>
    <n v="1373"/>
    <n v="13087"/>
    <n v="4972"/>
    <n v="5439"/>
  </r>
  <r>
    <s v="Monthly-AE-January-2025.csv"/>
    <x v="6"/>
    <s v="RN7"/>
    <s v="NHS ENGLAND SOUTH EAST "/>
    <x v="171"/>
    <n v="11094"/>
    <n v="0"/>
    <n v="3892"/>
    <n v="0"/>
    <n v="0"/>
    <n v="0"/>
    <n v="3552"/>
    <n v="0"/>
    <n v="12"/>
    <n v="0"/>
    <n v="0"/>
    <n v="0"/>
    <n v="613"/>
    <n v="449"/>
    <n v="3295"/>
    <n v="0"/>
    <n v="0"/>
    <n v="438"/>
    <n v="14986"/>
    <n v="3564"/>
    <n v="3733"/>
  </r>
  <r>
    <s v="Monthly-AE-January-2025.csv"/>
    <x v="6"/>
    <s v="RNZ"/>
    <s v="NHS ENGLAND SOUTH WEST "/>
    <x v="144"/>
    <n v="4372"/>
    <n v="326"/>
    <n v="1715"/>
    <n v="132"/>
    <n v="0"/>
    <n v="0"/>
    <n v="1699"/>
    <n v="0"/>
    <n v="0"/>
    <n v="53"/>
    <n v="0"/>
    <n v="0"/>
    <n v="470"/>
    <n v="19"/>
    <n v="1312"/>
    <n v="0"/>
    <n v="0"/>
    <n v="1026"/>
    <n v="6413"/>
    <n v="1699"/>
    <n v="2338"/>
  </r>
  <r>
    <s v="Monthly-AE-January-2025.csv"/>
    <x v="6"/>
    <s v="RR7"/>
    <s v="NHS ENGLAND NORTH EAST AND YORKSHIRE "/>
    <x v="113"/>
    <n v="5878"/>
    <n v="0"/>
    <n v="3131"/>
    <n v="14"/>
    <n v="0"/>
    <n v="0"/>
    <n v="2555"/>
    <n v="0"/>
    <n v="37"/>
    <n v="6"/>
    <n v="0"/>
    <n v="0"/>
    <n v="1033"/>
    <n v="0"/>
    <n v="1654"/>
    <n v="0"/>
    <n v="0"/>
    <n v="57"/>
    <n v="9009"/>
    <n v="2592"/>
    <n v="1711"/>
  </r>
  <r>
    <s v="Monthly-AE-January-2025.csv"/>
    <x v="6"/>
    <s v="RTF"/>
    <s v="NHS ENGLAND NORTH EAST AND YORKSHIRE "/>
    <x v="152"/>
    <n v="9372"/>
    <n v="0"/>
    <n v="10992"/>
    <n v="0"/>
    <n v="0"/>
    <n v="0"/>
    <n v="2780"/>
    <n v="0"/>
    <n v="3"/>
    <n v="0"/>
    <n v="0"/>
    <n v="0"/>
    <n v="106"/>
    <n v="7"/>
    <n v="3876"/>
    <n v="0"/>
    <n v="49"/>
    <n v="395"/>
    <n v="20364"/>
    <n v="2783"/>
    <n v="4320"/>
  </r>
  <r>
    <s v="Monthly-AE-January-2025.csv"/>
    <x v="6"/>
    <s v="RTG"/>
    <s v="NHS ENGLAND MIDLANDS "/>
    <x v="88"/>
    <n v="17941"/>
    <n v="0"/>
    <n v="9234"/>
    <n v="1572"/>
    <n v="0"/>
    <n v="18"/>
    <n v="8790"/>
    <n v="0"/>
    <n v="6"/>
    <n v="377"/>
    <n v="0"/>
    <n v="0"/>
    <n v="944"/>
    <n v="1028"/>
    <n v="3962"/>
    <n v="0"/>
    <n v="2"/>
    <n v="1957"/>
    <n v="27175"/>
    <n v="8796"/>
    <n v="5921"/>
  </r>
  <r>
    <s v="Monthly-AE-January-2025.csv"/>
    <x v="6"/>
    <s v="RTR"/>
    <s v="NHS ENGLAND NORTH EAST AND YORKSHIRE "/>
    <x v="153"/>
    <n v="7207"/>
    <n v="0"/>
    <n v="8151"/>
    <n v="0"/>
    <n v="0"/>
    <n v="1583"/>
    <n v="4011"/>
    <n v="0"/>
    <n v="344"/>
    <n v="0"/>
    <n v="0"/>
    <n v="33"/>
    <n v="521"/>
    <n v="94"/>
    <n v="2662"/>
    <n v="0"/>
    <n v="108"/>
    <n v="2405"/>
    <n v="15358"/>
    <n v="4355"/>
    <n v="5175"/>
  </r>
  <r>
    <s v="Monthly-AE-January-2025.csv"/>
    <x v="6"/>
    <s v="RTX"/>
    <s v="NHS ENGLAND NORTH WEST "/>
    <x v="172"/>
    <n v="8682"/>
    <n v="0"/>
    <n v="2279"/>
    <n v="84"/>
    <n v="0"/>
    <n v="1377"/>
    <n v="3255"/>
    <n v="0"/>
    <n v="32"/>
    <n v="23"/>
    <n v="0"/>
    <n v="61"/>
    <n v="666"/>
    <n v="560"/>
    <n v="3200"/>
    <n v="0"/>
    <n v="30"/>
    <n v="982"/>
    <n v="10961"/>
    <n v="3287"/>
    <n v="4212"/>
  </r>
  <r>
    <s v="Monthly-AE-January-2025.csv"/>
    <x v="6"/>
    <s v="RXC"/>
    <s v="NHS ENGLAND SOUTH EAST "/>
    <x v="70"/>
    <n v="7612"/>
    <n v="0"/>
    <n v="1944"/>
    <n v="2324"/>
    <n v="0"/>
    <n v="1852"/>
    <n v="3990"/>
    <n v="0"/>
    <n v="104"/>
    <n v="0"/>
    <n v="0"/>
    <n v="0"/>
    <n v="256"/>
    <n v="129"/>
    <n v="3276"/>
    <n v="0"/>
    <n v="0"/>
    <n v="485"/>
    <n v="9556"/>
    <n v="4094"/>
    <n v="3761"/>
  </r>
  <r>
    <s v="Monthly-AE-January-2025.csv"/>
    <x v="6"/>
    <s v="RY2"/>
    <s v="NHS ENGLAND NORTH WEST "/>
    <x v="73"/>
    <n v="0"/>
    <n v="0"/>
    <n v="2916"/>
    <n v="0"/>
    <n v="0"/>
    <n v="182"/>
    <n v="0"/>
    <n v="0"/>
    <n v="38"/>
    <n v="0"/>
    <n v="0"/>
    <n v="3"/>
    <n v="0"/>
    <n v="0"/>
    <n v="0"/>
    <n v="0"/>
    <n v="0"/>
    <n v="0"/>
    <n v="2916"/>
    <n v="38"/>
    <n v="0"/>
  </r>
  <r>
    <s v="Monthly-AE-January-2025.csv"/>
    <x v="6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4"/>
    <n v="81"/>
    <n v="0"/>
    <n v="0"/>
    <n v="85"/>
  </r>
  <r>
    <s v="Monthly-AE-January-2025.csv"/>
    <x v="6"/>
    <s v="ARN03"/>
    <s v="NHS ENGLAND NORTH EAST AND YORKSHIRE "/>
    <x v="164"/>
    <n v="0"/>
    <n v="0"/>
    <n v="2035"/>
    <n v="0"/>
    <n v="0"/>
    <n v="256"/>
    <n v="0"/>
    <n v="0"/>
    <n v="9"/>
    <n v="0"/>
    <n v="0"/>
    <n v="0"/>
    <n v="0"/>
    <n v="0"/>
    <n v="0"/>
    <n v="0"/>
    <n v="0"/>
    <n v="0"/>
    <n v="2035"/>
    <n v="9"/>
    <n v="0"/>
  </r>
  <r>
    <s v="Monthly-AE-January-2025.csv"/>
    <x v="6"/>
    <s v="RAX"/>
    <s v="NHS ENGLAND LONDON"/>
    <x v="201"/>
    <n v="7258"/>
    <n v="0"/>
    <n v="7797"/>
    <n v="0"/>
    <n v="0"/>
    <n v="0"/>
    <n v="3722"/>
    <n v="0"/>
    <n v="262"/>
    <n v="0"/>
    <n v="0"/>
    <n v="0"/>
    <n v="341"/>
    <n v="439"/>
    <n v="2449"/>
    <n v="0"/>
    <n v="177"/>
    <n v="340"/>
    <n v="15055"/>
    <n v="3984"/>
    <n v="2966"/>
  </r>
  <r>
    <s v="Monthly-AE-January-2025.csv"/>
    <x v="6"/>
    <s v="RBK"/>
    <s v="NHS ENGLAND MIDLANDS "/>
    <x v="102"/>
    <n v="9044"/>
    <n v="0"/>
    <n v="3905"/>
    <n v="28"/>
    <n v="0"/>
    <n v="150"/>
    <n v="3512"/>
    <n v="0"/>
    <n v="62"/>
    <n v="5"/>
    <n v="0"/>
    <n v="0"/>
    <n v="1337"/>
    <n v="324"/>
    <n v="3896"/>
    <n v="0"/>
    <n v="0"/>
    <n v="807"/>
    <n v="12949"/>
    <n v="3574"/>
    <n v="4703"/>
  </r>
  <r>
    <s v="Monthly-AE-January-2025.csv"/>
    <x v="6"/>
    <s v="RBS"/>
    <s v="NHS ENGLAND NORTH WEST "/>
    <x v="80"/>
    <n v="5771"/>
    <n v="0"/>
    <n v="0"/>
    <n v="0"/>
    <n v="0"/>
    <n v="0"/>
    <n v="1222"/>
    <n v="0"/>
    <n v="0"/>
    <n v="0"/>
    <n v="0"/>
    <n v="0"/>
    <n v="1"/>
    <n v="0"/>
    <n v="860"/>
    <n v="0"/>
    <n v="0"/>
    <n v="316"/>
    <n v="5771"/>
    <n v="1222"/>
    <n v="1176"/>
  </r>
  <r>
    <s v="Monthly-AE-January-2025.csv"/>
    <x v="6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778"/>
    <n v="0"/>
    <n v="0"/>
    <n v="778"/>
  </r>
  <r>
    <s v="Monthly-AE-January-2025.csv"/>
    <x v="6"/>
    <s v="RC9"/>
    <s v="NHS ENGLAND EAST OF ENGLAND "/>
    <x v="131"/>
    <n v="15468"/>
    <n v="0"/>
    <n v="8652"/>
    <n v="0"/>
    <n v="0"/>
    <n v="1060"/>
    <n v="7204"/>
    <n v="0"/>
    <n v="0"/>
    <n v="0"/>
    <n v="0"/>
    <n v="0"/>
    <n v="83"/>
    <n v="22"/>
    <n v="4816"/>
    <n v="0"/>
    <n v="0"/>
    <n v="2319"/>
    <n v="24120"/>
    <n v="7204"/>
    <n v="7135"/>
  </r>
  <r>
    <s v="Monthly-AE-January-2025.csv"/>
    <x v="6"/>
    <s v="RCU"/>
    <s v="NHS ENGLAND NORTH EAST AND YORKSHIRE "/>
    <x v="81"/>
    <n v="4046"/>
    <n v="0"/>
    <n v="424"/>
    <n v="263"/>
    <n v="0"/>
    <n v="32"/>
    <n v="278"/>
    <n v="0"/>
    <n v="0"/>
    <n v="9"/>
    <n v="0"/>
    <n v="0"/>
    <n v="10"/>
    <n v="0"/>
    <n v="1017"/>
    <n v="0"/>
    <n v="0"/>
    <n v="72"/>
    <n v="4470"/>
    <n v="278"/>
    <n v="1089"/>
  </r>
  <r>
    <s v="Monthly-AE-January-2025.csv"/>
    <x v="6"/>
    <s v="RDE"/>
    <s v="NHS ENGLAND EAST OF ENGLAND "/>
    <x v="132"/>
    <n v="11834"/>
    <n v="0"/>
    <n v="13927"/>
    <n v="1055"/>
    <n v="0"/>
    <n v="650"/>
    <n v="6231"/>
    <n v="0"/>
    <n v="288"/>
    <n v="0"/>
    <n v="0"/>
    <n v="0"/>
    <n v="980"/>
    <n v="885"/>
    <n v="6166"/>
    <n v="0"/>
    <n v="413"/>
    <n v="1107"/>
    <n v="25761"/>
    <n v="6519"/>
    <n v="7686"/>
  </r>
  <r>
    <s v="Monthly-AE-January-2025.csv"/>
    <x v="6"/>
    <s v="RDR"/>
    <s v="NHS ENGLAND SOUTH EAST "/>
    <x v="166"/>
    <n v="0"/>
    <n v="0"/>
    <n v="11327"/>
    <n v="0"/>
    <n v="0"/>
    <n v="0"/>
    <n v="0"/>
    <n v="0"/>
    <n v="87"/>
    <n v="0"/>
    <n v="0"/>
    <n v="0"/>
    <n v="0"/>
    <n v="0"/>
    <n v="0"/>
    <n v="0"/>
    <n v="0"/>
    <n v="3"/>
    <n v="11327"/>
    <n v="87"/>
    <n v="3"/>
  </r>
  <r>
    <s v="Monthly-AE-January-2025.csv"/>
    <x v="6"/>
    <s v="RDU"/>
    <s v="NHS ENGLAND SOUTH EAST "/>
    <x v="82"/>
    <n v="22829"/>
    <n v="927"/>
    <n v="12305"/>
    <n v="0"/>
    <n v="0"/>
    <n v="0"/>
    <n v="8728"/>
    <n v="4"/>
    <n v="224"/>
    <n v="0"/>
    <n v="0"/>
    <n v="0"/>
    <n v="1745"/>
    <n v="633"/>
    <n v="6324"/>
    <n v="0"/>
    <n v="0"/>
    <n v="102"/>
    <n v="36061"/>
    <n v="8956"/>
    <n v="6426"/>
  </r>
  <r>
    <s v="Monthly-AE-January-2025.csv"/>
    <x v="6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73"/>
    <n v="0"/>
    <n v="0"/>
    <n v="173"/>
  </r>
  <r>
    <s v="Monthly-AE-January-2025.csv"/>
    <x v="6"/>
    <s v="RFS"/>
    <s v="NHS ENGLAND MIDLANDS "/>
    <x v="133"/>
    <n v="6401"/>
    <n v="0"/>
    <n v="5595"/>
    <n v="355"/>
    <n v="0"/>
    <n v="150"/>
    <n v="3389"/>
    <n v="0"/>
    <n v="289"/>
    <n v="152"/>
    <n v="0"/>
    <n v="27"/>
    <n v="1224"/>
    <n v="392"/>
    <n v="2712"/>
    <n v="0"/>
    <n v="312"/>
    <n v="694"/>
    <n v="11996"/>
    <n v="3678"/>
    <n v="3718"/>
  </r>
  <r>
    <s v="Monthly-AE-January-2025.csv"/>
    <x v="6"/>
    <s v="RGN"/>
    <s v="NHS ENGLAND EAST OF ENGLAND "/>
    <x v="106"/>
    <n v="14196"/>
    <n v="0"/>
    <n v="3919"/>
    <n v="356"/>
    <n v="0"/>
    <n v="517"/>
    <n v="6058"/>
    <n v="0"/>
    <n v="143"/>
    <n v="104"/>
    <n v="0"/>
    <n v="8"/>
    <n v="584"/>
    <n v="883"/>
    <n v="3744"/>
    <n v="0"/>
    <n v="48"/>
    <n v="1647"/>
    <n v="18115"/>
    <n v="6201"/>
    <n v="5439"/>
  </r>
  <r>
    <s v="Monthly-AE-January-2025.csv"/>
    <x v="6"/>
    <s v="RH5"/>
    <s v="NHS ENGLAND SOUTH WEST "/>
    <x v="175"/>
    <n v="11562"/>
    <n v="0"/>
    <n v="9286"/>
    <n v="0"/>
    <n v="0"/>
    <n v="1"/>
    <n v="5403"/>
    <n v="0"/>
    <n v="133"/>
    <n v="0"/>
    <n v="0"/>
    <n v="0"/>
    <n v="830"/>
    <n v="329"/>
    <n v="2994"/>
    <n v="0"/>
    <n v="0"/>
    <n v="1761"/>
    <n v="20848"/>
    <n v="5536"/>
    <n v="4755"/>
  </r>
  <r>
    <s v="Monthly-AE-January-2025.csv"/>
    <x v="6"/>
    <s v="RH8"/>
    <s v="NHS ENGLAND SOUTH WEST "/>
    <x v="186"/>
    <n v="11393"/>
    <n v="0"/>
    <n v="4152"/>
    <n v="1181"/>
    <n v="0"/>
    <n v="88"/>
    <n v="5065"/>
    <n v="0"/>
    <n v="5"/>
    <n v="420"/>
    <n v="0"/>
    <n v="1"/>
    <n v="1774"/>
    <n v="261"/>
    <n v="3644"/>
    <n v="0"/>
    <n v="0"/>
    <n v="1948"/>
    <n v="15545"/>
    <n v="5070"/>
    <n v="5592"/>
  </r>
  <r>
    <s v="Monthly-AE-January-2025.csv"/>
    <x v="6"/>
    <s v="RHM"/>
    <s v="NHS ENGLAND SOUTH EAST "/>
    <x v="134"/>
    <n v="11405"/>
    <n v="1085"/>
    <n v="0"/>
    <n v="323"/>
    <n v="0"/>
    <n v="0"/>
    <n v="4425"/>
    <n v="80"/>
    <n v="0"/>
    <n v="122"/>
    <n v="0"/>
    <n v="0"/>
    <n v="506"/>
    <n v="14"/>
    <n v="4061"/>
    <n v="8"/>
    <n v="0"/>
    <n v="1762"/>
    <n v="12490"/>
    <n v="4505"/>
    <n v="5831"/>
  </r>
  <r>
    <s v="Monthly-AE-January-2025.csv"/>
    <x v="6"/>
    <s v="RJ1"/>
    <s v="NHS ENGLAND LONDON"/>
    <x v="135"/>
    <n v="9690"/>
    <n v="724"/>
    <n v="6461"/>
    <n v="0"/>
    <n v="0"/>
    <n v="0"/>
    <n v="3843"/>
    <n v="20"/>
    <n v="141"/>
    <n v="0"/>
    <n v="0"/>
    <n v="0"/>
    <n v="174"/>
    <n v="71"/>
    <n v="2114"/>
    <n v="0"/>
    <n v="0"/>
    <n v="358"/>
    <n v="16875"/>
    <n v="4004"/>
    <n v="2472"/>
  </r>
  <r>
    <s v="Monthly-AE-January-2025.csv"/>
    <x v="6"/>
    <s v="RJ6"/>
    <s v="NHS ENGLAND LONDON"/>
    <x v="136"/>
    <n v="12997"/>
    <n v="0"/>
    <n v="5212"/>
    <n v="0"/>
    <n v="0"/>
    <n v="0"/>
    <n v="5139"/>
    <n v="0"/>
    <n v="0"/>
    <n v="0"/>
    <n v="0"/>
    <n v="0"/>
    <n v="289"/>
    <n v="441"/>
    <n v="1209"/>
    <n v="0"/>
    <n v="0"/>
    <n v="167"/>
    <n v="18209"/>
    <n v="5139"/>
    <n v="1376"/>
  </r>
  <r>
    <s v="Monthly-AE-January-2025.csv"/>
    <x v="6"/>
    <s v="RJE"/>
    <s v="NHS ENGLAND MIDLANDS "/>
    <x v="84"/>
    <n v="13301"/>
    <n v="490"/>
    <n v="7890"/>
    <n v="790"/>
    <n v="0"/>
    <n v="627"/>
    <n v="7150"/>
    <n v="0"/>
    <n v="236"/>
    <n v="360"/>
    <n v="0"/>
    <n v="20"/>
    <n v="915"/>
    <n v="1318"/>
    <n v="5493"/>
    <n v="0"/>
    <n v="0"/>
    <n v="3127"/>
    <n v="21681"/>
    <n v="7386"/>
    <n v="8620"/>
  </r>
  <r>
    <s v="Monthly-AE-January-2025.csv"/>
    <x v="6"/>
    <s v="RJL"/>
    <s v="NHS ENGLAND NORTH EAST AND YORKSHIRE "/>
    <x v="188"/>
    <n v="8659"/>
    <n v="0"/>
    <n v="6622"/>
    <n v="0"/>
    <n v="0"/>
    <n v="443"/>
    <n v="4696"/>
    <n v="0"/>
    <n v="47"/>
    <n v="0"/>
    <n v="0"/>
    <n v="7"/>
    <n v="544"/>
    <n v="1018"/>
    <n v="5519"/>
    <n v="0"/>
    <n v="0"/>
    <n v="452"/>
    <n v="15281"/>
    <n v="4743"/>
    <n v="5971"/>
  </r>
  <r>
    <s v="Monthly-AE-January-2025.csv"/>
    <x v="6"/>
    <s v="RJZ"/>
    <s v="NHS ENGLAND LONDON"/>
    <x v="62"/>
    <n v="15093"/>
    <n v="0"/>
    <n v="8699"/>
    <n v="56"/>
    <n v="0"/>
    <n v="1335"/>
    <n v="7166"/>
    <n v="0"/>
    <n v="387"/>
    <n v="20"/>
    <n v="0"/>
    <n v="0"/>
    <n v="1419"/>
    <n v="1279"/>
    <n v="3632"/>
    <n v="0"/>
    <n v="0"/>
    <n v="366"/>
    <n v="23792"/>
    <n v="7553"/>
    <n v="3998"/>
  </r>
  <r>
    <s v="Monthly-AE-January-2025.csv"/>
    <x v="6"/>
    <s v="RK5"/>
    <s v="NHS ENGLAND MIDLANDS "/>
    <x v="109"/>
    <n v="10068"/>
    <n v="0"/>
    <n v="5348"/>
    <n v="379"/>
    <n v="0"/>
    <n v="167"/>
    <n v="4836"/>
    <n v="0"/>
    <n v="479"/>
    <n v="211"/>
    <n v="0"/>
    <n v="9"/>
    <n v="898"/>
    <n v="189"/>
    <n v="3786"/>
    <n v="0"/>
    <n v="0"/>
    <n v="256"/>
    <n v="15416"/>
    <n v="5315"/>
    <n v="4042"/>
  </r>
  <r>
    <s v="Monthly-AE-January-2025.csv"/>
    <x v="6"/>
    <s v="RKB"/>
    <s v="NHS ENGLAND MIDLANDS "/>
    <x v="140"/>
    <n v="11610"/>
    <n v="1525"/>
    <n v="6128"/>
    <n v="0"/>
    <n v="0"/>
    <n v="0"/>
    <n v="5201"/>
    <n v="151"/>
    <n v="184"/>
    <n v="0"/>
    <n v="0"/>
    <n v="0"/>
    <n v="96"/>
    <n v="30"/>
    <n v="1779"/>
    <n v="40"/>
    <n v="71"/>
    <n v="661"/>
    <n v="19263"/>
    <n v="5536"/>
    <n v="2551"/>
  </r>
  <r>
    <s v="Monthly-AE-January-2025.csv"/>
    <x v="6"/>
    <s v="RKE"/>
    <s v="NHS ENGLAND LONDON"/>
    <x v="170"/>
    <n v="9061"/>
    <n v="0"/>
    <n v="0"/>
    <n v="0"/>
    <n v="0"/>
    <n v="0"/>
    <n v="2865"/>
    <n v="0"/>
    <n v="0"/>
    <n v="0"/>
    <n v="0"/>
    <n v="0"/>
    <n v="131"/>
    <n v="466"/>
    <n v="1137"/>
    <n v="0"/>
    <n v="0"/>
    <n v="48"/>
    <n v="9061"/>
    <n v="2865"/>
    <n v="1185"/>
  </r>
  <r>
    <s v="Monthly-AE-January-2025.csv"/>
    <x v="6"/>
    <s v="RLT"/>
    <s v="NHS ENGLAND MIDLANDS "/>
    <x v="141"/>
    <n v="6748"/>
    <n v="0"/>
    <n v="1527"/>
    <n v="0"/>
    <n v="0"/>
    <n v="0"/>
    <n v="2378"/>
    <n v="0"/>
    <n v="19"/>
    <n v="0"/>
    <n v="0"/>
    <n v="0"/>
    <n v="566"/>
    <n v="224"/>
    <n v="1130"/>
    <n v="0"/>
    <n v="0"/>
    <n v="0"/>
    <n v="8275"/>
    <n v="2397"/>
    <n v="1130"/>
  </r>
  <r>
    <s v="Monthly-AE-January-2025.csv"/>
    <x v="6"/>
    <s v="RM3"/>
    <s v="NHS ENGLAND NORTH WEST "/>
    <x v="193"/>
    <n v="24521"/>
    <n v="0"/>
    <n v="9020"/>
    <n v="0"/>
    <n v="0"/>
    <n v="0"/>
    <n v="10941"/>
    <n v="0"/>
    <n v="424"/>
    <n v="0"/>
    <n v="0"/>
    <n v="0"/>
    <n v="1164"/>
    <n v="1488"/>
    <n v="7213"/>
    <n v="0"/>
    <n v="314"/>
    <n v="2240"/>
    <n v="33541"/>
    <n v="11365"/>
    <n v="9767"/>
  </r>
  <r>
    <s v="Monthly-AE-January-2025.csv"/>
    <x v="6"/>
    <s v="RN3"/>
    <s v="NHS ENGLAND SOUTH WEST "/>
    <x v="179"/>
    <n v="5176"/>
    <n v="0"/>
    <n v="5001"/>
    <n v="0"/>
    <n v="0"/>
    <n v="0"/>
    <n v="2581"/>
    <n v="0"/>
    <n v="109"/>
    <n v="0"/>
    <n v="0"/>
    <n v="0"/>
    <n v="422"/>
    <n v="498"/>
    <n v="2350"/>
    <n v="0"/>
    <n v="0"/>
    <n v="1424"/>
    <n v="10177"/>
    <n v="2690"/>
    <n v="3774"/>
  </r>
  <r>
    <s v="Monthly-AE-January-2025.csv"/>
    <x v="6"/>
    <s v="RNA"/>
    <s v="NHS ENGLAND MIDLANDS "/>
    <x v="63"/>
    <n v="8787"/>
    <n v="0"/>
    <n v="4176"/>
    <n v="0"/>
    <n v="0"/>
    <n v="735"/>
    <n v="2924"/>
    <n v="0"/>
    <n v="120"/>
    <n v="0"/>
    <n v="0"/>
    <n v="0"/>
    <n v="1921"/>
    <n v="95"/>
    <n v="3650"/>
    <n v="0"/>
    <n v="0"/>
    <n v="2582"/>
    <n v="12963"/>
    <n v="3044"/>
    <n v="6232"/>
  </r>
  <r>
    <s v="Monthly-AE-January-2025.csv"/>
    <x v="6"/>
    <s v="RNN"/>
    <s v="NHS ENGLAND NORTH EAST AND YORKSHIRE "/>
    <x v="111"/>
    <n v="8129"/>
    <n v="0"/>
    <n v="1630"/>
    <n v="330"/>
    <n v="0"/>
    <n v="38"/>
    <n v="4039"/>
    <n v="0"/>
    <n v="30"/>
    <n v="94"/>
    <n v="0"/>
    <n v="3"/>
    <n v="770"/>
    <n v="657"/>
    <n v="2420"/>
    <n v="0"/>
    <n v="0"/>
    <n v="851"/>
    <n v="9759"/>
    <n v="4069"/>
    <n v="3271"/>
  </r>
  <r>
    <s v="Monthly-AE-January-2025.csv"/>
    <x v="6"/>
    <s v="RP5"/>
    <s v="NHS ENGLAND NORTH EAST AND YORKSHIRE "/>
    <x v="145"/>
    <n v="13236"/>
    <n v="0"/>
    <n v="3840"/>
    <n v="0"/>
    <n v="0"/>
    <n v="0"/>
    <n v="5143"/>
    <n v="0"/>
    <n v="5"/>
    <n v="0"/>
    <n v="0"/>
    <n v="0"/>
    <n v="1148"/>
    <n v="255"/>
    <n v="4208"/>
    <n v="0"/>
    <n v="355"/>
    <n v="1068"/>
    <n v="17076"/>
    <n v="5148"/>
    <n v="5631"/>
  </r>
  <r>
    <s v="Monthly-AE-January-2025.csv"/>
    <x v="6"/>
    <s v="RP6"/>
    <s v="NHS ENGLAND LONDON"/>
    <x v="65"/>
    <n v="0"/>
    <n v="5778"/>
    <n v="0"/>
    <n v="0"/>
    <n v="0"/>
    <n v="0"/>
    <n v="0"/>
    <n v="117"/>
    <n v="0"/>
    <n v="0"/>
    <n v="0"/>
    <n v="0"/>
    <n v="0"/>
    <n v="0"/>
    <n v="0"/>
    <n v="1"/>
    <n v="0"/>
    <n v="220"/>
    <n v="5778"/>
    <n v="117"/>
    <n v="221"/>
  </r>
  <r>
    <s v="Monthly-AE-January-2025.csv"/>
    <x v="6"/>
    <s v="RPA"/>
    <s v="NHS ENGLAND SOUTH EAST "/>
    <x v="146"/>
    <n v="8263"/>
    <n v="0"/>
    <n v="6752"/>
    <n v="274"/>
    <n v="0"/>
    <n v="1293"/>
    <n v="3239"/>
    <n v="0"/>
    <n v="692"/>
    <n v="78"/>
    <n v="0"/>
    <n v="0"/>
    <n v="388"/>
    <n v="756"/>
    <n v="1905"/>
    <n v="0"/>
    <n v="0"/>
    <n v="523"/>
    <n v="15015"/>
    <n v="3931"/>
    <n v="2428"/>
  </r>
  <r>
    <s v="Monthly-AE-January-2025.csv"/>
    <x v="6"/>
    <s v="RQM"/>
    <s v="NHS ENGLAND LONDON"/>
    <x v="147"/>
    <n v="19579"/>
    <n v="0"/>
    <n v="6169"/>
    <n v="621"/>
    <n v="0"/>
    <n v="0"/>
    <n v="6626"/>
    <n v="0"/>
    <n v="160"/>
    <n v="0"/>
    <n v="0"/>
    <n v="0"/>
    <n v="1454"/>
    <n v="56"/>
    <n v="2841"/>
    <n v="0"/>
    <n v="0"/>
    <n v="433"/>
    <n v="25748"/>
    <n v="6786"/>
    <n v="3274"/>
  </r>
  <r>
    <s v="Monthly-AE-January-2025.csv"/>
    <x v="6"/>
    <s v="RR8"/>
    <s v="NHS ENGLAND NORTH EAST AND YORKSHIRE "/>
    <x v="149"/>
    <n v="16895"/>
    <n v="684"/>
    <n v="11171"/>
    <n v="31"/>
    <n v="0"/>
    <n v="79"/>
    <n v="7386"/>
    <n v="0"/>
    <n v="98"/>
    <n v="13"/>
    <n v="0"/>
    <n v="0"/>
    <n v="1637"/>
    <n v="679"/>
    <n v="3763"/>
    <n v="0"/>
    <n v="0"/>
    <n v="1332"/>
    <n v="28750"/>
    <n v="7484"/>
    <n v="5095"/>
  </r>
  <r>
    <s v="Monthly-AE-January-2025.csv"/>
    <x v="6"/>
    <s v="RRF"/>
    <s v="NHS ENGLAND NORTH WEST "/>
    <x v="150"/>
    <n v="7069"/>
    <n v="0"/>
    <n v="4671"/>
    <n v="0"/>
    <n v="0"/>
    <n v="0"/>
    <n v="3999"/>
    <n v="0"/>
    <n v="70"/>
    <n v="0"/>
    <n v="0"/>
    <n v="0"/>
    <n v="1163"/>
    <n v="569"/>
    <n v="2013"/>
    <n v="0"/>
    <n v="0"/>
    <n v="833"/>
    <n v="11740"/>
    <n v="4069"/>
    <n v="2846"/>
  </r>
  <r>
    <s v="Monthly-AE-January-2025.csv"/>
    <x v="6"/>
    <s v="RRV"/>
    <s v="NHS ENGLAND LONDON"/>
    <x v="28"/>
    <n v="12580"/>
    <n v="0"/>
    <n v="0"/>
    <n v="481"/>
    <n v="0"/>
    <n v="0"/>
    <n v="3457"/>
    <n v="0"/>
    <n v="0"/>
    <n v="0"/>
    <n v="0"/>
    <n v="0"/>
    <n v="394"/>
    <n v="244"/>
    <n v="1343"/>
    <n v="0"/>
    <n v="0"/>
    <n v="251"/>
    <n v="12580"/>
    <n v="3457"/>
    <n v="1594"/>
  </r>
  <r>
    <s v="Monthly-AE-January-2025.csv"/>
    <x v="6"/>
    <s v="RTE"/>
    <s v="NHS ENGLAND SOUTH WEST "/>
    <x v="151"/>
    <n v="12179"/>
    <n v="0"/>
    <n v="0"/>
    <n v="199"/>
    <n v="0"/>
    <n v="0"/>
    <n v="4551"/>
    <n v="0"/>
    <n v="0"/>
    <n v="49"/>
    <n v="0"/>
    <n v="0"/>
    <n v="392"/>
    <n v="569"/>
    <n v="2635"/>
    <n v="0"/>
    <n v="0"/>
    <n v="2408"/>
    <n v="12179"/>
    <n v="4551"/>
    <n v="5043"/>
  </r>
  <r>
    <s v="Monthly-AE-January-2025.csv"/>
    <x v="6"/>
    <s v="RVJ"/>
    <s v="NHS ENGLAND SOUTH WEST "/>
    <x v="89"/>
    <n v="8183"/>
    <n v="0"/>
    <n v="0"/>
    <n v="19"/>
    <n v="0"/>
    <n v="0"/>
    <n v="3292"/>
    <n v="0"/>
    <n v="0"/>
    <n v="5"/>
    <n v="0"/>
    <n v="0"/>
    <n v="477"/>
    <n v="545"/>
    <n v="2920"/>
    <n v="0"/>
    <n v="0"/>
    <n v="2321"/>
    <n v="8183"/>
    <n v="3292"/>
    <n v="5241"/>
  </r>
  <r>
    <s v="Monthly-AE-January-2025.csv"/>
    <x v="6"/>
    <s v="RVR"/>
    <s v="NHS ENGLAND LONDON"/>
    <x v="154"/>
    <n v="10516"/>
    <n v="351"/>
    <n v="1443"/>
    <n v="483"/>
    <n v="0"/>
    <n v="46"/>
    <n v="3149"/>
    <n v="0"/>
    <n v="50"/>
    <n v="43"/>
    <n v="0"/>
    <n v="1"/>
    <n v="251"/>
    <n v="739"/>
    <n v="1916"/>
    <n v="5"/>
    <n v="0"/>
    <n v="167"/>
    <n v="12310"/>
    <n v="3199"/>
    <n v="2088"/>
  </r>
  <r>
    <s v="Monthly-AE-January-2025.csv"/>
    <x v="6"/>
    <s v="RVV"/>
    <s v="NHS ENGLAND SOUTH EAST "/>
    <x v="155"/>
    <n v="12952"/>
    <n v="0"/>
    <n v="12223"/>
    <n v="0"/>
    <n v="0"/>
    <n v="0"/>
    <n v="6343"/>
    <n v="0"/>
    <n v="357"/>
    <n v="0"/>
    <n v="0"/>
    <n v="0"/>
    <n v="446"/>
    <n v="1380"/>
    <n v="3056"/>
    <n v="0"/>
    <n v="562"/>
    <n v="511"/>
    <n v="25175"/>
    <n v="6700"/>
    <n v="4129"/>
  </r>
  <r>
    <s v="Monthly-AE-January-2025.csv"/>
    <x v="6"/>
    <s v="RWD"/>
    <s v="NHS ENGLAND MIDLANDS "/>
    <x v="202"/>
    <n v="15569"/>
    <n v="0"/>
    <n v="3568"/>
    <n v="0"/>
    <n v="0"/>
    <n v="0"/>
    <n v="6284"/>
    <n v="0"/>
    <n v="714"/>
    <n v="0"/>
    <n v="0"/>
    <n v="0"/>
    <n v="877"/>
    <n v="1317"/>
    <n v="4703"/>
    <n v="0"/>
    <n v="0"/>
    <n v="1153"/>
    <n v="19137"/>
    <n v="6998"/>
    <n v="5856"/>
  </r>
  <r>
    <s v="Monthly-AE-January-2025.csv"/>
    <x v="6"/>
    <s v="RWH"/>
    <s v="NHS ENGLAND EAST OF ENGLAND "/>
    <x v="157"/>
    <n v="8687"/>
    <n v="0"/>
    <n v="7191"/>
    <n v="0"/>
    <n v="0"/>
    <n v="0"/>
    <n v="4818"/>
    <n v="0"/>
    <n v="28"/>
    <n v="0"/>
    <n v="0"/>
    <n v="0"/>
    <n v="275"/>
    <n v="340"/>
    <n v="2953"/>
    <n v="0"/>
    <n v="2"/>
    <n v="178"/>
    <n v="15878"/>
    <n v="4846"/>
    <n v="3133"/>
  </r>
  <r>
    <s v="Monthly-AE-January-2025.csv"/>
    <x v="6"/>
    <s v="RX1"/>
    <s v="NHS ENGLAND MIDLANDS "/>
    <x v="69"/>
    <n v="15464"/>
    <n v="1684"/>
    <n v="296"/>
    <n v="0"/>
    <n v="0"/>
    <n v="0"/>
    <n v="7941"/>
    <n v="70"/>
    <n v="7"/>
    <n v="0"/>
    <n v="0"/>
    <n v="0"/>
    <n v="637"/>
    <n v="779"/>
    <n v="4567"/>
    <n v="0"/>
    <n v="0"/>
    <n v="4489"/>
    <n v="17444"/>
    <n v="8018"/>
    <n v="9056"/>
  </r>
  <r>
    <s v="Monthly-AE-January-2025.csv"/>
    <x v="6"/>
    <s v="RXN"/>
    <s v="NHS ENGLAND NORTH WEST "/>
    <x v="91"/>
    <n v="11443"/>
    <n v="0"/>
    <n v="3400"/>
    <n v="250"/>
    <n v="0"/>
    <n v="79"/>
    <n v="4641"/>
    <n v="0"/>
    <n v="86"/>
    <n v="44"/>
    <n v="0"/>
    <n v="2"/>
    <n v="978"/>
    <n v="511"/>
    <n v="2938"/>
    <n v="0"/>
    <n v="101"/>
    <n v="1443"/>
    <n v="14843"/>
    <n v="4727"/>
    <n v="4482"/>
  </r>
  <r>
    <s v="Monthly-AE-January-2025.csv"/>
    <x v="6"/>
    <s v="R1F"/>
    <s v="NHS ENGLAND SOUTH EAST "/>
    <x v="127"/>
    <n v="4428"/>
    <n v="292"/>
    <n v="1304"/>
    <n v="18"/>
    <n v="0"/>
    <n v="25"/>
    <n v="1822"/>
    <n v="0"/>
    <n v="0"/>
    <n v="9"/>
    <n v="0"/>
    <n v="0"/>
    <n v="293"/>
    <n v="169"/>
    <n v="1275"/>
    <n v="0"/>
    <n v="0"/>
    <n v="102"/>
    <n v="6024"/>
    <n v="1822"/>
    <n v="1377"/>
  </r>
  <r>
    <s v="Monthly-AE-January-2025.csv"/>
    <x v="6"/>
    <s v="R1H"/>
    <s v="NHS ENGLAND LONDON"/>
    <x v="96"/>
    <n v="25012"/>
    <n v="944"/>
    <n v="17880"/>
    <n v="0"/>
    <n v="0"/>
    <n v="0"/>
    <n v="11280"/>
    <n v="14"/>
    <n v="1536"/>
    <n v="0"/>
    <n v="0"/>
    <n v="0"/>
    <n v="1025"/>
    <n v="1319"/>
    <n v="4419"/>
    <n v="2"/>
    <n v="32"/>
    <n v="1236"/>
    <n v="43836"/>
    <n v="12830"/>
    <n v="5689"/>
  </r>
  <r>
    <s v="Monthly-AE-January-2025.csv"/>
    <x v="6"/>
    <s v="RD1"/>
    <s v="NHS ENGLAND SOUTH WEST "/>
    <x v="165"/>
    <n v="7900"/>
    <n v="0"/>
    <n v="0"/>
    <n v="0"/>
    <n v="0"/>
    <n v="0"/>
    <n v="3122"/>
    <n v="0"/>
    <n v="0"/>
    <n v="0"/>
    <n v="0"/>
    <n v="0"/>
    <n v="836"/>
    <n v="204"/>
    <n v="2539"/>
    <n v="0"/>
    <n v="6"/>
    <n v="1807"/>
    <n v="7900"/>
    <n v="3122"/>
    <n v="4352"/>
  </r>
  <r>
    <s v="Monthly-AE-January-2025.csv"/>
    <x v="6"/>
    <s v="RGT"/>
    <s v="NHS ENGLAND EAST OF ENGLAND "/>
    <x v="107"/>
    <n v="9799"/>
    <n v="0"/>
    <n v="5526"/>
    <n v="299"/>
    <n v="0"/>
    <n v="320"/>
    <n v="4602"/>
    <n v="0"/>
    <n v="42"/>
    <n v="60"/>
    <n v="0"/>
    <n v="0"/>
    <n v="520"/>
    <n v="646"/>
    <n v="2710"/>
    <n v="0"/>
    <n v="33"/>
    <n v="525"/>
    <n v="15325"/>
    <n v="4644"/>
    <n v="3268"/>
  </r>
  <r>
    <s v="Monthly-AE-January-2025.csv"/>
    <x v="6"/>
    <s v="RHQ"/>
    <s v="NHS ENGLAND NORTH EAST AND YORKSHIRE "/>
    <x v="168"/>
    <n v="8814"/>
    <n v="1182"/>
    <n v="6799"/>
    <n v="420"/>
    <n v="1"/>
    <n v="1272"/>
    <n v="5022"/>
    <n v="0"/>
    <n v="288"/>
    <n v="211"/>
    <n v="0"/>
    <n v="26"/>
    <n v="1534"/>
    <n v="22"/>
    <n v="3721"/>
    <n v="0"/>
    <n v="0"/>
    <n v="3082"/>
    <n v="16795"/>
    <n v="5310"/>
    <n v="6803"/>
  </r>
  <r>
    <s v="Monthly-AE-January-2025.csv"/>
    <x v="6"/>
    <s v="RHU"/>
    <s v="NHS ENGLAND SOUTH EAST "/>
    <x v="194"/>
    <n v="9971"/>
    <n v="965"/>
    <n v="2740"/>
    <n v="1554"/>
    <n v="0"/>
    <n v="807"/>
    <n v="4829"/>
    <n v="16"/>
    <n v="93"/>
    <n v="560"/>
    <n v="0"/>
    <n v="14"/>
    <n v="1377"/>
    <n v="349"/>
    <n v="3461"/>
    <n v="0"/>
    <n v="0"/>
    <n v="2579"/>
    <n v="13676"/>
    <n v="4938"/>
    <n v="6040"/>
  </r>
  <r>
    <s v="Monthly-AE-January-2025.csv"/>
    <x v="6"/>
    <s v="RM1"/>
    <s v="NHS ENGLAND EAST OF ENGLAND "/>
    <x v="142"/>
    <n v="12018"/>
    <n v="0"/>
    <n v="8406"/>
    <n v="0"/>
    <n v="0"/>
    <n v="0"/>
    <n v="4148"/>
    <n v="0"/>
    <n v="6"/>
    <n v="0"/>
    <n v="0"/>
    <n v="0"/>
    <n v="1037"/>
    <n v="379"/>
    <n v="2563"/>
    <n v="0"/>
    <n v="0"/>
    <n v="1680"/>
    <n v="20424"/>
    <n v="4154"/>
    <n v="4243"/>
  </r>
  <r>
    <s v="Monthly-AE-January-2025.csv"/>
    <x v="6"/>
    <s v="RWJ"/>
    <s v="NHS ENGLAND NORTH WEST "/>
    <x v="158"/>
    <n v="7893"/>
    <n v="0"/>
    <n v="987"/>
    <n v="268"/>
    <n v="0"/>
    <n v="67"/>
    <n v="3490"/>
    <n v="0"/>
    <n v="56"/>
    <n v="87"/>
    <n v="0"/>
    <n v="1"/>
    <n v="789"/>
    <n v="500"/>
    <n v="2744"/>
    <n v="0"/>
    <n v="81"/>
    <n v="901"/>
    <n v="8880"/>
    <n v="3546"/>
    <n v="3726"/>
  </r>
  <r>
    <s v="Monthly-AE-January-2025.csv"/>
    <x v="6"/>
    <s v="RWX"/>
    <s v="NHS ENGLAND SOUTH EAST "/>
    <x v="173"/>
    <n v="0"/>
    <n v="0"/>
    <n v="1264"/>
    <n v="0"/>
    <n v="0"/>
    <n v="0"/>
    <n v="0"/>
    <n v="0"/>
    <n v="16"/>
    <n v="0"/>
    <n v="0"/>
    <n v="0"/>
    <n v="0"/>
    <n v="0"/>
    <n v="0"/>
    <n v="0"/>
    <n v="39"/>
    <n v="0"/>
    <n v="1264"/>
    <n v="16"/>
    <n v="39"/>
  </r>
  <r>
    <s v="Monthly-AE-January-2025.csv"/>
    <x v="6"/>
    <s v="RYJ"/>
    <s v="NHS ENGLAND LONDON"/>
    <x v="163"/>
    <n v="12227"/>
    <n v="3650"/>
    <n v="7192"/>
    <n v="0"/>
    <n v="0"/>
    <n v="480"/>
    <n v="5362"/>
    <n v="21"/>
    <n v="417"/>
    <n v="0"/>
    <n v="0"/>
    <n v="0"/>
    <n v="656"/>
    <n v="551"/>
    <n v="3722"/>
    <n v="1"/>
    <n v="0"/>
    <n v="1219"/>
    <n v="23069"/>
    <n v="5800"/>
    <n v="4942"/>
  </r>
  <r>
    <s v="Monthly-AE-January-2025.csv"/>
    <x v="6"/>
    <s v="RYR"/>
    <s v="NHS ENGLAND SOUTH EAST "/>
    <x v="122"/>
    <n v="24951"/>
    <n v="1364"/>
    <n v="1239"/>
    <n v="1866"/>
    <n v="0"/>
    <n v="626"/>
    <n v="9961"/>
    <n v="63"/>
    <n v="137"/>
    <n v="493"/>
    <n v="0"/>
    <n v="2"/>
    <n v="894"/>
    <n v="1176"/>
    <n v="8454"/>
    <n v="30"/>
    <n v="50"/>
    <n v="1684"/>
    <n v="27554"/>
    <n v="10161"/>
    <n v="10218"/>
  </r>
  <r>
    <s v="Monthly-AE-January-2025.csv"/>
    <x v="6"/>
    <s v="RQX"/>
    <s v="NHS ENGLAND LONDON"/>
    <x v="36"/>
    <n v="10961"/>
    <n v="0"/>
    <n v="0"/>
    <n v="0"/>
    <n v="0"/>
    <n v="0"/>
    <n v="2378"/>
    <n v="0"/>
    <n v="0"/>
    <n v="0"/>
    <n v="0"/>
    <n v="0"/>
    <n v="351"/>
    <n v="24"/>
    <n v="1836"/>
    <n v="0"/>
    <n v="0"/>
    <n v="380"/>
    <n v="10961"/>
    <n v="2378"/>
    <n v="2216"/>
  </r>
  <r>
    <s v="Monthly-AE-January-2025.csv"/>
    <x v="6"/>
    <s v="RJ7"/>
    <s v="NHS ENGLAND LONDON"/>
    <x v="137"/>
    <n v="8811"/>
    <n v="0"/>
    <n v="3322"/>
    <n v="522"/>
    <n v="0"/>
    <n v="0"/>
    <n v="2673"/>
    <n v="0"/>
    <n v="0"/>
    <n v="72"/>
    <n v="0"/>
    <n v="0"/>
    <n v="574"/>
    <n v="838"/>
    <n v="2575"/>
    <n v="0"/>
    <n v="0"/>
    <n v="806"/>
    <n v="12133"/>
    <n v="2673"/>
    <n v="3381"/>
  </r>
  <r>
    <s v="Monthly-AE-January-2025.csv"/>
    <x v="6"/>
    <s v="AD913"/>
    <s v="NHS ENGLAND LONDON"/>
    <x v="3"/>
    <n v="0"/>
    <n v="0"/>
    <n v="3770"/>
    <n v="0"/>
    <n v="0"/>
    <n v="33"/>
    <n v="0"/>
    <n v="0"/>
    <n v="33"/>
    <n v="0"/>
    <n v="0"/>
    <n v="0"/>
    <n v="0"/>
    <n v="0"/>
    <n v="0"/>
    <n v="0"/>
    <n v="0"/>
    <n v="0"/>
    <n v="3770"/>
    <n v="33"/>
    <n v="0"/>
  </r>
  <r>
    <s v="Monthly-AE-January-2025.csv"/>
    <x v="6"/>
    <s v="RBL"/>
    <s v="NHS ENGLAND NORTH WEST "/>
    <x v="183"/>
    <n v="7439"/>
    <n v="0"/>
    <n v="2746"/>
    <n v="0"/>
    <n v="0"/>
    <n v="209"/>
    <n v="3996"/>
    <n v="0"/>
    <n v="63"/>
    <n v="0"/>
    <n v="0"/>
    <n v="4"/>
    <n v="393"/>
    <n v="976"/>
    <n v="2069"/>
    <n v="0"/>
    <n v="0"/>
    <n v="1704"/>
    <n v="10185"/>
    <n v="4059"/>
    <n v="3773"/>
  </r>
  <r>
    <s v="Monthly-AE-January-2025.csv"/>
    <x v="6"/>
    <s v="RHW"/>
    <s v="NHS ENGLAND SOUTH EAST "/>
    <x v="187"/>
    <n v="10473"/>
    <n v="2370"/>
    <n v="2248"/>
    <n v="820"/>
    <n v="21"/>
    <n v="0"/>
    <n v="4345"/>
    <n v="18"/>
    <n v="0"/>
    <n v="315"/>
    <n v="0"/>
    <n v="0"/>
    <n v="916"/>
    <n v="37"/>
    <n v="2479"/>
    <n v="0"/>
    <n v="0"/>
    <n v="482"/>
    <n v="15091"/>
    <n v="4363"/>
    <n v="2961"/>
  </r>
  <r>
    <s v="Monthly-AE-January-2025.csv"/>
    <x v="6"/>
    <s v="RTH"/>
    <s v="NHS ENGLAND SOUTH EAST "/>
    <x v="196"/>
    <n v="11828"/>
    <n v="1787"/>
    <n v="2475"/>
    <n v="1755"/>
    <n v="0"/>
    <n v="138"/>
    <n v="4444"/>
    <n v="0"/>
    <n v="5"/>
    <n v="465"/>
    <n v="0"/>
    <n v="0"/>
    <n v="1049"/>
    <n v="0"/>
    <n v="4627"/>
    <n v="137"/>
    <n v="20"/>
    <n v="4564"/>
    <n v="16090"/>
    <n v="4449"/>
    <n v="9348"/>
  </r>
  <r>
    <s v="Monthly-AE-January-2025.csv"/>
    <x v="6"/>
    <s v="RXF"/>
    <s v="NHS ENGLAND NORTH EAST AND YORKSHIRE "/>
    <x v="160"/>
    <n v="15436"/>
    <n v="181"/>
    <n v="5229"/>
    <n v="124"/>
    <n v="0"/>
    <n v="105"/>
    <n v="6333"/>
    <n v="0"/>
    <n v="266"/>
    <n v="1"/>
    <n v="0"/>
    <n v="0"/>
    <n v="2437"/>
    <n v="1191"/>
    <n v="3382"/>
    <n v="0"/>
    <n v="150"/>
    <n v="827"/>
    <n v="20846"/>
    <n v="6599"/>
    <n v="4359"/>
  </r>
  <r>
    <s v="Monthly-AE-January-2025.csv"/>
    <x v="6"/>
    <s v="RQ3"/>
    <s v="NHS ENGLAND MIDLANDS "/>
    <x v="189"/>
    <n v="4731"/>
    <n v="0"/>
    <n v="0"/>
    <n v="0"/>
    <n v="0"/>
    <n v="0"/>
    <n v="744"/>
    <n v="0"/>
    <n v="0"/>
    <n v="0"/>
    <n v="0"/>
    <n v="0"/>
    <n v="0"/>
    <n v="11"/>
    <n v="967"/>
    <n v="0"/>
    <n v="0"/>
    <n v="161"/>
    <n v="4731"/>
    <n v="744"/>
    <n v="1128"/>
  </r>
  <r>
    <s v="Monthly-AE-January-2025.csv"/>
    <x v="6"/>
    <s v="RWW"/>
    <s v="NHS ENGLAND NORTH WEST "/>
    <x v="159"/>
    <n v="6551"/>
    <n v="0"/>
    <n v="2630"/>
    <n v="259"/>
    <n v="0"/>
    <n v="121"/>
    <n v="3508"/>
    <n v="0"/>
    <n v="17"/>
    <n v="96"/>
    <n v="0"/>
    <n v="4"/>
    <n v="535"/>
    <n v="1131"/>
    <n v="1716"/>
    <n v="0"/>
    <n v="0"/>
    <n v="135"/>
    <n v="9181"/>
    <n v="3525"/>
    <n v="1851"/>
  </r>
  <r>
    <s v="Monthly-AE-January-2025.csv"/>
    <x v="6"/>
    <s v="RXR"/>
    <s v="NHS ENGLAND NORTH WEST "/>
    <x v="92"/>
    <n v="12294"/>
    <n v="0"/>
    <n v="9797"/>
    <n v="0"/>
    <n v="0"/>
    <n v="0"/>
    <n v="4986"/>
    <n v="0"/>
    <n v="834"/>
    <n v="0"/>
    <n v="0"/>
    <n v="0"/>
    <n v="354"/>
    <n v="1310"/>
    <n v="3983"/>
    <n v="0"/>
    <n v="93"/>
    <n v="1692"/>
    <n v="22091"/>
    <n v="5820"/>
    <n v="5768"/>
  </r>
  <r>
    <s v="Monthly-AE-January-2025.csv"/>
    <x v="6"/>
    <s v="RY5"/>
    <s v="NHS ENGLAND MIDLANDS "/>
    <x v="121"/>
    <n v="0"/>
    <n v="0"/>
    <n v="7706"/>
    <n v="0"/>
    <n v="0"/>
    <n v="0"/>
    <n v="0"/>
    <n v="0"/>
    <n v="273"/>
    <n v="0"/>
    <n v="0"/>
    <n v="0"/>
    <n v="0"/>
    <n v="0"/>
    <n v="0"/>
    <n v="0"/>
    <n v="0"/>
    <n v="0"/>
    <n v="7706"/>
    <n v="273"/>
    <n v="0"/>
  </r>
  <r>
    <s v="Monthly-AE-January-2025.csv"/>
    <x v="3"/>
    <s v="TOTAL"/>
    <s v="TOTAL"/>
    <x v="199"/>
    <n v="1326670"/>
    <n v="48785"/>
    <n v="757845"/>
    <n v="32356"/>
    <n v="701"/>
    <n v="51773"/>
    <n v="566267"/>
    <n v="1901"/>
    <n v="21658"/>
    <n v="8371"/>
    <n v="24"/>
    <n v="525"/>
    <n v="98053"/>
    <n v="61529"/>
    <n v="400481"/>
    <n v="1353"/>
    <n v="4394"/>
    <n v="142547"/>
    <n v="2133300"/>
    <n v="589826"/>
    <n v="548775"/>
  </r>
  <r>
    <s v="Monthly-AE-July-2024-revised.csv"/>
    <x v="7"/>
    <s v="AAH"/>
    <s v="NHS ENGLAND SOUTH WEST "/>
    <x v="0"/>
    <n v="0"/>
    <n v="0"/>
    <n v="656"/>
    <n v="0"/>
    <n v="0"/>
    <n v="0"/>
    <n v="0"/>
    <n v="0"/>
    <n v="0"/>
    <n v="0"/>
    <n v="0"/>
    <n v="0"/>
    <n v="0"/>
    <n v="0"/>
    <n v="0"/>
    <n v="0"/>
    <n v="0"/>
    <n v="0"/>
    <n v="656"/>
    <n v="0"/>
    <n v="0"/>
  </r>
  <r>
    <s v="Monthly-AE-July-2024-revised.csv"/>
    <x v="7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0"/>
    <n v="0"/>
    <n v="33"/>
  </r>
  <r>
    <s v="Monthly-AE-July-2024-revised.csv"/>
    <x v="7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11"/>
    <n v="67"/>
    <n v="0"/>
    <n v="0"/>
    <n v="78"/>
  </r>
  <r>
    <s v="Monthly-AE-July-2024-revised.csv"/>
    <x v="7"/>
    <s v="RPC"/>
    <s v="NHS ENGLAND SOUTH EAST "/>
    <x v="27"/>
    <n v="0"/>
    <n v="0"/>
    <n v="1576"/>
    <n v="0"/>
    <n v="0"/>
    <n v="0"/>
    <n v="0"/>
    <n v="0"/>
    <n v="13"/>
    <n v="0"/>
    <n v="0"/>
    <n v="0"/>
    <n v="0"/>
    <n v="0"/>
    <n v="0"/>
    <n v="0"/>
    <n v="1"/>
    <n v="561"/>
    <n v="1576"/>
    <n v="13"/>
    <n v="562"/>
  </r>
  <r>
    <s v="Monthly-AE-July-2024-revised.csv"/>
    <x v="7"/>
    <s v="ACH01"/>
    <s v="NHS ENGLAND SOUTH EAST "/>
    <x v="50"/>
    <n v="0"/>
    <n v="0"/>
    <n v="4629"/>
    <n v="0"/>
    <n v="0"/>
    <n v="0"/>
    <n v="0"/>
    <n v="0"/>
    <n v="0"/>
    <n v="0"/>
    <n v="0"/>
    <n v="0"/>
    <n v="0"/>
    <n v="0"/>
    <n v="0"/>
    <n v="0"/>
    <n v="0"/>
    <n v="0"/>
    <n v="4629"/>
    <n v="0"/>
    <n v="0"/>
  </r>
  <r>
    <s v="Monthly-AE-July-2024-revised.csv"/>
    <x v="7"/>
    <s v="AQN04"/>
    <s v="NHS ENGLAND SOUTH EAST "/>
    <x v="4"/>
    <n v="0"/>
    <n v="0"/>
    <n v="3193"/>
    <n v="0"/>
    <n v="0"/>
    <n v="9"/>
    <n v="0"/>
    <n v="0"/>
    <n v="0"/>
    <n v="0"/>
    <n v="0"/>
    <n v="0"/>
    <n v="0"/>
    <n v="0"/>
    <n v="0"/>
    <n v="0"/>
    <n v="0"/>
    <n v="0"/>
    <n v="3193"/>
    <n v="0"/>
    <n v="0"/>
  </r>
  <r>
    <s v="Monthly-AE-July-2024-revised.csv"/>
    <x v="7"/>
    <s v="C82038"/>
    <s v="NHS ENGLAND MIDLANDS "/>
    <x v="31"/>
    <n v="0"/>
    <n v="0"/>
    <n v="380"/>
    <n v="0"/>
    <n v="0"/>
    <n v="0"/>
    <n v="0"/>
    <n v="0"/>
    <n v="0"/>
    <n v="0"/>
    <n v="0"/>
    <n v="0"/>
    <n v="0"/>
    <n v="0"/>
    <n v="0"/>
    <n v="0"/>
    <n v="0"/>
    <n v="0"/>
    <n v="380"/>
    <n v="0"/>
    <n v="0"/>
  </r>
  <r>
    <s v="Monthly-AE-July-2024-revised.csv"/>
    <x v="7"/>
    <s v="C83023"/>
    <s v="NHS ENGLAND MIDLANDS "/>
    <x v="190"/>
    <n v="0"/>
    <n v="0"/>
    <n v="505"/>
    <n v="0"/>
    <n v="0"/>
    <n v="0"/>
    <n v="0"/>
    <n v="0"/>
    <n v="0"/>
    <n v="0"/>
    <n v="0"/>
    <n v="0"/>
    <n v="0"/>
    <n v="0"/>
    <n v="0"/>
    <n v="0"/>
    <n v="0"/>
    <n v="2"/>
    <n v="505"/>
    <n v="0"/>
    <n v="2"/>
  </r>
  <r>
    <s v="Monthly-AE-July-2024-revised.csv"/>
    <x v="7"/>
    <s v="NL7"/>
    <s v="NHS ENGLAND MIDLANDS "/>
    <x v="95"/>
    <n v="0"/>
    <n v="0"/>
    <n v="3649"/>
    <n v="0"/>
    <n v="0"/>
    <n v="0"/>
    <n v="0"/>
    <n v="0"/>
    <n v="0"/>
    <n v="0"/>
    <n v="0"/>
    <n v="0"/>
    <n v="0"/>
    <n v="0"/>
    <n v="0"/>
    <n v="0"/>
    <n v="0"/>
    <n v="0"/>
    <n v="3649"/>
    <n v="0"/>
    <n v="0"/>
  </r>
  <r>
    <s v="Monthly-AE-July-2024-revised.csv"/>
    <x v="7"/>
    <s v="NQTE4"/>
    <s v="NHS ENGLAND MIDLANDS "/>
    <x v="6"/>
    <n v="0"/>
    <n v="0"/>
    <n v="3274"/>
    <n v="0"/>
    <n v="0"/>
    <n v="0"/>
    <n v="0"/>
    <n v="0"/>
    <n v="0"/>
    <n v="0"/>
    <n v="0"/>
    <n v="0"/>
    <n v="0"/>
    <n v="0"/>
    <n v="0"/>
    <n v="0"/>
    <n v="0"/>
    <n v="0"/>
    <n v="3274"/>
    <n v="0"/>
    <n v="0"/>
  </r>
  <r>
    <s v="Monthly-AE-July-2024-revised.csv"/>
    <x v="7"/>
    <s v="NTV0B"/>
    <s v="NHS ENGLAND SOUTH EAST "/>
    <x v="23"/>
    <n v="0"/>
    <n v="0"/>
    <n v="2247"/>
    <n v="0"/>
    <n v="0"/>
    <n v="0"/>
    <n v="0"/>
    <n v="0"/>
    <n v="17"/>
    <n v="0"/>
    <n v="0"/>
    <n v="0"/>
    <n v="0"/>
    <n v="0"/>
    <n v="0"/>
    <n v="0"/>
    <n v="0"/>
    <n v="0"/>
    <n v="2247"/>
    <n v="17"/>
    <n v="0"/>
  </r>
  <r>
    <s v="Monthly-AE-July-2024-revised.csv"/>
    <x v="7"/>
    <s v="NTV0W"/>
    <s v="NHS ENGLAND SOUTH EAST "/>
    <x v="24"/>
    <n v="0"/>
    <n v="0"/>
    <n v="2614"/>
    <n v="0"/>
    <n v="0"/>
    <n v="0"/>
    <n v="0"/>
    <n v="0"/>
    <n v="62"/>
    <n v="0"/>
    <n v="0"/>
    <n v="0"/>
    <n v="0"/>
    <n v="0"/>
    <n v="0"/>
    <n v="0"/>
    <n v="0"/>
    <n v="0"/>
    <n v="2614"/>
    <n v="62"/>
    <n v="0"/>
  </r>
  <r>
    <s v="Monthly-AE-July-2024-revised.csv"/>
    <x v="7"/>
    <s v="RFF"/>
    <s v="NHS ENGLAND NORTH EAST AND YORKSHIRE "/>
    <x v="26"/>
    <n v="9089"/>
    <n v="0"/>
    <n v="0"/>
    <n v="101"/>
    <n v="0"/>
    <n v="0"/>
    <n v="2632"/>
    <n v="0"/>
    <n v="0"/>
    <n v="0"/>
    <n v="0"/>
    <n v="0"/>
    <n v="225"/>
    <n v="0"/>
    <n v="3029"/>
    <n v="0"/>
    <n v="0"/>
    <n v="525"/>
    <n v="9089"/>
    <n v="2632"/>
    <n v="3554"/>
  </r>
  <r>
    <s v="Monthly-AE-July-2024-revised.csv"/>
    <x v="7"/>
    <s v="RNU"/>
    <s v="NHS ENGLAND SOUTH EAST "/>
    <x v="112"/>
    <n v="0"/>
    <n v="0"/>
    <n v="4206"/>
    <n v="0"/>
    <n v="0"/>
    <n v="0"/>
    <n v="0"/>
    <n v="0"/>
    <n v="395"/>
    <n v="0"/>
    <n v="0"/>
    <n v="0"/>
    <n v="0"/>
    <n v="0"/>
    <n v="0"/>
    <n v="0"/>
    <n v="0"/>
    <n v="0"/>
    <n v="4206"/>
    <n v="395"/>
    <n v="0"/>
  </r>
  <r>
    <s v="Monthly-AE-July-2024-revised.csv"/>
    <x v="7"/>
    <s v="RW1"/>
    <s v="NHS ENGLAND SOUTH EAST "/>
    <x v="46"/>
    <n v="0"/>
    <n v="0"/>
    <n v="3000"/>
    <n v="0"/>
    <n v="0"/>
    <n v="0"/>
    <n v="0"/>
    <n v="0"/>
    <n v="32"/>
    <n v="0"/>
    <n v="0"/>
    <n v="0"/>
    <n v="0"/>
    <n v="0"/>
    <n v="0"/>
    <n v="0"/>
    <n v="0"/>
    <n v="129"/>
    <n v="3000"/>
    <n v="32"/>
    <n v="129"/>
  </r>
  <r>
    <s v="Monthly-AE-July-2024-revised.csv"/>
    <x v="7"/>
    <s v="RWY"/>
    <s v="NHS ENGLAND NORTH EAST AND YORKSHIRE "/>
    <x v="10"/>
    <n v="15931"/>
    <n v="0"/>
    <n v="0"/>
    <n v="0"/>
    <n v="0"/>
    <n v="0"/>
    <n v="4726"/>
    <n v="0"/>
    <n v="0"/>
    <n v="0"/>
    <n v="0"/>
    <n v="0"/>
    <n v="1042"/>
    <n v="3"/>
    <n v="3108"/>
    <n v="0"/>
    <n v="0"/>
    <n v="342"/>
    <n v="15931"/>
    <n v="4726"/>
    <n v="3450"/>
  </r>
  <r>
    <s v="Monthly-AE-July-2024-revised.csv"/>
    <x v="7"/>
    <s v="RXL"/>
    <s v="NHS ENGLAND NORTH WEST "/>
    <x v="72"/>
    <n v="9152"/>
    <n v="0"/>
    <n v="10024"/>
    <n v="329"/>
    <n v="0"/>
    <n v="247"/>
    <n v="4204"/>
    <n v="0"/>
    <n v="72"/>
    <n v="127"/>
    <n v="0"/>
    <n v="0"/>
    <n v="582"/>
    <n v="768"/>
    <n v="2578"/>
    <n v="0"/>
    <n v="0"/>
    <n v="1400"/>
    <n v="19176"/>
    <n v="4276"/>
    <n v="3978"/>
  </r>
  <r>
    <s v="Monthly-AE-July-2024-revised.csv"/>
    <x v="7"/>
    <s v="RY7"/>
    <s v="NHS ENGLAND NORTH WEST "/>
    <x v="12"/>
    <n v="0"/>
    <n v="0"/>
    <n v="4498"/>
    <n v="0"/>
    <n v="0"/>
    <n v="0"/>
    <n v="0"/>
    <n v="0"/>
    <n v="83"/>
    <n v="0"/>
    <n v="0"/>
    <n v="0"/>
    <n v="0"/>
    <n v="0"/>
    <n v="0"/>
    <n v="0"/>
    <n v="0"/>
    <n v="0"/>
    <n v="4498"/>
    <n v="83"/>
    <n v="0"/>
  </r>
  <r>
    <s v="Monthly-AE-July-2024-revised.csv"/>
    <x v="7"/>
    <s v="RY8"/>
    <s v="NHS ENGLAND MIDLANDS "/>
    <x v="13"/>
    <n v="0"/>
    <n v="0"/>
    <n v="6229"/>
    <n v="0"/>
    <n v="0"/>
    <n v="1469"/>
    <n v="0"/>
    <n v="0"/>
    <n v="111"/>
    <n v="0"/>
    <n v="0"/>
    <n v="11"/>
    <n v="0"/>
    <n v="0"/>
    <n v="0"/>
    <n v="0"/>
    <n v="0"/>
    <n v="0"/>
    <n v="6229"/>
    <n v="111"/>
    <n v="0"/>
  </r>
  <r>
    <s v="Monthly-AE-July-2024-revised.csv"/>
    <x v="7"/>
    <s v="RYF"/>
    <s v="NHS ENGLAND SOUTH WEST "/>
    <x v="74"/>
    <n v="0"/>
    <n v="0"/>
    <n v="1664"/>
    <n v="0"/>
    <n v="0"/>
    <n v="0"/>
    <n v="0"/>
    <n v="0"/>
    <n v="112"/>
    <n v="0"/>
    <n v="0"/>
    <n v="0"/>
    <n v="0"/>
    <n v="0"/>
    <n v="0"/>
    <n v="0"/>
    <n v="0"/>
    <n v="0"/>
    <n v="1664"/>
    <n v="112"/>
    <n v="0"/>
  </r>
  <r>
    <s v="Monthly-AE-July-2024-revised.csv"/>
    <x v="7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July-2024-revised.csv"/>
    <x v="7"/>
    <s v="Y02428"/>
    <s v="NHS ENGLAND EAST OF ENGLAND "/>
    <x v="49"/>
    <n v="0"/>
    <n v="0"/>
    <n v="2802"/>
    <n v="0"/>
    <n v="0"/>
    <n v="0"/>
    <n v="0"/>
    <n v="0"/>
    <n v="0"/>
    <n v="0"/>
    <n v="0"/>
    <n v="0"/>
    <n v="0"/>
    <n v="0"/>
    <n v="0"/>
    <n v="0"/>
    <n v="0"/>
    <n v="0"/>
    <n v="2802"/>
    <n v="0"/>
    <n v="0"/>
  </r>
  <r>
    <s v="Monthly-AE-July-2024-revised.csv"/>
    <x v="7"/>
    <s v="Y02532"/>
    <s v="NHS ENGLAND NORTH WEST "/>
    <x v="15"/>
    <n v="0"/>
    <n v="0"/>
    <n v="1602"/>
    <n v="0"/>
    <n v="0"/>
    <n v="0"/>
    <n v="0"/>
    <n v="0"/>
    <n v="0"/>
    <n v="0"/>
    <n v="0"/>
    <n v="0"/>
    <n v="0"/>
    <n v="0"/>
    <n v="0"/>
    <n v="0"/>
    <n v="0"/>
    <n v="0"/>
    <n v="1602"/>
    <n v="0"/>
    <n v="0"/>
  </r>
  <r>
    <s v="Monthly-AE-July-2024-revised.csv"/>
    <x v="7"/>
    <s v="Y02615"/>
    <s v="NHS ENGLAND MIDLANDS "/>
    <x v="16"/>
    <n v="0"/>
    <n v="0"/>
    <n v="6329"/>
    <n v="0"/>
    <n v="0"/>
    <n v="0"/>
    <n v="0"/>
    <n v="0"/>
    <n v="0"/>
    <n v="0"/>
    <n v="0"/>
    <n v="0"/>
    <n v="0"/>
    <n v="0"/>
    <n v="0"/>
    <n v="0"/>
    <n v="0"/>
    <n v="0"/>
    <n v="6329"/>
    <n v="0"/>
    <n v="0"/>
  </r>
  <r>
    <s v="Monthly-AE-July-2024-revised.csv"/>
    <x v="7"/>
    <s v="8J094"/>
    <s v="NHS ENGLAND MIDLANDS "/>
    <x v="2"/>
    <n v="0"/>
    <n v="0"/>
    <n v="0"/>
    <n v="0"/>
    <n v="0"/>
    <n v="2225"/>
    <n v="0"/>
    <n v="0"/>
    <n v="0"/>
    <n v="0"/>
    <n v="0"/>
    <n v="0"/>
    <n v="0"/>
    <n v="0"/>
    <n v="0"/>
    <n v="0"/>
    <n v="0"/>
    <n v="0"/>
    <n v="0"/>
    <n v="0"/>
    <n v="0"/>
  </r>
  <r>
    <s v="Monthly-AE-July-2024-revised.csv"/>
    <x v="7"/>
    <s v="G0Q0L"/>
    <s v="NHS ENGLAND LONDON"/>
    <x v="32"/>
    <n v="0"/>
    <n v="0"/>
    <n v="2893"/>
    <n v="0"/>
    <n v="0"/>
    <n v="0"/>
    <n v="0"/>
    <n v="0"/>
    <n v="25"/>
    <n v="0"/>
    <n v="0"/>
    <n v="0"/>
    <n v="0"/>
    <n v="0"/>
    <n v="0"/>
    <n v="0"/>
    <n v="0"/>
    <n v="0"/>
    <n v="2893"/>
    <n v="25"/>
    <n v="0"/>
  </r>
  <r>
    <s v="Monthly-AE-July-2024-revised.csv"/>
    <x v="7"/>
    <s v="K6K0R"/>
    <s v="NHS ENGLAND LONDON"/>
    <x v="33"/>
    <n v="0"/>
    <n v="0"/>
    <n v="2921"/>
    <n v="0"/>
    <n v="0"/>
    <n v="0"/>
    <n v="0"/>
    <n v="0"/>
    <n v="24"/>
    <n v="0"/>
    <n v="0"/>
    <n v="0"/>
    <n v="0"/>
    <n v="0"/>
    <n v="0"/>
    <n v="0"/>
    <n v="0"/>
    <n v="0"/>
    <n v="2921"/>
    <n v="24"/>
    <n v="0"/>
  </r>
  <r>
    <s v="Monthly-AE-July-2024-revised.csv"/>
    <x v="7"/>
    <s v="L83087"/>
    <s v="NHS ENGLAND SOUTH WEST "/>
    <x v="5"/>
    <n v="0"/>
    <n v="0"/>
    <n v="127"/>
    <n v="0"/>
    <n v="0"/>
    <n v="0"/>
    <n v="0"/>
    <n v="0"/>
    <n v="0"/>
    <n v="0"/>
    <n v="0"/>
    <n v="0"/>
    <n v="0"/>
    <n v="0"/>
    <n v="0"/>
    <n v="0"/>
    <n v="0"/>
    <n v="0"/>
    <n v="127"/>
    <n v="0"/>
    <n v="0"/>
  </r>
  <r>
    <s v="Monthly-AE-July-2024-revised.csv"/>
    <x v="7"/>
    <s v="NNJ"/>
    <s v="NHS ENGLAND MIDLANDS "/>
    <x v="43"/>
    <n v="0"/>
    <n v="0"/>
    <n v="1916"/>
    <n v="0"/>
    <n v="0"/>
    <n v="0"/>
    <n v="0"/>
    <n v="0"/>
    <n v="0"/>
    <n v="0"/>
    <n v="0"/>
    <n v="0"/>
    <n v="0"/>
    <n v="0"/>
    <n v="0"/>
    <n v="0"/>
    <n v="0"/>
    <n v="0"/>
    <n v="1916"/>
    <n v="0"/>
    <n v="0"/>
  </r>
  <r>
    <s v="Monthly-AE-July-2024-revised.csv"/>
    <x v="7"/>
    <s v="NV693"/>
    <s v="NHS ENGLAND NORTH WEST "/>
    <x v="76"/>
    <n v="0"/>
    <n v="0"/>
    <n v="1238"/>
    <n v="0"/>
    <n v="0"/>
    <n v="0"/>
    <n v="0"/>
    <n v="0"/>
    <n v="0"/>
    <n v="0"/>
    <n v="0"/>
    <n v="0"/>
    <n v="0"/>
    <n v="0"/>
    <n v="0"/>
    <n v="0"/>
    <n v="0"/>
    <n v="0"/>
    <n v="1238"/>
    <n v="0"/>
    <n v="0"/>
  </r>
  <r>
    <s v="Monthly-AE-July-2024-revised.csv"/>
    <x v="7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54"/>
    <n v="0"/>
    <n v="0"/>
    <n v="154"/>
  </r>
  <r>
    <s v="Monthly-AE-July-2024-revised.csv"/>
    <x v="7"/>
    <s v="RGP"/>
    <s v="NHS ENGLAND EAST OF ENGLAND "/>
    <x v="61"/>
    <n v="7844"/>
    <n v="0"/>
    <n v="1338"/>
    <n v="0"/>
    <n v="0"/>
    <n v="0"/>
    <n v="3059"/>
    <n v="0"/>
    <n v="0"/>
    <n v="0"/>
    <n v="0"/>
    <n v="0"/>
    <n v="603"/>
    <n v="306"/>
    <n v="1623"/>
    <n v="0"/>
    <n v="0"/>
    <n v="423"/>
    <n v="9182"/>
    <n v="3059"/>
    <n v="2046"/>
  </r>
  <r>
    <s v="Monthly-AE-July-2024-revised.csv"/>
    <x v="7"/>
    <s v="RJ6"/>
    <s v="NHS ENGLAND LONDON"/>
    <x v="136"/>
    <n v="13230"/>
    <n v="0"/>
    <n v="4892"/>
    <n v="0"/>
    <n v="0"/>
    <n v="0"/>
    <n v="4698"/>
    <n v="0"/>
    <n v="0"/>
    <n v="0"/>
    <n v="0"/>
    <n v="0"/>
    <n v="567"/>
    <n v="445"/>
    <n v="1432"/>
    <n v="0"/>
    <n v="0"/>
    <n v="142"/>
    <n v="18122"/>
    <n v="4698"/>
    <n v="1574"/>
  </r>
  <r>
    <s v="Monthly-AE-July-2024-revised.csv"/>
    <x v="7"/>
    <s v="RK9"/>
    <s v="NHS ENGLAND SOUTH WEST "/>
    <x v="139"/>
    <n v="9222"/>
    <n v="131"/>
    <n v="5305"/>
    <n v="0"/>
    <n v="0"/>
    <n v="0"/>
    <n v="5130"/>
    <n v="0"/>
    <n v="233"/>
    <n v="0"/>
    <n v="0"/>
    <n v="0"/>
    <n v="716"/>
    <n v="561"/>
    <n v="2984"/>
    <n v="0"/>
    <n v="0"/>
    <n v="1272"/>
    <n v="14658"/>
    <n v="5363"/>
    <n v="4256"/>
  </r>
  <r>
    <s v="Monthly-AE-July-2024-revised.csv"/>
    <x v="7"/>
    <s v="RXF"/>
    <s v="NHS ENGLAND NORTH EAST AND YORKSHIRE "/>
    <x v="160"/>
    <n v="16592"/>
    <n v="159"/>
    <n v="6215"/>
    <n v="124"/>
    <n v="0"/>
    <n v="78"/>
    <n v="6711"/>
    <n v="0"/>
    <n v="507"/>
    <n v="3"/>
    <n v="0"/>
    <n v="1"/>
    <n v="2357"/>
    <n v="344"/>
    <n v="3522"/>
    <n v="0"/>
    <n v="167"/>
    <n v="995"/>
    <n v="22966"/>
    <n v="7218"/>
    <n v="4684"/>
  </r>
  <r>
    <s v="Monthly-AE-July-2024-revised.csv"/>
    <x v="7"/>
    <s v="RXR"/>
    <s v="NHS ENGLAND NORTH WEST "/>
    <x v="92"/>
    <n v="13481"/>
    <n v="0"/>
    <n v="11022"/>
    <n v="0"/>
    <n v="0"/>
    <n v="0"/>
    <n v="4249"/>
    <n v="0"/>
    <n v="434"/>
    <n v="0"/>
    <n v="0"/>
    <n v="0"/>
    <n v="627"/>
    <n v="907"/>
    <n v="4178"/>
    <n v="0"/>
    <n v="88"/>
    <n v="1685"/>
    <n v="24503"/>
    <n v="4683"/>
    <n v="5951"/>
  </r>
  <r>
    <s v="Monthly-AE-July-2024-revised.csv"/>
    <x v="7"/>
    <s v="RY4"/>
    <s v="NHS ENGLAND EAST OF ENGLAND "/>
    <x v="93"/>
    <n v="0"/>
    <n v="0"/>
    <n v="1166"/>
    <n v="0"/>
    <n v="0"/>
    <n v="0"/>
    <n v="0"/>
    <n v="0"/>
    <n v="93"/>
    <n v="0"/>
    <n v="0"/>
    <n v="0"/>
    <n v="0"/>
    <n v="0"/>
    <n v="0"/>
    <n v="0"/>
    <n v="0"/>
    <n v="0"/>
    <n v="1166"/>
    <n v="93"/>
    <n v="0"/>
  </r>
  <r>
    <s v="Monthly-AE-July-2024-revised.csv"/>
    <x v="7"/>
    <s v="Y02147"/>
    <s v="NHS ENGLAND LONDON"/>
    <x v="29"/>
    <n v="0"/>
    <n v="0"/>
    <n v="7648"/>
    <n v="0"/>
    <n v="0"/>
    <n v="523"/>
    <n v="0"/>
    <n v="0"/>
    <n v="227"/>
    <n v="0"/>
    <n v="0"/>
    <n v="10"/>
    <n v="0"/>
    <n v="0"/>
    <n v="0"/>
    <n v="0"/>
    <n v="0"/>
    <n v="0"/>
    <n v="7648"/>
    <n v="227"/>
    <n v="0"/>
  </r>
  <r>
    <s v="Monthly-AE-July-2024-revised.csv"/>
    <x v="7"/>
    <s v="Y03007"/>
    <s v="NHS ENGLAND MIDLANDS "/>
    <x v="17"/>
    <n v="0"/>
    <n v="0"/>
    <n v="0"/>
    <n v="0"/>
    <n v="0"/>
    <n v="2218"/>
    <n v="0"/>
    <n v="0"/>
    <n v="0"/>
    <n v="0"/>
    <n v="0"/>
    <n v="0"/>
    <n v="0"/>
    <n v="0"/>
    <n v="0"/>
    <n v="0"/>
    <n v="0"/>
    <n v="0"/>
    <n v="0"/>
    <n v="0"/>
    <n v="0"/>
  </r>
  <r>
    <s v="Monthly-AE-July-2024-revised.csv"/>
    <x v="7"/>
    <s v="Y07709"/>
    <s v="NHS ENGLAND SOUTH EAST "/>
    <x v="38"/>
    <n v="0"/>
    <n v="0"/>
    <n v="2223"/>
    <n v="0"/>
    <n v="0"/>
    <n v="0"/>
    <n v="0"/>
    <n v="0"/>
    <n v="0"/>
    <n v="0"/>
    <n v="0"/>
    <n v="0"/>
    <n v="0"/>
    <n v="0"/>
    <n v="0"/>
    <n v="0"/>
    <n v="0"/>
    <n v="0"/>
    <n v="2223"/>
    <n v="0"/>
    <n v="0"/>
  </r>
  <r>
    <s v="Monthly-AE-July-2024-revised.csv"/>
    <x v="7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n v="17"/>
  </r>
  <r>
    <s v="Monthly-AE-July-2024-revised.csv"/>
    <x v="7"/>
    <s v="RNS"/>
    <s v="NHS ENGLAND MIDLANDS "/>
    <x v="41"/>
    <n v="10662"/>
    <n v="594"/>
    <n v="2249"/>
    <n v="1283"/>
    <n v="0"/>
    <n v="93"/>
    <n v="3390"/>
    <n v="14"/>
    <n v="30"/>
    <n v="284"/>
    <n v="0"/>
    <n v="3"/>
    <n v="539"/>
    <n v="702"/>
    <n v="2075"/>
    <n v="0"/>
    <n v="0"/>
    <n v="1306"/>
    <n v="13505"/>
    <n v="3434"/>
    <n v="3381"/>
  </r>
  <r>
    <s v="Monthly-AE-July-2024-revised.csv"/>
    <x v="7"/>
    <s v="RQ3"/>
    <s v="NHS ENGLAND MIDLANDS "/>
    <x v="189"/>
    <n v="4997"/>
    <n v="0"/>
    <n v="0"/>
    <n v="0"/>
    <n v="0"/>
    <n v="0"/>
    <n v="647"/>
    <n v="0"/>
    <n v="0"/>
    <n v="0"/>
    <n v="0"/>
    <n v="0"/>
    <n v="0"/>
    <n v="0"/>
    <n v="1005"/>
    <n v="0"/>
    <n v="0"/>
    <n v="165"/>
    <n v="4997"/>
    <n v="647"/>
    <n v="1170"/>
  </r>
  <r>
    <s v="Monthly-AE-July-2024-revised.csv"/>
    <x v="7"/>
    <s v="RQX"/>
    <s v="NHS ENGLAND LONDON"/>
    <x v="36"/>
    <n v="11481"/>
    <n v="0"/>
    <n v="0"/>
    <n v="3"/>
    <n v="0"/>
    <n v="0"/>
    <n v="1508"/>
    <n v="0"/>
    <n v="0"/>
    <n v="0"/>
    <n v="0"/>
    <n v="0"/>
    <n v="163"/>
    <n v="24"/>
    <n v="1848"/>
    <n v="0"/>
    <n v="0"/>
    <n v="344"/>
    <n v="11481"/>
    <n v="1508"/>
    <n v="2192"/>
  </r>
  <r>
    <s v="Monthly-AE-July-2024-revised.csv"/>
    <x v="7"/>
    <s v="RXK"/>
    <s v="NHS ENGLAND MIDLANDS "/>
    <x v="119"/>
    <n v="14968"/>
    <n v="1101"/>
    <n v="8150"/>
    <n v="767"/>
    <n v="0"/>
    <n v="0"/>
    <n v="7037"/>
    <n v="139"/>
    <n v="178"/>
    <n v="125"/>
    <n v="0"/>
    <n v="0"/>
    <n v="1529"/>
    <n v="818"/>
    <n v="2712"/>
    <n v="0"/>
    <n v="0"/>
    <n v="468"/>
    <n v="24219"/>
    <n v="7354"/>
    <n v="3180"/>
  </r>
  <r>
    <s v="Monthly-AE-July-2024-revised.csv"/>
    <x v="7"/>
    <s v="RXQ"/>
    <s v="NHS ENGLAND SOUTH EAST "/>
    <x v="11"/>
    <n v="10262"/>
    <n v="1255"/>
    <n v="3659"/>
    <n v="0"/>
    <n v="0"/>
    <n v="0"/>
    <n v="3936"/>
    <n v="0"/>
    <n v="221"/>
    <n v="0"/>
    <n v="0"/>
    <n v="0"/>
    <n v="329"/>
    <n v="229"/>
    <n v="4074"/>
    <n v="867"/>
    <n v="0"/>
    <n v="1844"/>
    <n v="15176"/>
    <n v="4157"/>
    <n v="6785"/>
  </r>
  <r>
    <s v="Monthly-AE-July-2024-revised.csv"/>
    <x v="7"/>
    <s v="RY5"/>
    <s v="NHS ENGLAND MIDLANDS "/>
    <x v="121"/>
    <n v="0"/>
    <n v="0"/>
    <n v="8966"/>
    <n v="0"/>
    <n v="0"/>
    <n v="0"/>
    <n v="0"/>
    <n v="0"/>
    <n v="334"/>
    <n v="0"/>
    <n v="0"/>
    <n v="0"/>
    <n v="0"/>
    <n v="0"/>
    <n v="0"/>
    <n v="0"/>
    <n v="0"/>
    <n v="0"/>
    <n v="8966"/>
    <n v="334"/>
    <n v="0"/>
  </r>
  <r>
    <s v="Monthly-AE-July-2024-revised.csv"/>
    <x v="7"/>
    <s v="Y03218"/>
    <s v="NHS ENGLAND LONDON"/>
    <x v="18"/>
    <n v="0"/>
    <n v="0"/>
    <n v="970"/>
    <n v="0"/>
    <n v="0"/>
    <n v="0"/>
    <n v="0"/>
    <n v="0"/>
    <n v="0"/>
    <n v="0"/>
    <n v="0"/>
    <n v="0"/>
    <n v="0"/>
    <n v="0"/>
    <n v="0"/>
    <n v="0"/>
    <n v="0"/>
    <n v="0"/>
    <n v="970"/>
    <n v="0"/>
    <n v="0"/>
  </r>
  <r>
    <s v="Monthly-AE-July-2024-revised.csv"/>
    <x v="7"/>
    <s v="NQT51"/>
    <s v="NHS ENGLAND SOUTH EAST "/>
    <x v="39"/>
    <n v="0"/>
    <n v="0"/>
    <n v="1136"/>
    <n v="0"/>
    <n v="0"/>
    <n v="0"/>
    <n v="0"/>
    <n v="0"/>
    <n v="0"/>
    <n v="0"/>
    <n v="0"/>
    <n v="0"/>
    <n v="0"/>
    <n v="0"/>
    <n v="0"/>
    <n v="0"/>
    <n v="0"/>
    <n v="0"/>
    <n v="1136"/>
    <n v="0"/>
    <n v="0"/>
  </r>
  <r>
    <s v="Monthly-AE-July-2024-revised.csv"/>
    <x v="7"/>
    <s v="NQT5F"/>
    <s v="NHS ENGLAND NORTH WEST "/>
    <x v="20"/>
    <n v="0"/>
    <n v="0"/>
    <n v="1806"/>
    <n v="0"/>
    <n v="0"/>
    <n v="0"/>
    <n v="0"/>
    <n v="0"/>
    <n v="5"/>
    <n v="0"/>
    <n v="0"/>
    <n v="0"/>
    <n v="0"/>
    <n v="0"/>
    <n v="0"/>
    <n v="0"/>
    <n v="0"/>
    <n v="0"/>
    <n v="1806"/>
    <n v="5"/>
    <n v="0"/>
  </r>
  <r>
    <s v="Monthly-AE-July-2024-revised.csv"/>
    <x v="7"/>
    <s v="NQT5H"/>
    <s v="NHS ENGLAND SOUTH WEST "/>
    <x v="21"/>
    <n v="0"/>
    <n v="0"/>
    <n v="1029"/>
    <n v="0"/>
    <n v="0"/>
    <n v="0"/>
    <n v="0"/>
    <n v="0"/>
    <n v="18"/>
    <n v="0"/>
    <n v="0"/>
    <n v="0"/>
    <n v="0"/>
    <n v="0"/>
    <n v="0"/>
    <n v="0"/>
    <n v="0"/>
    <n v="0"/>
    <n v="1029"/>
    <n v="18"/>
    <n v="0"/>
  </r>
  <r>
    <s v="Monthly-AE-July-2024-revised.csv"/>
    <x v="7"/>
    <s v="NTP11"/>
    <s v="NHS ENGLAND SOUTH EAST "/>
    <x v="34"/>
    <n v="0"/>
    <n v="0"/>
    <n v="5291"/>
    <n v="0"/>
    <n v="0"/>
    <n v="0"/>
    <n v="0"/>
    <n v="0"/>
    <n v="307"/>
    <n v="0"/>
    <n v="0"/>
    <n v="0"/>
    <n v="0"/>
    <n v="0"/>
    <n v="0"/>
    <n v="0"/>
    <n v="0"/>
    <n v="0"/>
    <n v="5291"/>
    <n v="307"/>
    <n v="0"/>
  </r>
  <r>
    <s v="Monthly-AE-July-2024-revised.csv"/>
    <x v="7"/>
    <s v="RA2"/>
    <s v="NHS ENGLAND SOUTH EAST "/>
    <x v="97"/>
    <n v="6586"/>
    <n v="0"/>
    <n v="1503"/>
    <n v="629"/>
    <n v="0"/>
    <n v="3"/>
    <n v="1428"/>
    <n v="0"/>
    <n v="0"/>
    <n v="111"/>
    <n v="0"/>
    <n v="0"/>
    <n v="155"/>
    <n v="0"/>
    <n v="2470"/>
    <n v="0"/>
    <n v="0"/>
    <n v="1098"/>
    <n v="8089"/>
    <n v="1428"/>
    <n v="3568"/>
  </r>
  <r>
    <s v="Monthly-AE-July-2024-revised.csv"/>
    <x v="7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July-2024-revised.csv"/>
    <x v="7"/>
    <s v="RJN"/>
    <s v="NHS ENGLAND NORTH WEST "/>
    <x v="40"/>
    <n v="4422"/>
    <n v="0"/>
    <n v="0"/>
    <n v="68"/>
    <n v="0"/>
    <n v="47"/>
    <n v="2172"/>
    <n v="0"/>
    <n v="0"/>
    <n v="0"/>
    <n v="0"/>
    <n v="0"/>
    <n v="230"/>
    <n v="253"/>
    <n v="929"/>
    <n v="0"/>
    <n v="0"/>
    <n v="174"/>
    <n v="4422"/>
    <n v="2172"/>
    <n v="1103"/>
  </r>
  <r>
    <s v="Monthly-AE-July-2024-revised.csv"/>
    <x v="7"/>
    <s v="RW4"/>
    <s v="NHS ENGLAND NORTH WEST "/>
    <x v="42"/>
    <n v="0"/>
    <n v="0"/>
    <n v="13110"/>
    <n v="0"/>
    <n v="0"/>
    <n v="0"/>
    <n v="0"/>
    <n v="0"/>
    <n v="160"/>
    <n v="0"/>
    <n v="0"/>
    <n v="0"/>
    <n v="0"/>
    <n v="0"/>
    <n v="0"/>
    <n v="0"/>
    <n v="0"/>
    <n v="34"/>
    <n v="13110"/>
    <n v="160"/>
    <n v="34"/>
  </r>
  <r>
    <s v="Monthly-AE-July-2024-revised.csv"/>
    <x v="7"/>
    <s v="RY2"/>
    <s v="NHS ENGLAND NORTH WEST "/>
    <x v="73"/>
    <n v="0"/>
    <n v="0"/>
    <n v="3217"/>
    <n v="0"/>
    <n v="0"/>
    <n v="166"/>
    <n v="0"/>
    <n v="0"/>
    <n v="45"/>
    <n v="0"/>
    <n v="0"/>
    <n v="3"/>
    <n v="0"/>
    <n v="0"/>
    <n v="0"/>
    <n v="0"/>
    <n v="0"/>
    <n v="0"/>
    <n v="3217"/>
    <n v="45"/>
    <n v="0"/>
  </r>
  <r>
    <s v="Monthly-AE-July-2024-revised.csv"/>
    <x v="7"/>
    <s v="AJN"/>
    <s v="NHS ENGLAND NORTH EAST AND YORKSHIRE "/>
    <x v="94"/>
    <n v="0"/>
    <n v="0"/>
    <n v="366"/>
    <n v="0"/>
    <n v="0"/>
    <n v="0"/>
    <n v="0"/>
    <n v="0"/>
    <n v="0"/>
    <n v="0"/>
    <n v="0"/>
    <n v="0"/>
    <n v="0"/>
    <n v="0"/>
    <n v="0"/>
    <n v="0"/>
    <n v="0"/>
    <n v="0"/>
    <n v="366"/>
    <n v="0"/>
    <n v="0"/>
  </r>
  <r>
    <s v="Monthly-AE-July-2024-revised.csv"/>
    <x v="7"/>
    <s v="NLX"/>
    <s v="NHS ENGLAND SOUTH WEST "/>
    <x v="195"/>
    <n v="0"/>
    <n v="0"/>
    <n v="8873"/>
    <n v="0"/>
    <n v="0"/>
    <n v="311"/>
    <n v="0"/>
    <n v="0"/>
    <n v="496"/>
    <n v="0"/>
    <n v="0"/>
    <n v="56"/>
    <n v="0"/>
    <n v="0"/>
    <n v="0"/>
    <n v="0"/>
    <n v="0"/>
    <n v="0"/>
    <n v="8873"/>
    <n v="496"/>
    <n v="0"/>
  </r>
  <r>
    <s v="Monthly-AE-July-2024-revised.csv"/>
    <x v="7"/>
    <s v="RBT"/>
    <s v="NHS ENGLAND NORTH WEST "/>
    <x v="130"/>
    <n v="7259"/>
    <n v="0"/>
    <n v="2939"/>
    <n v="28"/>
    <n v="0"/>
    <n v="44"/>
    <n v="3727"/>
    <n v="0"/>
    <n v="21"/>
    <n v="4"/>
    <n v="0"/>
    <n v="2"/>
    <n v="615"/>
    <n v="552"/>
    <n v="2197"/>
    <n v="0"/>
    <n v="0"/>
    <n v="1070"/>
    <n v="10198"/>
    <n v="3748"/>
    <n v="3267"/>
  </r>
  <r>
    <s v="Monthly-AE-July-2024-revised.csv"/>
    <x v="7"/>
    <s v="RDU"/>
    <s v="NHS ENGLAND SOUTH EAST "/>
    <x v="82"/>
    <n v="23320"/>
    <n v="1081"/>
    <n v="11275"/>
    <n v="0"/>
    <n v="0"/>
    <n v="0"/>
    <n v="9551"/>
    <n v="2"/>
    <n v="169"/>
    <n v="0"/>
    <n v="0"/>
    <n v="0"/>
    <n v="2267"/>
    <n v="131"/>
    <n v="6076"/>
    <n v="0"/>
    <n v="0"/>
    <n v="314"/>
    <n v="35676"/>
    <n v="9722"/>
    <n v="6390"/>
  </r>
  <r>
    <s v="Monthly-AE-July-2024-revised.csv"/>
    <x v="7"/>
    <s v="RHW"/>
    <s v="NHS ENGLAND SOUTH EAST "/>
    <x v="187"/>
    <n v="12182"/>
    <n v="2527"/>
    <n v="0"/>
    <n v="694"/>
    <n v="25"/>
    <n v="0"/>
    <n v="3875"/>
    <n v="27"/>
    <n v="0"/>
    <n v="172"/>
    <n v="0"/>
    <n v="0"/>
    <n v="410"/>
    <n v="3"/>
    <n v="2437"/>
    <n v="0"/>
    <n v="0"/>
    <n v="864"/>
    <n v="14709"/>
    <n v="3902"/>
    <n v="3301"/>
  </r>
  <r>
    <s v="Monthly-AE-July-2024-revised.csv"/>
    <x v="7"/>
    <s v="RLQ"/>
    <s v="NHS ENGLAND MIDLANDS "/>
    <x v="86"/>
    <n v="6152"/>
    <n v="1252"/>
    <n v="0"/>
    <n v="134"/>
    <n v="0"/>
    <n v="0"/>
    <n v="2363"/>
    <n v="0"/>
    <n v="0"/>
    <n v="25"/>
    <n v="0"/>
    <n v="0"/>
    <n v="466"/>
    <n v="331"/>
    <n v="1952"/>
    <n v="0"/>
    <n v="0"/>
    <n v="744"/>
    <n v="7404"/>
    <n v="2363"/>
    <n v="2696"/>
  </r>
  <r>
    <s v="Monthly-AE-July-2024-revised.csv"/>
    <x v="7"/>
    <s v="RTP"/>
    <s v="NHS ENGLAND SOUTH EAST "/>
    <x v="66"/>
    <n v="10561"/>
    <n v="0"/>
    <n v="0"/>
    <n v="0"/>
    <n v="0"/>
    <n v="0"/>
    <n v="2695"/>
    <n v="0"/>
    <n v="0"/>
    <n v="0"/>
    <n v="0"/>
    <n v="0"/>
    <n v="578"/>
    <n v="378"/>
    <n v="3189"/>
    <n v="0"/>
    <n v="0"/>
    <n v="939"/>
    <n v="10561"/>
    <n v="2695"/>
    <n v="4128"/>
  </r>
  <r>
    <s v="Monthly-AE-July-2024-revised.csv"/>
    <x v="7"/>
    <s v="RTQ"/>
    <s v="NHS ENGLAND SOUTH WEST "/>
    <x v="115"/>
    <n v="0"/>
    <n v="0"/>
    <n v="7578"/>
    <n v="0"/>
    <n v="0"/>
    <n v="0"/>
    <n v="0"/>
    <n v="0"/>
    <n v="15"/>
    <n v="0"/>
    <n v="0"/>
    <n v="0"/>
    <n v="0"/>
    <n v="0"/>
    <n v="0"/>
    <n v="0"/>
    <n v="0"/>
    <n v="32"/>
    <n v="7578"/>
    <n v="15"/>
    <n v="32"/>
  </r>
  <r>
    <s v="Monthly-AE-July-2024-revised.csv"/>
    <x v="7"/>
    <s v="RYY"/>
    <s v="NHS ENGLAND SOUTH EAST "/>
    <x v="48"/>
    <n v="0"/>
    <n v="0"/>
    <n v="10438"/>
    <n v="0"/>
    <n v="0"/>
    <n v="0"/>
    <n v="0"/>
    <n v="0"/>
    <n v="80"/>
    <n v="0"/>
    <n v="0"/>
    <n v="0"/>
    <n v="0"/>
    <n v="0"/>
    <n v="0"/>
    <n v="0"/>
    <n v="0"/>
    <n v="0"/>
    <n v="10438"/>
    <n v="80"/>
    <n v="0"/>
  </r>
  <r>
    <s v="Monthly-AE-July-2024-revised.csv"/>
    <x v="7"/>
    <s v="C82009"/>
    <s v="NHS ENGLAND MIDLANDS "/>
    <x v="123"/>
    <n v="0"/>
    <n v="0"/>
    <n v="286"/>
    <n v="0"/>
    <n v="0"/>
    <n v="0"/>
    <n v="0"/>
    <n v="0"/>
    <n v="0"/>
    <n v="0"/>
    <n v="0"/>
    <n v="0"/>
    <n v="0"/>
    <n v="0"/>
    <n v="0"/>
    <n v="0"/>
    <n v="0"/>
    <n v="0"/>
    <n v="286"/>
    <n v="0"/>
    <n v="0"/>
  </r>
  <r>
    <s v="Monthly-AE-July-2024-revised.csv"/>
    <x v="7"/>
    <s v="NDJ"/>
    <s v="NHS ENGLAND SOUTH EAST "/>
    <x v="51"/>
    <n v="0"/>
    <n v="0"/>
    <n v="2379"/>
    <n v="0"/>
    <n v="0"/>
    <n v="0"/>
    <n v="0"/>
    <n v="0"/>
    <n v="0"/>
    <n v="0"/>
    <n v="0"/>
    <n v="0"/>
    <n v="0"/>
    <n v="0"/>
    <n v="0"/>
    <n v="0"/>
    <n v="0"/>
    <n v="0"/>
    <n v="2379"/>
    <n v="0"/>
    <n v="0"/>
  </r>
  <r>
    <s v="Monthly-AE-July-2024-revised.csv"/>
    <x v="7"/>
    <s v="NNF09"/>
    <s v="NHS ENGLAND NORTH EAST AND YORKSHIRE "/>
    <x v="124"/>
    <n v="0"/>
    <n v="0"/>
    <n v="3662"/>
    <n v="0"/>
    <n v="0"/>
    <n v="0"/>
    <n v="0"/>
    <n v="0"/>
    <n v="475"/>
    <n v="0"/>
    <n v="0"/>
    <n v="0"/>
    <n v="0"/>
    <n v="0"/>
    <n v="0"/>
    <n v="0"/>
    <n v="0"/>
    <n v="0"/>
    <n v="3662"/>
    <n v="475"/>
    <n v="0"/>
  </r>
  <r>
    <s v="Monthly-AE-July-2024-revised.csv"/>
    <x v="7"/>
    <s v="NNF94"/>
    <s v="NHS ENGLAND NORTH EAST AND YORKSHIRE "/>
    <x v="125"/>
    <n v="0"/>
    <n v="0"/>
    <n v="2809"/>
    <n v="0"/>
    <n v="0"/>
    <n v="0"/>
    <n v="0"/>
    <n v="0"/>
    <n v="263"/>
    <n v="0"/>
    <n v="0"/>
    <n v="0"/>
    <n v="0"/>
    <n v="0"/>
    <n v="0"/>
    <n v="0"/>
    <n v="0"/>
    <n v="0"/>
    <n v="2809"/>
    <n v="263"/>
    <n v="0"/>
  </r>
  <r>
    <s v="Monthly-AE-July-2024-revised.csv"/>
    <x v="7"/>
    <s v="NNFA7"/>
    <s v="NHS ENGLAND NORTH EAST AND YORKSHIRE "/>
    <x v="126"/>
    <n v="0"/>
    <n v="0"/>
    <n v="1618"/>
    <n v="0"/>
    <n v="0"/>
    <n v="0"/>
    <n v="0"/>
    <n v="0"/>
    <n v="7"/>
    <n v="0"/>
    <n v="0"/>
    <n v="0"/>
    <n v="0"/>
    <n v="0"/>
    <n v="0"/>
    <n v="0"/>
    <n v="0"/>
    <n v="0"/>
    <n v="1618"/>
    <n v="7"/>
    <n v="0"/>
  </r>
  <r>
    <s v="Monthly-AE-July-2024-revised.csv"/>
    <x v="7"/>
    <s v="R0A"/>
    <s v="NHS ENGLAND NORTH WEST "/>
    <x v="181"/>
    <n v="24235"/>
    <n v="3165"/>
    <n v="12026"/>
    <n v="3865"/>
    <n v="548"/>
    <n v="1102"/>
    <n v="10209"/>
    <n v="95"/>
    <n v="603"/>
    <n v="1588"/>
    <n v="25"/>
    <n v="116"/>
    <n v="3786"/>
    <n v="483"/>
    <n v="5654"/>
    <n v="159"/>
    <n v="160"/>
    <n v="450"/>
    <n v="39426"/>
    <n v="10907"/>
    <n v="6423"/>
  </r>
  <r>
    <s v="Monthly-AE-July-2024-revised.csv"/>
    <x v="7"/>
    <s v="RA7"/>
    <s v="NHS ENGLAND SOUTH WEST "/>
    <x v="78"/>
    <n v="15165"/>
    <n v="2339"/>
    <n v="0"/>
    <n v="0"/>
    <n v="0"/>
    <n v="0"/>
    <n v="5206"/>
    <n v="133"/>
    <n v="0"/>
    <n v="0"/>
    <n v="0"/>
    <n v="0"/>
    <n v="1140"/>
    <n v="146"/>
    <n v="5280"/>
    <n v="8"/>
    <n v="0"/>
    <n v="1468"/>
    <n v="17504"/>
    <n v="5339"/>
    <n v="6756"/>
  </r>
  <r>
    <s v="Monthly-AE-July-2024-revised.csv"/>
    <x v="7"/>
    <s v="RA9"/>
    <s v="NHS ENGLAND SOUTH WEST "/>
    <x v="7"/>
    <n v="6774"/>
    <n v="0"/>
    <n v="3574"/>
    <n v="397"/>
    <n v="0"/>
    <n v="144"/>
    <n v="3060"/>
    <n v="0"/>
    <n v="15"/>
    <n v="163"/>
    <n v="0"/>
    <n v="1"/>
    <n v="320"/>
    <n v="45"/>
    <n v="2181"/>
    <n v="0"/>
    <n v="0"/>
    <n v="1206"/>
    <n v="10348"/>
    <n v="3075"/>
    <n v="3387"/>
  </r>
  <r>
    <s v="Monthly-AE-July-2024-revised.csv"/>
    <x v="7"/>
    <s v="RAE"/>
    <s v="NHS ENGLAND NORTH EAST AND YORKSHIRE "/>
    <x v="79"/>
    <n v="9302"/>
    <n v="1030"/>
    <n v="3464"/>
    <n v="0"/>
    <n v="0"/>
    <n v="0"/>
    <n v="2186"/>
    <n v="0"/>
    <n v="0"/>
    <n v="0"/>
    <n v="0"/>
    <n v="0"/>
    <n v="602"/>
    <n v="97"/>
    <n v="2450"/>
    <n v="0"/>
    <n v="64"/>
    <n v="1439"/>
    <n v="13796"/>
    <n v="2186"/>
    <n v="3953"/>
  </r>
  <r>
    <s v="Monthly-AE-July-2024-revised.csv"/>
    <x v="7"/>
    <s v="RAJ"/>
    <s v="NHS ENGLAND EAST OF ENGLAND "/>
    <x v="98"/>
    <n v="30718"/>
    <n v="0"/>
    <n v="5851"/>
    <n v="15"/>
    <n v="0"/>
    <n v="3"/>
    <n v="9770"/>
    <n v="0"/>
    <n v="237"/>
    <n v="9"/>
    <n v="0"/>
    <n v="0"/>
    <n v="3026"/>
    <n v="36"/>
    <n v="8977"/>
    <n v="0"/>
    <n v="244"/>
    <n v="1305"/>
    <n v="36569"/>
    <n v="10007"/>
    <n v="10526"/>
  </r>
  <r>
    <s v="Monthly-AE-July-2024-revised.csv"/>
    <x v="7"/>
    <s v="RBD"/>
    <s v="NHS ENGLAND SOUTH WEST "/>
    <x v="101"/>
    <n v="4605"/>
    <n v="0"/>
    <n v="0"/>
    <n v="304"/>
    <n v="0"/>
    <n v="3749"/>
    <n v="2025"/>
    <n v="0"/>
    <n v="0"/>
    <n v="99"/>
    <n v="0"/>
    <n v="4"/>
    <n v="222"/>
    <n v="38"/>
    <n v="1867"/>
    <n v="0"/>
    <n v="0"/>
    <n v="524"/>
    <n v="4605"/>
    <n v="2025"/>
    <n v="2391"/>
  </r>
  <r>
    <s v="Monthly-AE-July-2024-revised.csv"/>
    <x v="7"/>
    <s v="RC9"/>
    <s v="NHS ENGLAND EAST OF ENGLAND "/>
    <x v="131"/>
    <n v="16511"/>
    <n v="0"/>
    <n v="7919"/>
    <n v="0"/>
    <n v="0"/>
    <n v="959"/>
    <n v="6091"/>
    <n v="0"/>
    <n v="0"/>
    <n v="0"/>
    <n v="0"/>
    <n v="0"/>
    <n v="82"/>
    <n v="4"/>
    <n v="4768"/>
    <n v="0"/>
    <n v="0"/>
    <n v="2017"/>
    <n v="24430"/>
    <n v="6091"/>
    <n v="6785"/>
  </r>
  <r>
    <s v="Monthly-AE-July-2024-revised.csv"/>
    <x v="7"/>
    <s v="RCF"/>
    <s v="NHS ENGLAND NORTH EAST AND YORKSHIRE "/>
    <x v="104"/>
    <n v="6135"/>
    <n v="306"/>
    <n v="0"/>
    <n v="462"/>
    <n v="0"/>
    <n v="0"/>
    <n v="2461"/>
    <n v="0"/>
    <n v="0"/>
    <n v="0"/>
    <n v="0"/>
    <n v="0"/>
    <n v="465"/>
    <n v="112"/>
    <n v="1530"/>
    <n v="0"/>
    <n v="0"/>
    <n v="609"/>
    <n v="6441"/>
    <n v="2461"/>
    <n v="2139"/>
  </r>
  <r>
    <s v="Monthly-AE-July-2024-revised.csv"/>
    <x v="7"/>
    <s v="RCX"/>
    <s v="NHS ENGLAND EAST OF ENGLAND "/>
    <x v="185"/>
    <n v="6907"/>
    <n v="0"/>
    <n v="1176"/>
    <n v="0"/>
    <n v="0"/>
    <n v="0"/>
    <n v="2271"/>
    <n v="0"/>
    <n v="0"/>
    <n v="0"/>
    <n v="0"/>
    <n v="0"/>
    <n v="241"/>
    <n v="73"/>
    <n v="2056"/>
    <n v="0"/>
    <n v="0"/>
    <n v="305"/>
    <n v="8083"/>
    <n v="2271"/>
    <n v="2361"/>
  </r>
  <r>
    <s v="Monthly-AE-July-2024-revised.csv"/>
    <x v="7"/>
    <s v="REM"/>
    <s v="NHS ENGLAND NORTH WEST "/>
    <x v="35"/>
    <n v="15532"/>
    <n v="1877"/>
    <n v="7848"/>
    <n v="427"/>
    <n v="0"/>
    <n v="0"/>
    <n v="6837"/>
    <n v="36"/>
    <n v="133"/>
    <n v="71"/>
    <n v="0"/>
    <n v="0"/>
    <n v="1782"/>
    <n v="754"/>
    <n v="5231"/>
    <n v="0"/>
    <n v="0"/>
    <n v="2853"/>
    <n v="25257"/>
    <n v="7006"/>
    <n v="8084"/>
  </r>
  <r>
    <s v="Monthly-AE-July-2024-revised.csv"/>
    <x v="7"/>
    <s v="REP"/>
    <s v="NHS ENGLAND NORTH WEST "/>
    <x v="83"/>
    <n v="0"/>
    <n v="1393"/>
    <n v="0"/>
    <n v="0"/>
    <n v="136"/>
    <n v="0"/>
    <n v="0"/>
    <n v="126"/>
    <n v="0"/>
    <n v="0"/>
    <n v="0"/>
    <n v="0"/>
    <n v="0"/>
    <n v="0"/>
    <n v="0"/>
    <n v="118"/>
    <n v="0"/>
    <n v="19"/>
    <n v="1393"/>
    <n v="126"/>
    <n v="137"/>
  </r>
  <r>
    <s v="Monthly-AE-July-2024-revised.csv"/>
    <x v="7"/>
    <s v="RJC"/>
    <s v="NHS ENGLAND MIDLANDS "/>
    <x v="138"/>
    <n v="8408"/>
    <n v="0"/>
    <n v="419"/>
    <n v="1"/>
    <n v="0"/>
    <n v="0"/>
    <n v="2251"/>
    <n v="0"/>
    <n v="0"/>
    <n v="0"/>
    <n v="0"/>
    <n v="0"/>
    <n v="229"/>
    <n v="3"/>
    <n v="2238"/>
    <n v="0"/>
    <n v="0"/>
    <n v="784"/>
    <n v="8827"/>
    <n v="2251"/>
    <n v="3022"/>
  </r>
  <r>
    <s v="Monthly-AE-July-2024-revised.csv"/>
    <x v="7"/>
    <s v="RJR"/>
    <s v="NHS ENGLAND NORTH WEST "/>
    <x v="108"/>
    <n v="5295"/>
    <n v="0"/>
    <n v="1998"/>
    <n v="0"/>
    <n v="0"/>
    <n v="0"/>
    <n v="2908"/>
    <n v="0"/>
    <n v="145"/>
    <n v="0"/>
    <n v="0"/>
    <n v="0"/>
    <n v="296"/>
    <n v="711"/>
    <n v="1651"/>
    <n v="0"/>
    <n v="0"/>
    <n v="1336"/>
    <n v="7293"/>
    <n v="3053"/>
    <n v="2987"/>
  </r>
  <r>
    <s v="Monthly-AE-July-2024-revised.csv"/>
    <x v="7"/>
    <s v="RJZ"/>
    <s v="NHS ENGLAND LONDON"/>
    <x v="62"/>
    <n v="15940"/>
    <n v="0"/>
    <n v="8713"/>
    <n v="59"/>
    <n v="0"/>
    <n v="1203"/>
    <n v="6695"/>
    <n v="0"/>
    <n v="476"/>
    <n v="20"/>
    <n v="0"/>
    <n v="19"/>
    <n v="1487"/>
    <n v="631"/>
    <n v="2616"/>
    <n v="0"/>
    <n v="0"/>
    <n v="430"/>
    <n v="24653"/>
    <n v="7171"/>
    <n v="3046"/>
  </r>
  <r>
    <s v="Monthly-AE-July-2024-revised.csv"/>
    <x v="7"/>
    <s v="RL4"/>
    <s v="NHS ENGLAND MIDLANDS "/>
    <x v="85"/>
    <n v="13273"/>
    <n v="0"/>
    <n v="7598"/>
    <n v="71"/>
    <n v="0"/>
    <n v="825"/>
    <n v="4093"/>
    <n v="0"/>
    <n v="47"/>
    <n v="17"/>
    <n v="0"/>
    <n v="0"/>
    <n v="1163"/>
    <n v="253"/>
    <n v="6010"/>
    <n v="0"/>
    <n v="0"/>
    <n v="931"/>
    <n v="20871"/>
    <n v="4140"/>
    <n v="6941"/>
  </r>
  <r>
    <s v="Monthly-AE-July-2024-revised.csv"/>
    <x v="7"/>
    <s v="RMC"/>
    <s v="NHS ENGLAND NORTH WEST "/>
    <x v="178"/>
    <n v="7835"/>
    <n v="0"/>
    <n v="3680"/>
    <n v="56"/>
    <n v="0"/>
    <n v="52"/>
    <n v="3674"/>
    <n v="0"/>
    <n v="182"/>
    <n v="26"/>
    <n v="0"/>
    <n v="1"/>
    <n v="629"/>
    <n v="542"/>
    <n v="2242"/>
    <n v="0"/>
    <n v="123"/>
    <n v="738"/>
    <n v="11515"/>
    <n v="3856"/>
    <n v="3103"/>
  </r>
  <r>
    <s v="Monthly-AE-July-2024-revised.csv"/>
    <x v="7"/>
    <s v="RP6"/>
    <s v="NHS ENGLAND LONDON"/>
    <x v="65"/>
    <n v="0"/>
    <n v="6081"/>
    <n v="0"/>
    <n v="0"/>
    <n v="0"/>
    <n v="0"/>
    <n v="0"/>
    <n v="171"/>
    <n v="0"/>
    <n v="0"/>
    <n v="0"/>
    <n v="0"/>
    <n v="0"/>
    <n v="0"/>
    <n v="0"/>
    <n v="6"/>
    <n v="0"/>
    <n v="218"/>
    <n v="6081"/>
    <n v="171"/>
    <n v="224"/>
  </r>
  <r>
    <s v="Monthly-AE-July-2024-revised.csv"/>
    <x v="7"/>
    <s v="RRF"/>
    <s v="NHS ENGLAND NORTH WEST "/>
    <x v="150"/>
    <n v="7301"/>
    <n v="0"/>
    <n v="5450"/>
    <n v="0"/>
    <n v="0"/>
    <n v="0"/>
    <n v="3376"/>
    <n v="0"/>
    <n v="23"/>
    <n v="0"/>
    <n v="0"/>
    <n v="0"/>
    <n v="1236"/>
    <n v="186"/>
    <n v="2488"/>
    <n v="0"/>
    <n v="0"/>
    <n v="794"/>
    <n v="12751"/>
    <n v="3399"/>
    <n v="3282"/>
  </r>
  <r>
    <s v="Monthly-AE-July-2024-revised.csv"/>
    <x v="7"/>
    <s v="RWP"/>
    <s v="NHS ENGLAND MIDLANDS "/>
    <x v="68"/>
    <n v="12966"/>
    <n v="0"/>
    <n v="6462"/>
    <n v="181"/>
    <n v="0"/>
    <n v="16"/>
    <n v="6462"/>
    <n v="0"/>
    <n v="9"/>
    <n v="69"/>
    <n v="0"/>
    <n v="0"/>
    <n v="780"/>
    <n v="270"/>
    <n v="3409"/>
    <n v="0"/>
    <n v="0"/>
    <n v="1204"/>
    <n v="19428"/>
    <n v="6471"/>
    <n v="4613"/>
  </r>
  <r>
    <s v="Monthly-AE-July-2024-revised.csv"/>
    <x v="7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43"/>
    <n v="0"/>
    <n v="0"/>
    <n v="143"/>
  </r>
  <r>
    <s v="Monthly-AE-July-2024-revised.csv"/>
    <x v="7"/>
    <s v="RXW"/>
    <s v="NHS ENGLAND MIDLANDS "/>
    <x v="120"/>
    <n v="10516"/>
    <n v="0"/>
    <n v="2339"/>
    <n v="0"/>
    <n v="0"/>
    <n v="0"/>
    <n v="5674"/>
    <n v="0"/>
    <n v="153"/>
    <n v="0"/>
    <n v="0"/>
    <n v="0"/>
    <n v="569"/>
    <n v="560"/>
    <n v="3202"/>
    <n v="0"/>
    <n v="143"/>
    <n v="2103"/>
    <n v="12855"/>
    <n v="5827"/>
    <n v="5448"/>
  </r>
  <r>
    <s v="Monthly-AE-July-2024-revised.csv"/>
    <x v="7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6"/>
    <n v="74"/>
    <n v="0"/>
    <n v="0"/>
    <n v="80"/>
  </r>
  <r>
    <s v="Monthly-AE-July-2024-revised.csv"/>
    <x v="7"/>
    <s v="RYR"/>
    <s v="NHS ENGLAND SOUTH EAST "/>
    <x v="122"/>
    <n v="22708"/>
    <n v="1526"/>
    <n v="5399"/>
    <n v="1291"/>
    <n v="0"/>
    <n v="1046"/>
    <n v="9555"/>
    <n v="18"/>
    <n v="581"/>
    <n v="467"/>
    <n v="0"/>
    <n v="34"/>
    <n v="1666"/>
    <n v="1284"/>
    <n v="7985"/>
    <n v="38"/>
    <n v="29"/>
    <n v="1551"/>
    <n v="29633"/>
    <n v="10154"/>
    <n v="9603"/>
  </r>
  <r>
    <s v="Monthly-AE-July-2024-revised.csv"/>
    <x v="7"/>
    <s v="Y02676"/>
    <s v="NHS ENGLAND SOUTH EAST "/>
    <x v="37"/>
    <n v="0"/>
    <n v="0"/>
    <n v="2092"/>
    <n v="0"/>
    <n v="0"/>
    <n v="0"/>
    <n v="0"/>
    <n v="0"/>
    <n v="0"/>
    <n v="0"/>
    <n v="0"/>
    <n v="0"/>
    <n v="0"/>
    <n v="0"/>
    <n v="0"/>
    <n v="0"/>
    <n v="0"/>
    <n v="0"/>
    <n v="2092"/>
    <n v="0"/>
    <n v="0"/>
  </r>
  <r>
    <s v="Monthly-AE-July-2024-revised.csv"/>
    <x v="7"/>
    <s v="AXG"/>
    <s v="NHS ENGLAND SOUTH WEST "/>
    <x v="30"/>
    <n v="0"/>
    <n v="0"/>
    <n v="2746"/>
    <n v="0"/>
    <n v="0"/>
    <n v="0"/>
    <n v="0"/>
    <n v="0"/>
    <n v="60"/>
    <n v="0"/>
    <n v="0"/>
    <n v="0"/>
    <n v="0"/>
    <n v="0"/>
    <n v="0"/>
    <n v="0"/>
    <n v="0"/>
    <n v="0"/>
    <n v="2746"/>
    <n v="60"/>
    <n v="0"/>
  </r>
  <r>
    <s v="Monthly-AE-July-2024-revised.csv"/>
    <x v="7"/>
    <s v="NNJ07"/>
    <s v="NHS ENGLAND MIDLANDS "/>
    <x v="52"/>
    <n v="0"/>
    <n v="0"/>
    <n v="5477"/>
    <n v="0"/>
    <n v="0"/>
    <n v="567"/>
    <n v="0"/>
    <n v="0"/>
    <n v="6"/>
    <n v="0"/>
    <n v="0"/>
    <n v="0"/>
    <n v="0"/>
    <n v="0"/>
    <n v="0"/>
    <n v="0"/>
    <n v="0"/>
    <n v="0"/>
    <n v="5477"/>
    <n v="6"/>
    <n v="0"/>
  </r>
  <r>
    <s v="Monthly-AE-July-2024-revised.csv"/>
    <x v="7"/>
    <s v="NNJ0H"/>
    <s v="NHS ENGLAND MIDLANDS "/>
    <x v="53"/>
    <n v="0"/>
    <n v="0"/>
    <n v="180"/>
    <n v="0"/>
    <n v="0"/>
    <n v="2024"/>
    <n v="0"/>
    <n v="0"/>
    <n v="1"/>
    <n v="0"/>
    <n v="0"/>
    <n v="0"/>
    <n v="0"/>
    <n v="0"/>
    <n v="0"/>
    <n v="0"/>
    <n v="0"/>
    <n v="0"/>
    <n v="180"/>
    <n v="1"/>
    <n v="0"/>
  </r>
  <r>
    <s v="Monthly-AE-July-2024-revised.csv"/>
    <x v="7"/>
    <s v="NNJ12"/>
    <s v="NHS ENGLAND MIDLANDS "/>
    <x v="54"/>
    <n v="0"/>
    <n v="0"/>
    <n v="87"/>
    <n v="0"/>
    <n v="0"/>
    <n v="346"/>
    <n v="0"/>
    <n v="0"/>
    <n v="0"/>
    <n v="0"/>
    <n v="0"/>
    <n v="0"/>
    <n v="0"/>
    <n v="0"/>
    <n v="0"/>
    <n v="0"/>
    <n v="0"/>
    <n v="0"/>
    <n v="87"/>
    <n v="0"/>
    <n v="0"/>
  </r>
  <r>
    <s v="Monthly-AE-July-2024-revised.csv"/>
    <x v="7"/>
    <s v="NNJ13"/>
    <s v="NHS ENGLAND MIDLANDS "/>
    <x v="55"/>
    <n v="0"/>
    <n v="0"/>
    <n v="61"/>
    <n v="0"/>
    <n v="0"/>
    <n v="350"/>
    <n v="0"/>
    <n v="0"/>
    <n v="0"/>
    <n v="0"/>
    <n v="0"/>
    <n v="0"/>
    <n v="0"/>
    <n v="0"/>
    <n v="0"/>
    <n v="0"/>
    <n v="0"/>
    <n v="0"/>
    <n v="61"/>
    <n v="0"/>
    <n v="0"/>
  </r>
  <r>
    <s v="Monthly-AE-July-2024-revised.csv"/>
    <x v="7"/>
    <s v="NNJ14"/>
    <s v="NHS ENGLAND MIDLANDS "/>
    <x v="191"/>
    <n v="0"/>
    <n v="0"/>
    <n v="802"/>
    <n v="0"/>
    <n v="0"/>
    <n v="1976"/>
    <n v="0"/>
    <n v="0"/>
    <n v="0"/>
    <n v="0"/>
    <n v="0"/>
    <n v="0"/>
    <n v="0"/>
    <n v="0"/>
    <n v="0"/>
    <n v="0"/>
    <n v="0"/>
    <n v="0"/>
    <n v="802"/>
    <n v="0"/>
    <n v="0"/>
  </r>
  <r>
    <s v="Monthly-AE-July-2024-revised.csv"/>
    <x v="7"/>
    <s v="NNJ15"/>
    <s v="NHS ENGLAND MIDLANDS "/>
    <x v="56"/>
    <n v="0"/>
    <n v="0"/>
    <n v="67"/>
    <n v="0"/>
    <n v="0"/>
    <n v="354"/>
    <n v="0"/>
    <n v="0"/>
    <n v="0"/>
    <n v="0"/>
    <n v="0"/>
    <n v="0"/>
    <n v="0"/>
    <n v="0"/>
    <n v="0"/>
    <n v="0"/>
    <n v="0"/>
    <n v="0"/>
    <n v="67"/>
    <n v="0"/>
    <n v="0"/>
  </r>
  <r>
    <s v="Monthly-AE-July-2024-revised.csv"/>
    <x v="7"/>
    <s v="NTPAD"/>
    <s v="NHS ENGLAND SOUTH EAST "/>
    <x v="22"/>
    <n v="0"/>
    <n v="0"/>
    <n v="5459"/>
    <n v="0"/>
    <n v="0"/>
    <n v="286"/>
    <n v="0"/>
    <n v="0"/>
    <n v="54"/>
    <n v="0"/>
    <n v="0"/>
    <n v="0"/>
    <n v="0"/>
    <n v="0"/>
    <n v="0"/>
    <n v="0"/>
    <n v="0"/>
    <n v="0"/>
    <n v="5459"/>
    <n v="54"/>
    <n v="0"/>
  </r>
  <r>
    <s v="Monthly-AE-July-2024-revised.csv"/>
    <x v="7"/>
    <s v="RAX"/>
    <s v="NHS ENGLAND LONDON"/>
    <x v="100"/>
    <n v="7078"/>
    <n v="0"/>
    <n v="8165"/>
    <n v="0"/>
    <n v="0"/>
    <n v="0"/>
    <n v="3086"/>
    <n v="0"/>
    <n v="265"/>
    <n v="0"/>
    <n v="0"/>
    <n v="0"/>
    <n v="251"/>
    <n v="223"/>
    <n v="2067"/>
    <n v="0"/>
    <n v="160"/>
    <n v="765"/>
    <n v="15243"/>
    <n v="3351"/>
    <n v="2992"/>
  </r>
  <r>
    <s v="Monthly-AE-July-2024-revised.csv"/>
    <x v="7"/>
    <s v="RBS"/>
    <s v="NHS ENGLAND NORTH WEST "/>
    <x v="80"/>
    <n v="5165"/>
    <n v="0"/>
    <n v="0"/>
    <n v="0"/>
    <n v="0"/>
    <n v="0"/>
    <n v="626"/>
    <n v="0"/>
    <n v="0"/>
    <n v="0"/>
    <n v="0"/>
    <n v="0"/>
    <n v="0"/>
    <n v="0"/>
    <n v="881"/>
    <n v="0"/>
    <n v="0"/>
    <n v="299"/>
    <n v="5165"/>
    <n v="626"/>
    <n v="1180"/>
  </r>
  <r>
    <s v="Monthly-AE-July-2024-revised.csv"/>
    <x v="7"/>
    <s v="RCD"/>
    <s v="NHS ENGLAND NORTH EAST AND YORKSHIRE "/>
    <x v="184"/>
    <n v="5111"/>
    <n v="0"/>
    <n v="1025"/>
    <n v="303"/>
    <n v="0"/>
    <n v="33"/>
    <n v="1591"/>
    <n v="0"/>
    <n v="0"/>
    <n v="65"/>
    <n v="0"/>
    <n v="0"/>
    <n v="377"/>
    <n v="39"/>
    <n v="1130"/>
    <n v="0"/>
    <n v="0"/>
    <n v="312"/>
    <n v="6136"/>
    <n v="1591"/>
    <n v="1442"/>
  </r>
  <r>
    <s v="Monthly-AE-July-2024-revised.csv"/>
    <x v="7"/>
    <s v="RCU"/>
    <s v="NHS ENGLAND NORTH EAST AND YORKSHIRE "/>
    <x v="81"/>
    <n v="4330"/>
    <n v="0"/>
    <n v="273"/>
    <n v="286"/>
    <n v="0"/>
    <n v="21"/>
    <n v="267"/>
    <n v="0"/>
    <n v="0"/>
    <n v="22"/>
    <n v="0"/>
    <n v="0"/>
    <n v="4"/>
    <n v="1"/>
    <n v="851"/>
    <n v="0"/>
    <n v="0"/>
    <n v="75"/>
    <n v="4603"/>
    <n v="267"/>
    <n v="926"/>
  </r>
  <r>
    <s v="Monthly-AE-July-2024-revised.csv"/>
    <x v="7"/>
    <s v="RD8"/>
    <s v="NHS ENGLAND EAST OF ENGLAND "/>
    <x v="105"/>
    <n v="8444"/>
    <n v="0"/>
    <n v="5142"/>
    <n v="521"/>
    <n v="0"/>
    <n v="153"/>
    <n v="3225"/>
    <n v="0"/>
    <n v="112"/>
    <n v="209"/>
    <n v="0"/>
    <n v="0"/>
    <n v="371"/>
    <n v="0"/>
    <n v="2068"/>
    <n v="0"/>
    <n v="0"/>
    <n v="428"/>
    <n v="13586"/>
    <n v="3337"/>
    <n v="2496"/>
  </r>
  <r>
    <s v="Monthly-AE-July-2024-revised.csv"/>
    <x v="7"/>
    <s v="RDR"/>
    <s v="NHS ENGLAND SOUTH EAST "/>
    <x v="166"/>
    <n v="0"/>
    <n v="0"/>
    <n v="12493"/>
    <n v="0"/>
    <n v="0"/>
    <n v="0"/>
    <n v="0"/>
    <n v="0"/>
    <n v="152"/>
    <n v="0"/>
    <n v="0"/>
    <n v="0"/>
    <n v="0"/>
    <n v="0"/>
    <n v="0"/>
    <n v="0"/>
    <n v="0"/>
    <n v="0"/>
    <n v="12493"/>
    <n v="152"/>
    <n v="0"/>
  </r>
  <r>
    <s v="Monthly-AE-July-2024-revised.csv"/>
    <x v="7"/>
    <s v="RFS"/>
    <s v="NHS ENGLAND MIDLANDS "/>
    <x v="133"/>
    <n v="7428"/>
    <n v="0"/>
    <n v="1528"/>
    <n v="221"/>
    <n v="0"/>
    <n v="62"/>
    <n v="3018"/>
    <n v="0"/>
    <n v="130"/>
    <n v="73"/>
    <n v="0"/>
    <n v="3"/>
    <n v="823"/>
    <n v="112"/>
    <n v="2841"/>
    <n v="0"/>
    <n v="309"/>
    <n v="632"/>
    <n v="8956"/>
    <n v="3148"/>
    <n v="3782"/>
  </r>
  <r>
    <s v="Monthly-AE-July-2024-revised.csv"/>
    <x v="7"/>
    <s v="RH8"/>
    <s v="NHS ENGLAND SOUTH WEST "/>
    <x v="186"/>
    <n v="12929"/>
    <n v="0"/>
    <n v="4287"/>
    <n v="1160"/>
    <n v="0"/>
    <n v="74"/>
    <n v="4862"/>
    <n v="0"/>
    <n v="19"/>
    <n v="395"/>
    <n v="0"/>
    <n v="2"/>
    <n v="745"/>
    <n v="15"/>
    <n v="4140"/>
    <n v="0"/>
    <n v="0"/>
    <n v="2228"/>
    <n v="17216"/>
    <n v="4881"/>
    <n v="6368"/>
  </r>
  <r>
    <s v="Monthly-AE-July-2024-revised.csv"/>
    <x v="7"/>
    <s v="RJ7"/>
    <s v="NHS ENGLAND LONDON"/>
    <x v="137"/>
    <n v="9127"/>
    <n v="0"/>
    <n v="3435"/>
    <n v="457"/>
    <n v="0"/>
    <n v="0"/>
    <n v="2349"/>
    <n v="0"/>
    <n v="0"/>
    <n v="48"/>
    <n v="0"/>
    <n v="0"/>
    <n v="541"/>
    <n v="663"/>
    <n v="2653"/>
    <n v="0"/>
    <n v="0"/>
    <n v="753"/>
    <n v="12562"/>
    <n v="2349"/>
    <n v="3406"/>
  </r>
  <r>
    <s v="Monthly-AE-July-2024-revised.csv"/>
    <x v="7"/>
    <s v="RN7"/>
    <s v="NHS ENGLAND SOUTH EAST "/>
    <x v="171"/>
    <n v="11348"/>
    <n v="0"/>
    <n v="3690"/>
    <n v="0"/>
    <n v="0"/>
    <n v="0"/>
    <n v="3745"/>
    <n v="0"/>
    <n v="34"/>
    <n v="0"/>
    <n v="0"/>
    <n v="0"/>
    <n v="816"/>
    <n v="149"/>
    <n v="2933"/>
    <n v="0"/>
    <n v="0"/>
    <n v="441"/>
    <n v="15038"/>
    <n v="3779"/>
    <n v="3374"/>
  </r>
  <r>
    <s v="Monthly-AE-July-2024-revised.csv"/>
    <x v="7"/>
    <s v="RR7"/>
    <s v="NHS ENGLAND NORTH EAST AND YORKSHIRE "/>
    <x v="113"/>
    <n v="6017"/>
    <n v="0"/>
    <n v="3687"/>
    <n v="59"/>
    <n v="0"/>
    <n v="2"/>
    <n v="2788"/>
    <n v="0"/>
    <n v="36"/>
    <n v="3"/>
    <n v="0"/>
    <n v="1"/>
    <n v="988"/>
    <n v="3"/>
    <n v="1763"/>
    <n v="0"/>
    <n v="0"/>
    <n v="50"/>
    <n v="9704"/>
    <n v="2824"/>
    <n v="1813"/>
  </r>
  <r>
    <s v="Monthly-AE-July-2024-revised.csv"/>
    <x v="7"/>
    <s v="RTK"/>
    <s v="NHS ENGLAND SOUTH EAST "/>
    <x v="114"/>
    <n v="10039"/>
    <n v="0"/>
    <n v="0"/>
    <n v="0"/>
    <n v="0"/>
    <n v="0"/>
    <n v="3151"/>
    <n v="0"/>
    <n v="0"/>
    <n v="0"/>
    <n v="0"/>
    <n v="0"/>
    <n v="619"/>
    <n v="182"/>
    <n v="2938"/>
    <n v="0"/>
    <n v="0"/>
    <n v="543"/>
    <n v="10039"/>
    <n v="3151"/>
    <n v="3481"/>
  </r>
  <r>
    <s v="Monthly-AE-July-2024-revised.csv"/>
    <x v="7"/>
    <s v="RTX"/>
    <s v="NHS ENGLAND NORTH WEST "/>
    <x v="172"/>
    <n v="9254"/>
    <n v="0"/>
    <n v="3424"/>
    <n v="192"/>
    <n v="0"/>
    <n v="691"/>
    <n v="2796"/>
    <n v="0"/>
    <n v="95"/>
    <n v="31"/>
    <n v="0"/>
    <n v="44"/>
    <n v="536"/>
    <n v="351"/>
    <n v="3094"/>
    <n v="0"/>
    <n v="16"/>
    <n v="1019"/>
    <n v="12678"/>
    <n v="2891"/>
    <n v="4129"/>
  </r>
  <r>
    <s v="Monthly-AE-July-2024-revised.csv"/>
    <x v="7"/>
    <s v="RVW"/>
    <s v="NHS ENGLAND NORTH EAST AND YORKSHIRE "/>
    <x v="90"/>
    <n v="4789"/>
    <n v="0"/>
    <n v="11526"/>
    <n v="0"/>
    <n v="0"/>
    <n v="0"/>
    <n v="2047"/>
    <n v="0"/>
    <n v="31"/>
    <n v="0"/>
    <n v="0"/>
    <n v="0"/>
    <n v="106"/>
    <n v="0"/>
    <n v="1710"/>
    <n v="0"/>
    <n v="534"/>
    <n v="2255"/>
    <n v="16315"/>
    <n v="2078"/>
    <n v="4499"/>
  </r>
  <r>
    <s v="Monthly-AE-July-2024-revised.csv"/>
    <x v="7"/>
    <s v="RWA"/>
    <s v="NHS ENGLAND NORTH EAST AND YORKSHIRE "/>
    <x v="116"/>
    <n v="9464"/>
    <n v="0"/>
    <n v="4425"/>
    <n v="0"/>
    <n v="0"/>
    <n v="0"/>
    <n v="4752"/>
    <n v="0"/>
    <n v="447"/>
    <n v="0"/>
    <n v="0"/>
    <n v="0"/>
    <n v="963"/>
    <n v="214"/>
    <n v="3747"/>
    <n v="0"/>
    <n v="0"/>
    <n v="2026"/>
    <n v="13889"/>
    <n v="5199"/>
    <n v="5773"/>
  </r>
  <r>
    <s v="Monthly-AE-July-2024-revised.csv"/>
    <x v="7"/>
    <s v="RWW"/>
    <s v="NHS ENGLAND NORTH WEST "/>
    <x v="159"/>
    <n v="6856"/>
    <n v="0"/>
    <n v="3106"/>
    <n v="251"/>
    <n v="0"/>
    <n v="98"/>
    <n v="3351"/>
    <n v="0"/>
    <n v="86"/>
    <n v="83"/>
    <n v="0"/>
    <n v="1"/>
    <n v="849"/>
    <n v="511"/>
    <n v="1785"/>
    <n v="0"/>
    <n v="0"/>
    <n v="177"/>
    <n v="9962"/>
    <n v="3437"/>
    <n v="1962"/>
  </r>
  <r>
    <s v="Monthly-AE-July-2024-revised.csv"/>
    <x v="7"/>
    <s v="RXC"/>
    <s v="NHS ENGLAND SOUTH EAST "/>
    <x v="70"/>
    <n v="10715"/>
    <n v="0"/>
    <n v="2643"/>
    <n v="0"/>
    <n v="0"/>
    <n v="1241"/>
    <n v="3027"/>
    <n v="0"/>
    <n v="19"/>
    <n v="0"/>
    <n v="0"/>
    <n v="0"/>
    <n v="274"/>
    <n v="14"/>
    <n v="3524"/>
    <n v="0"/>
    <n v="0"/>
    <n v="574"/>
    <n v="13358"/>
    <n v="3046"/>
    <n v="4098"/>
  </r>
  <r>
    <s v="Monthly-AE-July-2024-revised.csv"/>
    <x v="7"/>
    <s v="RXN"/>
    <s v="NHS ENGLAND NORTH WEST "/>
    <x v="91"/>
    <n v="12244"/>
    <n v="0"/>
    <n v="3617"/>
    <n v="84"/>
    <n v="0"/>
    <n v="18"/>
    <n v="4395"/>
    <n v="0"/>
    <n v="180"/>
    <n v="15"/>
    <n v="0"/>
    <n v="3"/>
    <n v="1058"/>
    <n v="219"/>
    <n v="3168"/>
    <n v="0"/>
    <n v="109"/>
    <n v="1257"/>
    <n v="15861"/>
    <n v="4575"/>
    <n v="4534"/>
  </r>
  <r>
    <s v="Monthly-AE-July-2024-revised.csv"/>
    <x v="7"/>
    <s v="RYX"/>
    <s v="NHS ENGLAND LONDON"/>
    <x v="75"/>
    <n v="0"/>
    <n v="0"/>
    <n v="11886"/>
    <n v="0"/>
    <n v="0"/>
    <n v="475"/>
    <n v="0"/>
    <n v="0"/>
    <n v="204"/>
    <n v="0"/>
    <n v="0"/>
    <n v="11"/>
    <n v="0"/>
    <n v="0"/>
    <n v="0"/>
    <n v="0"/>
    <n v="0"/>
    <n v="0"/>
    <n v="11886"/>
    <n v="204"/>
    <n v="0"/>
  </r>
  <r>
    <s v="Monthly-AE-July-2024-revised.csv"/>
    <x v="7"/>
    <s v="ARN03"/>
    <s v="NHS ENGLAND NORTH EAST AND YORKSHIRE "/>
    <x v="164"/>
    <n v="0"/>
    <n v="0"/>
    <n v="1936"/>
    <n v="0"/>
    <n v="0"/>
    <n v="310"/>
    <n v="0"/>
    <n v="0"/>
    <n v="0"/>
    <n v="0"/>
    <n v="0"/>
    <n v="0"/>
    <n v="0"/>
    <n v="0"/>
    <n v="0"/>
    <n v="0"/>
    <n v="0"/>
    <n v="0"/>
    <n v="1936"/>
    <n v="0"/>
    <n v="0"/>
  </r>
  <r>
    <s v="Monthly-AE-July-2024-revised.csv"/>
    <x v="7"/>
    <s v="NR3"/>
    <s v="NHS ENGLAND MIDLANDS "/>
    <x v="57"/>
    <n v="0"/>
    <n v="0"/>
    <n v="5272"/>
    <n v="0"/>
    <n v="0"/>
    <n v="275"/>
    <n v="0"/>
    <n v="0"/>
    <n v="161"/>
    <n v="0"/>
    <n v="0"/>
    <n v="0"/>
    <n v="0"/>
    <n v="0"/>
    <n v="0"/>
    <n v="0"/>
    <n v="0"/>
    <n v="0"/>
    <n v="5272"/>
    <n v="161"/>
    <n v="0"/>
  </r>
  <r>
    <s v="Monthly-AE-July-2024-revised.csv"/>
    <x v="7"/>
    <s v="R0B"/>
    <s v="NHS ENGLAND NORTH EAST AND YORKSHIRE "/>
    <x v="44"/>
    <n v="11554"/>
    <n v="1366"/>
    <n v="6113"/>
    <n v="469"/>
    <n v="0"/>
    <n v="1409"/>
    <n v="4850"/>
    <n v="30"/>
    <n v="143"/>
    <n v="190"/>
    <n v="0"/>
    <n v="31"/>
    <n v="439"/>
    <n v="3"/>
    <n v="4640"/>
    <n v="23"/>
    <n v="0"/>
    <n v="1156"/>
    <n v="19033"/>
    <n v="5023"/>
    <n v="5819"/>
  </r>
  <r>
    <s v="Monthly-AE-July-2024-revised.csv"/>
    <x v="7"/>
    <s v="R0D"/>
    <s v="NHS ENGLAND SOUTH WEST "/>
    <x v="77"/>
    <n v="13604"/>
    <n v="0"/>
    <n v="5037"/>
    <n v="0"/>
    <n v="0"/>
    <n v="0"/>
    <n v="4948"/>
    <n v="0"/>
    <n v="0"/>
    <n v="0"/>
    <n v="0"/>
    <n v="0"/>
    <n v="897"/>
    <n v="127"/>
    <n v="4263"/>
    <n v="5"/>
    <n v="0"/>
    <n v="2403"/>
    <n v="18641"/>
    <n v="4948"/>
    <n v="6671"/>
  </r>
  <r>
    <s v="Monthly-AE-July-2024-revised.csv"/>
    <x v="7"/>
    <s v="R1F"/>
    <s v="NHS ENGLAND SOUTH EAST "/>
    <x v="127"/>
    <n v="4595"/>
    <n v="0"/>
    <n v="1502"/>
    <n v="26"/>
    <n v="0"/>
    <n v="22"/>
    <n v="2063"/>
    <n v="0"/>
    <n v="0"/>
    <n v="18"/>
    <n v="0"/>
    <n v="0"/>
    <n v="246"/>
    <n v="63"/>
    <n v="1083"/>
    <n v="0"/>
    <n v="0"/>
    <n v="280"/>
    <n v="6097"/>
    <n v="2063"/>
    <n v="1363"/>
  </r>
  <r>
    <s v="Monthly-AE-July-2024-revised.csv"/>
    <x v="7"/>
    <s v="R1K"/>
    <s v="NHS ENGLAND LONDON"/>
    <x v="128"/>
    <n v="13350"/>
    <n v="0"/>
    <n v="15205"/>
    <n v="0"/>
    <n v="0"/>
    <n v="0"/>
    <n v="5877"/>
    <n v="0"/>
    <n v="110"/>
    <n v="0"/>
    <n v="0"/>
    <n v="0"/>
    <n v="589"/>
    <n v="315"/>
    <n v="6909"/>
    <n v="0"/>
    <n v="0"/>
    <n v="420"/>
    <n v="28555"/>
    <n v="5987"/>
    <n v="7329"/>
  </r>
  <r>
    <s v="Monthly-AE-July-2024-revised.csv"/>
    <x v="7"/>
    <s v="RAS"/>
    <s v="NHS ENGLAND LONDON"/>
    <x v="182"/>
    <n v="6079"/>
    <n v="0"/>
    <n v="6799"/>
    <n v="0"/>
    <n v="0"/>
    <n v="0"/>
    <n v="3513"/>
    <n v="0"/>
    <n v="142"/>
    <n v="0"/>
    <n v="0"/>
    <n v="0"/>
    <n v="325"/>
    <n v="17"/>
    <n v="2778"/>
    <n v="0"/>
    <n v="0"/>
    <n v="228"/>
    <n v="12878"/>
    <n v="3655"/>
    <n v="3006"/>
  </r>
  <r>
    <s v="Monthly-AE-July-2024-revised.csv"/>
    <x v="7"/>
    <s v="RBK"/>
    <s v="NHS ENGLAND MIDLANDS "/>
    <x v="102"/>
    <n v="9187"/>
    <n v="0"/>
    <n v="4065"/>
    <n v="15"/>
    <n v="0"/>
    <n v="149"/>
    <n v="2499"/>
    <n v="0"/>
    <n v="179"/>
    <n v="1"/>
    <n v="0"/>
    <n v="0"/>
    <n v="696"/>
    <n v="30"/>
    <n v="3998"/>
    <n v="0"/>
    <n v="0"/>
    <n v="704"/>
    <n v="13252"/>
    <n v="2678"/>
    <n v="4702"/>
  </r>
  <r>
    <s v="Monthly-AE-July-2024-revised.csv"/>
    <x v="7"/>
    <s v="RCB"/>
    <s v="NHS ENGLAND NORTH EAST AND YORKSHIRE "/>
    <x v="103"/>
    <n v="10808"/>
    <n v="399"/>
    <n v="7039"/>
    <n v="0"/>
    <n v="0"/>
    <n v="0"/>
    <n v="6002"/>
    <n v="0"/>
    <n v="279"/>
    <n v="0"/>
    <n v="0"/>
    <n v="0"/>
    <n v="806"/>
    <n v="583"/>
    <n v="4493"/>
    <n v="0"/>
    <n v="0"/>
    <n v="1579"/>
    <n v="18246"/>
    <n v="6281"/>
    <n v="6072"/>
  </r>
  <r>
    <s v="Monthly-AE-July-2024-revised.csv"/>
    <x v="7"/>
    <s v="REF"/>
    <s v="NHS ENGLAND SOUTH WEST "/>
    <x v="60"/>
    <n v="6708"/>
    <n v="0"/>
    <n v="13834"/>
    <n v="0"/>
    <n v="0"/>
    <n v="0"/>
    <n v="3878"/>
    <n v="0"/>
    <n v="862"/>
    <n v="0"/>
    <n v="0"/>
    <n v="0"/>
    <n v="579"/>
    <n v="510"/>
    <n v="2287"/>
    <n v="0"/>
    <n v="48"/>
    <n v="1475"/>
    <n v="20542"/>
    <n v="4740"/>
    <n v="3810"/>
  </r>
  <r>
    <s v="Monthly-AE-July-2024-revised.csv"/>
    <x v="7"/>
    <s v="RF4"/>
    <s v="NHS ENGLAND LONDON"/>
    <x v="167"/>
    <n v="12880"/>
    <n v="2370"/>
    <n v="13516"/>
    <n v="0"/>
    <n v="0"/>
    <n v="0"/>
    <n v="5125"/>
    <n v="365"/>
    <n v="159"/>
    <n v="0"/>
    <n v="0"/>
    <n v="0"/>
    <n v="717"/>
    <n v="633"/>
    <n v="7649"/>
    <n v="0"/>
    <n v="0"/>
    <n v="449"/>
    <n v="28766"/>
    <n v="5649"/>
    <n v="8098"/>
  </r>
  <r>
    <s v="Monthly-AE-July-2024-revised.csv"/>
    <x v="7"/>
    <s v="RFR"/>
    <s v="NHS ENGLAND NORTH EAST AND YORKSHIRE "/>
    <x v="45"/>
    <n v="8700"/>
    <n v="0"/>
    <n v="0"/>
    <n v="0"/>
    <n v="0"/>
    <n v="0"/>
    <n v="2791"/>
    <n v="0"/>
    <n v="0"/>
    <n v="0"/>
    <n v="0"/>
    <n v="0"/>
    <n v="402"/>
    <n v="0"/>
    <n v="3094"/>
    <n v="0"/>
    <n v="0"/>
    <n v="604"/>
    <n v="8700"/>
    <n v="2791"/>
    <n v="3698"/>
  </r>
  <r>
    <s v="Monthly-AE-July-2024-revised.csv"/>
    <x v="7"/>
    <s v="RGN"/>
    <s v="NHS ENGLAND EAST OF ENGLAND "/>
    <x v="106"/>
    <n v="14267"/>
    <n v="0"/>
    <n v="4913"/>
    <n v="282"/>
    <n v="0"/>
    <n v="486"/>
    <n v="5004"/>
    <n v="0"/>
    <n v="211"/>
    <n v="76"/>
    <n v="0"/>
    <n v="16"/>
    <n v="478"/>
    <n v="709"/>
    <n v="3669"/>
    <n v="0"/>
    <n v="71"/>
    <n v="1540"/>
    <n v="19180"/>
    <n v="5215"/>
    <n v="5280"/>
  </r>
  <r>
    <s v="Monthly-AE-July-2024-revised.csv"/>
    <x v="7"/>
    <s v="RGR"/>
    <s v="NHS ENGLAND EAST OF ENGLAND "/>
    <x v="192"/>
    <n v="7823"/>
    <n v="0"/>
    <n v="733"/>
    <n v="51"/>
    <n v="0"/>
    <n v="0"/>
    <n v="2344"/>
    <n v="0"/>
    <n v="0"/>
    <n v="0"/>
    <n v="0"/>
    <n v="0"/>
    <n v="440"/>
    <n v="290"/>
    <n v="2111"/>
    <n v="0"/>
    <n v="0"/>
    <n v="606"/>
    <n v="8556"/>
    <n v="2344"/>
    <n v="2717"/>
  </r>
  <r>
    <s v="Monthly-AE-July-2024-revised.csv"/>
    <x v="7"/>
    <s v="RGT"/>
    <s v="NHS ENGLAND EAST OF ENGLAND "/>
    <x v="107"/>
    <n v="10480"/>
    <n v="0"/>
    <n v="6358"/>
    <n v="279"/>
    <n v="0"/>
    <n v="296"/>
    <n v="5065"/>
    <n v="0"/>
    <n v="63"/>
    <n v="106"/>
    <n v="0"/>
    <n v="9"/>
    <n v="568"/>
    <n v="534"/>
    <n v="2791"/>
    <n v="0"/>
    <n v="34"/>
    <n v="426"/>
    <n v="16838"/>
    <n v="5128"/>
    <n v="3251"/>
  </r>
  <r>
    <s v="Monthly-AE-July-2024-revised.csv"/>
    <x v="7"/>
    <s v="RJE"/>
    <s v="NHS ENGLAND MIDLANDS "/>
    <x v="84"/>
    <n v="13507"/>
    <n v="508"/>
    <n v="8531"/>
    <n v="595"/>
    <n v="0"/>
    <n v="520"/>
    <n v="6483"/>
    <n v="0"/>
    <n v="110"/>
    <n v="222"/>
    <n v="0"/>
    <n v="6"/>
    <n v="974"/>
    <n v="903"/>
    <n v="5207"/>
    <n v="0"/>
    <n v="0"/>
    <n v="3395"/>
    <n v="22546"/>
    <n v="6593"/>
    <n v="8602"/>
  </r>
  <r>
    <s v="Monthly-AE-July-2024-revised.csv"/>
    <x v="7"/>
    <s v="RKB"/>
    <s v="NHS ENGLAND MIDLANDS "/>
    <x v="140"/>
    <n v="11762"/>
    <n v="841"/>
    <n v="6231"/>
    <n v="0"/>
    <n v="0"/>
    <n v="0"/>
    <n v="5856"/>
    <n v="207"/>
    <n v="330"/>
    <n v="0"/>
    <n v="0"/>
    <n v="0"/>
    <n v="102"/>
    <n v="15"/>
    <n v="1771"/>
    <n v="55"/>
    <n v="97"/>
    <n v="561"/>
    <n v="18834"/>
    <n v="6393"/>
    <n v="2484"/>
  </r>
  <r>
    <s v="Monthly-AE-July-2024-revised.csv"/>
    <x v="7"/>
    <s v="RKE"/>
    <s v="NHS ENGLAND LONDON"/>
    <x v="170"/>
    <n v="9387"/>
    <n v="0"/>
    <n v="0"/>
    <n v="0"/>
    <n v="0"/>
    <n v="0"/>
    <n v="2604"/>
    <n v="0"/>
    <n v="0"/>
    <n v="0"/>
    <n v="0"/>
    <n v="0"/>
    <n v="241"/>
    <n v="341"/>
    <n v="1091"/>
    <n v="0"/>
    <n v="0"/>
    <n v="70"/>
    <n v="9387"/>
    <n v="2604"/>
    <n v="1161"/>
  </r>
  <r>
    <s v="Monthly-AE-July-2024-revised.csv"/>
    <x v="7"/>
    <s v="RN3"/>
    <s v="NHS ENGLAND SOUTH WEST "/>
    <x v="179"/>
    <n v="5525"/>
    <n v="0"/>
    <n v="5782"/>
    <n v="0"/>
    <n v="0"/>
    <n v="2"/>
    <n v="2309"/>
    <n v="0"/>
    <n v="280"/>
    <n v="0"/>
    <n v="0"/>
    <n v="1"/>
    <n v="630"/>
    <n v="0"/>
    <n v="2454"/>
    <n v="0"/>
    <n v="0"/>
    <n v="1395"/>
    <n v="11307"/>
    <n v="2589"/>
    <n v="3849"/>
  </r>
  <r>
    <s v="Monthly-AE-July-2024-revised.csv"/>
    <x v="7"/>
    <s v="RNA"/>
    <s v="NHS ENGLAND MIDLANDS "/>
    <x v="63"/>
    <n v="9105"/>
    <n v="0"/>
    <n v="4423"/>
    <n v="2"/>
    <n v="0"/>
    <n v="707"/>
    <n v="2739"/>
    <n v="0"/>
    <n v="120"/>
    <n v="2"/>
    <n v="0"/>
    <n v="0"/>
    <n v="2094"/>
    <n v="90"/>
    <n v="3592"/>
    <n v="0"/>
    <n v="0"/>
    <n v="2169"/>
    <n v="13528"/>
    <n v="2859"/>
    <n v="5761"/>
  </r>
  <r>
    <s v="Monthly-AE-July-2024-revised.csv"/>
    <x v="7"/>
    <s v="RNN"/>
    <s v="NHS ENGLAND NORTH EAST AND YORKSHIRE "/>
    <x v="111"/>
    <n v="9375"/>
    <n v="0"/>
    <n v="2102"/>
    <n v="371"/>
    <n v="0"/>
    <n v="33"/>
    <n v="3960"/>
    <n v="0"/>
    <n v="44"/>
    <n v="112"/>
    <n v="0"/>
    <n v="2"/>
    <n v="745"/>
    <n v="364"/>
    <n v="2531"/>
    <n v="0"/>
    <n v="0"/>
    <n v="830"/>
    <n v="11477"/>
    <n v="4004"/>
    <n v="3361"/>
  </r>
  <r>
    <s v="Monthly-AE-July-2024-revised.csv"/>
    <x v="7"/>
    <s v="RNQ"/>
    <s v="NHS ENGLAND MIDLANDS "/>
    <x v="64"/>
    <n v="9884"/>
    <n v="0"/>
    <n v="8727"/>
    <n v="341"/>
    <n v="0"/>
    <n v="0"/>
    <n v="3377"/>
    <n v="0"/>
    <n v="56"/>
    <n v="0"/>
    <n v="0"/>
    <n v="0"/>
    <n v="1428"/>
    <n v="0"/>
    <n v="2109"/>
    <n v="0"/>
    <n v="0"/>
    <n v="210"/>
    <n v="18611"/>
    <n v="3433"/>
    <n v="2319"/>
  </r>
  <r>
    <s v="Monthly-AE-July-2024-revised.csv"/>
    <x v="7"/>
    <s v="RNZ"/>
    <s v="NHS ENGLAND SOUTH WEST "/>
    <x v="144"/>
    <n v="4932"/>
    <n v="382"/>
    <n v="1806"/>
    <n v="140"/>
    <n v="0"/>
    <n v="0"/>
    <n v="1902"/>
    <n v="0"/>
    <n v="0"/>
    <n v="56"/>
    <n v="0"/>
    <n v="0"/>
    <n v="356"/>
    <n v="6"/>
    <n v="1369"/>
    <n v="0"/>
    <n v="0"/>
    <n v="969"/>
    <n v="7120"/>
    <n v="1902"/>
    <n v="2338"/>
  </r>
  <r>
    <s v="Monthly-AE-July-2024-revised.csv"/>
    <x v="7"/>
    <s v="RQW"/>
    <s v="NHS ENGLAND EAST OF ENGLAND "/>
    <x v="148"/>
    <n v="8469"/>
    <n v="0"/>
    <n v="1851"/>
    <n v="0"/>
    <n v="0"/>
    <n v="676"/>
    <n v="4066"/>
    <n v="0"/>
    <n v="0"/>
    <n v="0"/>
    <n v="0"/>
    <n v="0"/>
    <n v="451"/>
    <n v="121"/>
    <n v="2151"/>
    <n v="0"/>
    <n v="0"/>
    <n v="469"/>
    <n v="10320"/>
    <n v="4066"/>
    <n v="2620"/>
  </r>
  <r>
    <s v="Monthly-AE-July-2024-revised.csv"/>
    <x v="7"/>
    <s v="RRK"/>
    <s v="NHS ENGLAND MIDLANDS "/>
    <x v="87"/>
    <n v="34297"/>
    <n v="377"/>
    <n v="1666"/>
    <n v="18"/>
    <n v="0"/>
    <n v="254"/>
    <n v="13679"/>
    <n v="0"/>
    <n v="67"/>
    <n v="9"/>
    <n v="0"/>
    <n v="9"/>
    <n v="2891"/>
    <n v="1665"/>
    <n v="11732"/>
    <n v="0"/>
    <n v="0"/>
    <n v="6270"/>
    <n v="36340"/>
    <n v="13746"/>
    <n v="18002"/>
  </r>
  <r>
    <s v="Monthly-AE-July-2024-revised.csv"/>
    <x v="7"/>
    <s v="RRV"/>
    <s v="NHS ENGLAND LONDON"/>
    <x v="28"/>
    <n v="13213"/>
    <n v="0"/>
    <n v="0"/>
    <n v="304"/>
    <n v="0"/>
    <n v="0"/>
    <n v="3515"/>
    <n v="0"/>
    <n v="0"/>
    <n v="0"/>
    <n v="0"/>
    <n v="0"/>
    <n v="349"/>
    <n v="54"/>
    <n v="1442"/>
    <n v="0"/>
    <n v="0"/>
    <n v="265"/>
    <n v="13213"/>
    <n v="3515"/>
    <n v="1707"/>
  </r>
  <r>
    <s v="Monthly-AE-July-2024-revised.csv"/>
    <x v="7"/>
    <s v="RTD"/>
    <s v="NHS ENGLAND NORTH EAST AND YORKSHIRE "/>
    <x v="180"/>
    <n v="12099"/>
    <n v="1737"/>
    <n v="4909"/>
    <n v="0"/>
    <n v="0"/>
    <n v="818"/>
    <n v="4706"/>
    <n v="85"/>
    <n v="0"/>
    <n v="0"/>
    <n v="0"/>
    <n v="0"/>
    <n v="465"/>
    <n v="37"/>
    <n v="3584"/>
    <n v="20"/>
    <n v="0"/>
    <n v="2934"/>
    <n v="18745"/>
    <n v="4791"/>
    <n v="6538"/>
  </r>
  <r>
    <s v="Monthly-AE-July-2024-revised.csv"/>
    <x v="7"/>
    <s v="RTE"/>
    <s v="NHS ENGLAND SOUTH WEST "/>
    <x v="151"/>
    <n v="12612"/>
    <n v="0"/>
    <n v="0"/>
    <n v="229"/>
    <n v="0"/>
    <n v="0"/>
    <n v="4685"/>
    <n v="0"/>
    <n v="0"/>
    <n v="59"/>
    <n v="0"/>
    <n v="0"/>
    <n v="445"/>
    <n v="456"/>
    <n v="2805"/>
    <n v="0"/>
    <n v="0"/>
    <n v="2041"/>
    <n v="12612"/>
    <n v="4685"/>
    <n v="4846"/>
  </r>
  <r>
    <s v="Monthly-AE-July-2024-revised.csv"/>
    <x v="7"/>
    <s v="RTR"/>
    <s v="NHS ENGLAND NORTH EAST AND YORKSHIRE "/>
    <x v="153"/>
    <n v="7444"/>
    <n v="0"/>
    <n v="9263"/>
    <n v="0"/>
    <n v="0"/>
    <n v="1704"/>
    <n v="3760"/>
    <n v="0"/>
    <n v="435"/>
    <n v="0"/>
    <n v="0"/>
    <n v="54"/>
    <n v="226"/>
    <n v="4"/>
    <n v="2576"/>
    <n v="0"/>
    <n v="170"/>
    <n v="2189"/>
    <n v="16707"/>
    <n v="4195"/>
    <n v="4935"/>
  </r>
  <r>
    <s v="Monthly-AE-July-2024-revised.csv"/>
    <x v="7"/>
    <s v="RV9"/>
    <s v="NHS ENGLAND NORTH EAST AND YORKSHIRE "/>
    <x v="67"/>
    <n v="0"/>
    <n v="0"/>
    <n v="1182"/>
    <n v="0"/>
    <n v="0"/>
    <n v="53"/>
    <n v="0"/>
    <n v="0"/>
    <n v="32"/>
    <n v="0"/>
    <n v="0"/>
    <n v="0"/>
    <n v="0"/>
    <n v="0"/>
    <n v="0"/>
    <n v="0"/>
    <n v="0"/>
    <n v="0"/>
    <n v="1182"/>
    <n v="32"/>
    <n v="0"/>
  </r>
  <r>
    <s v="Monthly-AE-July-2024-revised.csv"/>
    <x v="7"/>
    <s v="RVJ"/>
    <s v="NHS ENGLAND SOUTH WEST "/>
    <x v="89"/>
    <n v="8986"/>
    <n v="0"/>
    <n v="0"/>
    <n v="37"/>
    <n v="0"/>
    <n v="0"/>
    <n v="2757"/>
    <n v="0"/>
    <n v="0"/>
    <n v="12"/>
    <n v="0"/>
    <n v="0"/>
    <n v="616"/>
    <n v="125"/>
    <n v="2479"/>
    <n v="0"/>
    <n v="0"/>
    <n v="2060"/>
    <n v="8986"/>
    <n v="2757"/>
    <n v="4539"/>
  </r>
  <r>
    <s v="Monthly-AE-July-2024-revised.csv"/>
    <x v="7"/>
    <s v="RVV"/>
    <s v="NHS ENGLAND SOUTH EAST "/>
    <x v="155"/>
    <n v="13166"/>
    <n v="0"/>
    <n v="12860"/>
    <n v="0"/>
    <n v="0"/>
    <n v="0"/>
    <n v="5962"/>
    <n v="0"/>
    <n v="207"/>
    <n v="0"/>
    <n v="0"/>
    <n v="0"/>
    <n v="600"/>
    <n v="1085"/>
    <n v="3097"/>
    <n v="0"/>
    <n v="605"/>
    <n v="497"/>
    <n v="26026"/>
    <n v="6169"/>
    <n v="4199"/>
  </r>
  <r>
    <s v="Monthly-AE-July-2024-revised.csv"/>
    <x v="7"/>
    <s v="RWG"/>
    <s v="NHS ENGLAND EAST OF ENGLAND "/>
    <x v="47"/>
    <n v="8151"/>
    <n v="0"/>
    <n v="7940"/>
    <n v="0"/>
    <n v="0"/>
    <n v="863"/>
    <n v="2532"/>
    <n v="0"/>
    <n v="257"/>
    <n v="0"/>
    <n v="0"/>
    <n v="0"/>
    <n v="689"/>
    <n v="18"/>
    <n v="4106"/>
    <n v="0"/>
    <n v="0"/>
    <n v="667"/>
    <n v="16091"/>
    <n v="2789"/>
    <n v="4773"/>
  </r>
  <r>
    <s v="Monthly-AE-July-2024-revised.csv"/>
    <x v="7"/>
    <s v="RX1"/>
    <s v="NHS ENGLAND MIDLANDS "/>
    <x v="69"/>
    <n v="15769"/>
    <n v="2095"/>
    <n v="340"/>
    <n v="550"/>
    <n v="0"/>
    <n v="0"/>
    <n v="7080"/>
    <n v="87"/>
    <n v="5"/>
    <n v="249"/>
    <n v="0"/>
    <n v="0"/>
    <n v="782"/>
    <n v="329"/>
    <n v="4230"/>
    <n v="0"/>
    <n v="0"/>
    <n v="4085"/>
    <n v="18204"/>
    <n v="7172"/>
    <n v="8315"/>
  </r>
  <r>
    <s v="Monthly-AE-July-2024-revised.csv"/>
    <x v="7"/>
    <s v="RXP"/>
    <s v="NHS ENGLAND NORTH EAST AND YORKSHIRE "/>
    <x v="161"/>
    <n v="12782"/>
    <n v="0"/>
    <n v="4462"/>
    <n v="0"/>
    <n v="0"/>
    <n v="7125"/>
    <n v="5594"/>
    <n v="0"/>
    <n v="0"/>
    <n v="0"/>
    <n v="0"/>
    <n v="0"/>
    <n v="2052"/>
    <n v="50"/>
    <n v="4322"/>
    <n v="0"/>
    <n v="0"/>
    <n v="777"/>
    <n v="17244"/>
    <n v="5594"/>
    <n v="5099"/>
  </r>
  <r>
    <s v="Monthly-AE-July-2024-revised.csv"/>
    <x v="7"/>
    <s v="DT301"/>
    <s v="NHS ENGLAND EAST OF ENGLAND "/>
    <x v="19"/>
    <n v="0"/>
    <n v="0"/>
    <n v="2464"/>
    <n v="0"/>
    <n v="0"/>
    <n v="0"/>
    <n v="0"/>
    <n v="0"/>
    <n v="135"/>
    <n v="0"/>
    <n v="0"/>
    <n v="0"/>
    <n v="0"/>
    <n v="0"/>
    <n v="0"/>
    <n v="0"/>
    <n v="0"/>
    <n v="0"/>
    <n v="2464"/>
    <n v="135"/>
    <n v="0"/>
  </r>
  <r>
    <s v="Monthly-AE-July-2024-revised.csv"/>
    <x v="7"/>
    <s v="NNF16"/>
    <s v="NHS ENGLAND NORTH EAST AND YORKSHIRE "/>
    <x v="198"/>
    <n v="0"/>
    <n v="0"/>
    <n v="1767"/>
    <n v="0"/>
    <n v="0"/>
    <n v="0"/>
    <n v="0"/>
    <n v="0"/>
    <n v="54"/>
    <n v="0"/>
    <n v="0"/>
    <n v="0"/>
    <n v="0"/>
    <n v="0"/>
    <n v="0"/>
    <n v="0"/>
    <n v="0"/>
    <n v="0"/>
    <n v="1767"/>
    <n v="54"/>
    <n v="0"/>
  </r>
  <r>
    <s v="Monthly-AE-July-2024-revised.csv"/>
    <x v="7"/>
    <s v="R1D"/>
    <s v="NHS ENGLAND MIDLANDS "/>
    <x v="58"/>
    <n v="0"/>
    <n v="0"/>
    <n v="3623"/>
    <n v="0"/>
    <n v="0"/>
    <n v="0"/>
    <n v="0"/>
    <n v="0"/>
    <n v="6"/>
    <n v="0"/>
    <n v="0"/>
    <n v="0"/>
    <n v="0"/>
    <n v="0"/>
    <n v="0"/>
    <n v="0"/>
    <n v="0"/>
    <n v="0"/>
    <n v="3623"/>
    <n v="6"/>
    <n v="0"/>
  </r>
  <r>
    <s v="Monthly-AE-July-2024-revised.csv"/>
    <x v="7"/>
    <s v="R1H"/>
    <s v="NHS ENGLAND LONDON"/>
    <x v="96"/>
    <n v="25172"/>
    <n v="1078"/>
    <n v="17776"/>
    <n v="0"/>
    <n v="0"/>
    <n v="0"/>
    <n v="11241"/>
    <n v="14"/>
    <n v="1954"/>
    <n v="0"/>
    <n v="0"/>
    <n v="0"/>
    <n v="1246"/>
    <n v="861"/>
    <n v="4757"/>
    <n v="0"/>
    <n v="0"/>
    <n v="1016"/>
    <n v="44026"/>
    <n v="13209"/>
    <n v="5773"/>
  </r>
  <r>
    <s v="Monthly-AE-July-2024-revised.csv"/>
    <x v="7"/>
    <s v="RAL"/>
    <s v="NHS ENGLAND LONDON"/>
    <x v="99"/>
    <n v="18231"/>
    <n v="0"/>
    <n v="8482"/>
    <n v="0"/>
    <n v="0"/>
    <n v="0"/>
    <n v="6919"/>
    <n v="0"/>
    <n v="157"/>
    <n v="0"/>
    <n v="0"/>
    <n v="0"/>
    <n v="952"/>
    <n v="544"/>
    <n v="3961"/>
    <n v="0"/>
    <n v="0"/>
    <n v="533"/>
    <n v="26713"/>
    <n v="7076"/>
    <n v="4494"/>
  </r>
  <r>
    <s v="Monthly-AE-July-2024-revised.csv"/>
    <x v="7"/>
    <s v="RAP"/>
    <s v="NHS ENGLAND LONDON"/>
    <x v="129"/>
    <n v="7849"/>
    <n v="584"/>
    <n v="7323"/>
    <n v="188"/>
    <n v="1"/>
    <n v="253"/>
    <n v="4280"/>
    <n v="7"/>
    <n v="720"/>
    <n v="85"/>
    <n v="0"/>
    <n v="27"/>
    <n v="313"/>
    <n v="788"/>
    <n v="1613"/>
    <n v="0"/>
    <n v="0"/>
    <n v="148"/>
    <n v="15756"/>
    <n v="5007"/>
    <n v="1761"/>
  </r>
  <r>
    <s v="Monthly-AE-July-2024-revised.csv"/>
    <x v="7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804"/>
    <n v="0"/>
    <n v="0"/>
    <n v="804"/>
  </r>
  <r>
    <s v="Monthly-AE-July-2024-revised.csv"/>
    <x v="7"/>
    <s v="RD1"/>
    <s v="NHS ENGLAND SOUTH WEST "/>
    <x v="165"/>
    <n v="8656"/>
    <n v="0"/>
    <n v="0"/>
    <n v="0"/>
    <n v="0"/>
    <n v="0"/>
    <n v="3172"/>
    <n v="0"/>
    <n v="0"/>
    <n v="0"/>
    <n v="0"/>
    <n v="0"/>
    <n v="583"/>
    <n v="5"/>
    <n v="2608"/>
    <n v="0"/>
    <n v="7"/>
    <n v="1654"/>
    <n v="8656"/>
    <n v="3172"/>
    <n v="4269"/>
  </r>
  <r>
    <s v="Monthly-AE-July-2024-revised.csv"/>
    <x v="7"/>
    <s v="RDE"/>
    <s v="NHS ENGLAND EAST OF ENGLAND "/>
    <x v="132"/>
    <n v="15305"/>
    <n v="0"/>
    <n v="11976"/>
    <n v="514"/>
    <n v="0"/>
    <n v="296"/>
    <n v="7198"/>
    <n v="0"/>
    <n v="168"/>
    <n v="0"/>
    <n v="0"/>
    <n v="0"/>
    <n v="1124"/>
    <n v="259"/>
    <n v="6243"/>
    <n v="0"/>
    <n v="387"/>
    <n v="1111"/>
    <n v="27281"/>
    <n v="7366"/>
    <n v="7741"/>
  </r>
  <r>
    <s v="Monthly-AE-July-2024-revised.csv"/>
    <x v="7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77"/>
    <n v="0"/>
    <n v="0"/>
    <n v="177"/>
  </r>
  <r>
    <s v="Monthly-AE-July-2024-revised.csv"/>
    <x v="7"/>
    <s v="RH5"/>
    <s v="NHS ENGLAND SOUTH WEST "/>
    <x v="175"/>
    <n v="13431"/>
    <n v="0"/>
    <n v="10214"/>
    <n v="0"/>
    <n v="0"/>
    <n v="0"/>
    <n v="5448"/>
    <n v="0"/>
    <n v="170"/>
    <n v="0"/>
    <n v="0"/>
    <n v="0"/>
    <n v="357"/>
    <n v="8"/>
    <n v="3370"/>
    <n v="0"/>
    <n v="0"/>
    <n v="2047"/>
    <n v="23645"/>
    <n v="5618"/>
    <n v="5417"/>
  </r>
  <r>
    <s v="Monthly-AE-July-2024-revised.csv"/>
    <x v="7"/>
    <s v="RHQ"/>
    <s v="NHS ENGLAND NORTH EAST AND YORKSHIRE "/>
    <x v="168"/>
    <n v="9397"/>
    <n v="1226"/>
    <n v="7165"/>
    <n v="327"/>
    <n v="1"/>
    <n v="971"/>
    <n v="4689"/>
    <n v="0"/>
    <n v="110"/>
    <n v="143"/>
    <n v="0"/>
    <n v="11"/>
    <n v="1076"/>
    <n v="16"/>
    <n v="3669"/>
    <n v="0"/>
    <n v="0"/>
    <n v="3146"/>
    <n v="17788"/>
    <n v="4799"/>
    <n v="6815"/>
  </r>
  <r>
    <s v="Monthly-AE-July-2024-revised.csv"/>
    <x v="7"/>
    <s v="RJ1"/>
    <s v="NHS ENGLAND LONDON"/>
    <x v="135"/>
    <n v="10650"/>
    <n v="809"/>
    <n v="6828"/>
    <n v="0"/>
    <n v="0"/>
    <n v="0"/>
    <n v="4436"/>
    <n v="0"/>
    <n v="338"/>
    <n v="0"/>
    <n v="0"/>
    <n v="0"/>
    <n v="96"/>
    <n v="66"/>
    <n v="2370"/>
    <n v="0"/>
    <n v="0"/>
    <n v="261"/>
    <n v="18287"/>
    <n v="4774"/>
    <n v="2631"/>
  </r>
  <r>
    <s v="Monthly-AE-July-2024-revised.csv"/>
    <x v="7"/>
    <s v="RLT"/>
    <s v="NHS ENGLAND MIDLANDS "/>
    <x v="141"/>
    <n v="6856"/>
    <n v="0"/>
    <n v="1837"/>
    <n v="0"/>
    <n v="0"/>
    <n v="0"/>
    <n v="2191"/>
    <n v="0"/>
    <n v="17"/>
    <n v="0"/>
    <n v="0"/>
    <n v="0"/>
    <n v="522"/>
    <n v="133"/>
    <n v="973"/>
    <n v="0"/>
    <n v="0"/>
    <n v="16"/>
    <n v="8693"/>
    <n v="2208"/>
    <n v="989"/>
  </r>
  <r>
    <s v="Monthly-AE-July-2024-revised.csv"/>
    <x v="7"/>
    <s v="RM3"/>
    <s v="NHS ENGLAND NORTH WEST "/>
    <x v="193"/>
    <n v="25778"/>
    <n v="0"/>
    <n v="9312"/>
    <n v="0"/>
    <n v="0"/>
    <n v="0"/>
    <n v="11400"/>
    <n v="0"/>
    <n v="388"/>
    <n v="0"/>
    <n v="0"/>
    <n v="0"/>
    <n v="1749"/>
    <n v="791"/>
    <n v="6952"/>
    <n v="0"/>
    <n v="365"/>
    <n v="1790"/>
    <n v="35090"/>
    <n v="11788"/>
    <n v="9107"/>
  </r>
  <r>
    <s v="Monthly-AE-July-2024-revised.csv"/>
    <x v="7"/>
    <s v="RMP"/>
    <s v="NHS ENGLAND NORTH WEST "/>
    <x v="143"/>
    <n v="8799"/>
    <n v="0"/>
    <n v="2567"/>
    <n v="436"/>
    <n v="0"/>
    <n v="242"/>
    <n v="4269"/>
    <n v="0"/>
    <n v="0"/>
    <n v="0"/>
    <n v="0"/>
    <n v="0"/>
    <n v="836"/>
    <n v="126"/>
    <n v="1832"/>
    <n v="0"/>
    <n v="0"/>
    <n v="366"/>
    <n v="11366"/>
    <n v="4269"/>
    <n v="2198"/>
  </r>
  <r>
    <s v="Monthly-AE-July-2024-revised.csv"/>
    <x v="7"/>
    <s v="RP5"/>
    <s v="NHS ENGLAND NORTH EAST AND YORKSHIRE "/>
    <x v="145"/>
    <n v="13840"/>
    <n v="0"/>
    <n v="4123"/>
    <n v="0"/>
    <n v="0"/>
    <n v="0"/>
    <n v="5411"/>
    <n v="0"/>
    <n v="10"/>
    <n v="0"/>
    <n v="0"/>
    <n v="0"/>
    <n v="1036"/>
    <n v="236"/>
    <n v="3839"/>
    <n v="0"/>
    <n v="392"/>
    <n v="1063"/>
    <n v="17963"/>
    <n v="5421"/>
    <n v="5294"/>
  </r>
  <r>
    <s v="Monthly-AE-July-2024-revised.csv"/>
    <x v="7"/>
    <s v="RQM"/>
    <s v="NHS ENGLAND LONDON"/>
    <x v="147"/>
    <n v="19890"/>
    <n v="0"/>
    <n v="6153"/>
    <n v="630"/>
    <n v="0"/>
    <n v="0"/>
    <n v="5427"/>
    <n v="0"/>
    <n v="149"/>
    <n v="0"/>
    <n v="0"/>
    <n v="0"/>
    <n v="581"/>
    <n v="42"/>
    <n v="2814"/>
    <n v="0"/>
    <n v="0"/>
    <n v="370"/>
    <n v="26043"/>
    <n v="5576"/>
    <n v="3184"/>
  </r>
  <r>
    <s v="Monthly-AE-July-2024-revised.csv"/>
    <x v="7"/>
    <s v="RR8"/>
    <s v="NHS ENGLAND NORTH EAST AND YORKSHIRE "/>
    <x v="149"/>
    <n v="17341"/>
    <n v="765"/>
    <n v="11634"/>
    <n v="31"/>
    <n v="0"/>
    <n v="32"/>
    <n v="6911"/>
    <n v="0"/>
    <n v="109"/>
    <n v="12"/>
    <n v="0"/>
    <n v="0"/>
    <n v="1527"/>
    <n v="324"/>
    <n v="3595"/>
    <n v="0"/>
    <n v="0"/>
    <n v="1242"/>
    <n v="29740"/>
    <n v="7020"/>
    <n v="4837"/>
  </r>
  <r>
    <s v="Monthly-AE-July-2024-revised.csv"/>
    <x v="7"/>
    <s v="RTF"/>
    <s v="NHS ENGLAND NORTH EAST AND YORKSHIRE "/>
    <x v="152"/>
    <n v="9996"/>
    <n v="0"/>
    <n v="12776"/>
    <n v="0"/>
    <n v="0"/>
    <n v="0"/>
    <n v="2777"/>
    <n v="0"/>
    <n v="12"/>
    <n v="0"/>
    <n v="0"/>
    <n v="0"/>
    <n v="52"/>
    <n v="0"/>
    <n v="3962"/>
    <n v="0"/>
    <n v="39"/>
    <n v="420"/>
    <n v="22772"/>
    <n v="2789"/>
    <n v="4421"/>
  </r>
  <r>
    <s v="Monthly-AE-July-2024-revised.csv"/>
    <x v="7"/>
    <s v="RTG"/>
    <s v="NHS ENGLAND MIDLANDS "/>
    <x v="88"/>
    <n v="21344"/>
    <n v="0"/>
    <n v="10061"/>
    <n v="408"/>
    <n v="0"/>
    <n v="31"/>
    <n v="9283"/>
    <n v="0"/>
    <n v="1"/>
    <n v="168"/>
    <n v="0"/>
    <n v="0"/>
    <n v="888"/>
    <n v="993"/>
    <n v="4145"/>
    <n v="0"/>
    <n v="1"/>
    <n v="2616"/>
    <n v="31405"/>
    <n v="9284"/>
    <n v="6762"/>
  </r>
  <r>
    <s v="Monthly-AE-July-2024-revised.csv"/>
    <x v="7"/>
    <s v="RTH"/>
    <s v="NHS ENGLAND SOUTH EAST "/>
    <x v="196"/>
    <n v="11911"/>
    <n v="1955"/>
    <n v="2104"/>
    <n v="1488"/>
    <n v="0"/>
    <n v="112"/>
    <n v="3391"/>
    <n v="0"/>
    <n v="1"/>
    <n v="348"/>
    <n v="0"/>
    <n v="0"/>
    <n v="587"/>
    <n v="0"/>
    <n v="4416"/>
    <n v="154"/>
    <n v="14"/>
    <n v="4703"/>
    <n v="15970"/>
    <n v="3392"/>
    <n v="9287"/>
  </r>
  <r>
    <s v="Monthly-AE-July-2024-revised.csv"/>
    <x v="7"/>
    <s v="RWD"/>
    <s v="NHS ENGLAND MIDLANDS "/>
    <x v="156"/>
    <n v="10123"/>
    <n v="0"/>
    <n v="10310"/>
    <n v="0"/>
    <n v="0"/>
    <n v="0"/>
    <n v="6944"/>
    <n v="0"/>
    <n v="1063"/>
    <n v="0"/>
    <n v="0"/>
    <n v="0"/>
    <n v="1011"/>
    <n v="993"/>
    <n v="4191"/>
    <n v="0"/>
    <n v="0"/>
    <n v="1289"/>
    <n v="20433"/>
    <n v="8007"/>
    <n v="5480"/>
  </r>
  <r>
    <s v="Monthly-AE-July-2024-revised.csv"/>
    <x v="7"/>
    <s v="RWE"/>
    <s v="NHS ENGLAND MIDLANDS "/>
    <x v="117"/>
    <n v="21025"/>
    <n v="2004"/>
    <n v="0"/>
    <n v="0"/>
    <n v="0"/>
    <n v="0"/>
    <n v="8652"/>
    <n v="104"/>
    <n v="0"/>
    <n v="0"/>
    <n v="0"/>
    <n v="0"/>
    <n v="1656"/>
    <n v="895"/>
    <n v="6068"/>
    <n v="3"/>
    <n v="0"/>
    <n v="3438"/>
    <n v="23029"/>
    <n v="8756"/>
    <n v="9509"/>
  </r>
  <r>
    <s v="Monthly-AE-July-2024-revised.csv"/>
    <x v="7"/>
    <s v="RWF"/>
    <s v="NHS ENGLAND SOUTH EAST "/>
    <x v="118"/>
    <n v="18284"/>
    <n v="0"/>
    <n v="2293"/>
    <n v="719"/>
    <n v="0"/>
    <n v="169"/>
    <n v="3577"/>
    <n v="0"/>
    <n v="36"/>
    <n v="90"/>
    <n v="0"/>
    <n v="0"/>
    <n v="1088"/>
    <n v="35"/>
    <n v="5094"/>
    <n v="0"/>
    <n v="0"/>
    <n v="916"/>
    <n v="20577"/>
    <n v="3613"/>
    <n v="6010"/>
  </r>
  <r>
    <s v="Monthly-AE-July-2024-revised.csv"/>
    <x v="7"/>
    <s v="RWH"/>
    <s v="NHS ENGLAND EAST OF ENGLAND "/>
    <x v="157"/>
    <n v="9438"/>
    <n v="0"/>
    <n v="7188"/>
    <n v="0"/>
    <n v="0"/>
    <n v="0"/>
    <n v="4975"/>
    <n v="0"/>
    <n v="57"/>
    <n v="0"/>
    <n v="0"/>
    <n v="0"/>
    <n v="165"/>
    <n v="10"/>
    <n v="3255"/>
    <n v="0"/>
    <n v="102"/>
    <n v="301"/>
    <n v="16626"/>
    <n v="5032"/>
    <n v="3658"/>
  </r>
  <r>
    <s v="Monthly-AE-July-2024-revised.csv"/>
    <x v="7"/>
    <s v="RWJ"/>
    <s v="NHS ENGLAND NORTH WEST "/>
    <x v="158"/>
    <n v="8420"/>
    <n v="0"/>
    <n v="1103"/>
    <n v="145"/>
    <n v="0"/>
    <n v="31"/>
    <n v="3579"/>
    <n v="0"/>
    <n v="40"/>
    <n v="63"/>
    <n v="0"/>
    <n v="2"/>
    <n v="828"/>
    <n v="260"/>
    <n v="2675"/>
    <n v="0"/>
    <n v="78"/>
    <n v="730"/>
    <n v="9523"/>
    <n v="3619"/>
    <n v="3483"/>
  </r>
  <r>
    <s v="Monthly-AE-July-2024-revised.csv"/>
    <x v="7"/>
    <s v="RBL"/>
    <s v="NHS ENGLAND NORTH WEST "/>
    <x v="183"/>
    <n v="7920"/>
    <n v="0"/>
    <n v="2631"/>
    <n v="15"/>
    <n v="0"/>
    <n v="153"/>
    <n v="4540"/>
    <n v="0"/>
    <n v="4"/>
    <n v="8"/>
    <n v="0"/>
    <n v="0"/>
    <n v="611"/>
    <n v="648"/>
    <n v="2067"/>
    <n v="0"/>
    <n v="0"/>
    <n v="1824"/>
    <n v="10551"/>
    <n v="4544"/>
    <n v="3891"/>
  </r>
  <r>
    <s v="Monthly-AE-July-2024-revised.csv"/>
    <x v="7"/>
    <s v="RBN"/>
    <s v="NHS ENGLAND NORTH WEST "/>
    <x v="174"/>
    <n v="17086"/>
    <n v="0"/>
    <n v="7411"/>
    <n v="434"/>
    <n v="0"/>
    <n v="0"/>
    <n v="6076"/>
    <n v="0"/>
    <n v="213"/>
    <n v="74"/>
    <n v="0"/>
    <n v="0"/>
    <n v="660"/>
    <n v="385"/>
    <n v="7272"/>
    <n v="0"/>
    <n v="0"/>
    <n v="623"/>
    <n v="24497"/>
    <n v="6289"/>
    <n v="7895"/>
  </r>
  <r>
    <s v="Monthly-AE-July-2024-revised.csv"/>
    <x v="7"/>
    <s v="RHM"/>
    <s v="NHS ENGLAND SOUTH EAST "/>
    <x v="134"/>
    <n v="11913"/>
    <n v="1320"/>
    <n v="0"/>
    <n v="138"/>
    <n v="0"/>
    <n v="0"/>
    <n v="3503"/>
    <n v="98"/>
    <n v="0"/>
    <n v="42"/>
    <n v="0"/>
    <n v="0"/>
    <n v="198"/>
    <n v="7"/>
    <n v="3782"/>
    <n v="5"/>
    <n v="0"/>
    <n v="1569"/>
    <n v="13233"/>
    <n v="3601"/>
    <n v="5356"/>
  </r>
  <r>
    <s v="Monthly-AE-July-2024-revised.csv"/>
    <x v="7"/>
    <s v="RHU"/>
    <s v="NHS ENGLAND SOUTH EAST "/>
    <x v="194"/>
    <n v="10175"/>
    <n v="800"/>
    <n v="3179"/>
    <n v="1276"/>
    <n v="0"/>
    <n v="738"/>
    <n v="4790"/>
    <n v="8"/>
    <n v="31"/>
    <n v="648"/>
    <n v="0"/>
    <n v="11"/>
    <n v="1544"/>
    <n v="36"/>
    <n v="3554"/>
    <n v="0"/>
    <n v="0"/>
    <n v="2488"/>
    <n v="14154"/>
    <n v="4829"/>
    <n v="6042"/>
  </r>
  <r>
    <s v="Monthly-AE-July-2024-revised.csv"/>
    <x v="7"/>
    <s v="RJ2"/>
    <s v="NHS ENGLAND LONDON"/>
    <x v="169"/>
    <n v="14381"/>
    <n v="0"/>
    <n v="10887"/>
    <n v="0"/>
    <n v="0"/>
    <n v="0"/>
    <n v="6683"/>
    <n v="0"/>
    <n v="1293"/>
    <n v="0"/>
    <n v="0"/>
    <n v="0"/>
    <n v="1024"/>
    <n v="522"/>
    <n v="4045"/>
    <n v="0"/>
    <n v="0"/>
    <n v="1456"/>
    <n v="25268"/>
    <n v="7976"/>
    <n v="5501"/>
  </r>
  <r>
    <s v="Monthly-AE-July-2024-revised.csv"/>
    <x v="7"/>
    <s v="RK5"/>
    <s v="NHS ENGLAND MIDLANDS "/>
    <x v="109"/>
    <n v="11291"/>
    <n v="0"/>
    <n v="5697"/>
    <n v="315"/>
    <n v="0"/>
    <n v="133"/>
    <n v="4559"/>
    <n v="0"/>
    <n v="224"/>
    <n v="152"/>
    <n v="0"/>
    <n v="3"/>
    <n v="639"/>
    <n v="148"/>
    <n v="3769"/>
    <n v="0"/>
    <n v="0"/>
    <n v="277"/>
    <n v="16988"/>
    <n v="4783"/>
    <n v="4046"/>
  </r>
  <r>
    <s v="Monthly-AE-July-2024-revised.csv"/>
    <x v="7"/>
    <s v="RM1"/>
    <s v="NHS ENGLAND EAST OF ENGLAND "/>
    <x v="142"/>
    <n v="12293"/>
    <n v="0"/>
    <n v="8747"/>
    <n v="2"/>
    <n v="0"/>
    <n v="0"/>
    <n v="3569"/>
    <n v="0"/>
    <n v="7"/>
    <n v="0"/>
    <n v="0"/>
    <n v="0"/>
    <n v="763"/>
    <n v="118"/>
    <n v="2599"/>
    <n v="0"/>
    <n v="0"/>
    <n v="1603"/>
    <n v="21040"/>
    <n v="3576"/>
    <n v="4202"/>
  </r>
  <r>
    <s v="Monthly-AE-July-2024-revised.csv"/>
    <x v="7"/>
    <s v="RN5"/>
    <s v="NHS ENGLAND SOUTH EAST "/>
    <x v="110"/>
    <n v="12578"/>
    <n v="149"/>
    <n v="625"/>
    <n v="0"/>
    <n v="0"/>
    <n v="92"/>
    <n v="4915"/>
    <n v="0"/>
    <n v="0"/>
    <n v="0"/>
    <n v="0"/>
    <n v="0"/>
    <n v="460"/>
    <n v="17"/>
    <n v="4311"/>
    <n v="14"/>
    <n v="29"/>
    <n v="1220"/>
    <n v="13352"/>
    <n v="4915"/>
    <n v="5574"/>
  </r>
  <r>
    <s v="Monthly-AE-July-2024-revised.csv"/>
    <x v="7"/>
    <s v="RVR"/>
    <s v="NHS ENGLAND LONDON"/>
    <x v="154"/>
    <n v="11361"/>
    <n v="338"/>
    <n v="1519"/>
    <n v="332"/>
    <n v="0"/>
    <n v="14"/>
    <n v="3150"/>
    <n v="0"/>
    <n v="89"/>
    <n v="49"/>
    <n v="0"/>
    <n v="1"/>
    <n v="340"/>
    <n v="640"/>
    <n v="1929"/>
    <n v="4"/>
    <n v="0"/>
    <n v="146"/>
    <n v="13218"/>
    <n v="3239"/>
    <n v="2079"/>
  </r>
  <r>
    <s v="Monthly-AE-July-2024-revised.csv"/>
    <x v="7"/>
    <s v="RWX"/>
    <s v="NHS ENGLAND SOUTH EAST "/>
    <x v="173"/>
    <n v="0"/>
    <n v="0"/>
    <n v="1626"/>
    <n v="0"/>
    <n v="0"/>
    <n v="0"/>
    <n v="0"/>
    <n v="0"/>
    <n v="20"/>
    <n v="0"/>
    <n v="0"/>
    <n v="0"/>
    <n v="0"/>
    <n v="0"/>
    <n v="0"/>
    <n v="0"/>
    <n v="45"/>
    <n v="0"/>
    <n v="1626"/>
    <n v="20"/>
    <n v="45"/>
  </r>
  <r>
    <s v="Monthly-AE-July-2024-revised.csv"/>
    <x v="7"/>
    <s v="RYJ"/>
    <s v="NHS ENGLAND LONDON"/>
    <x v="163"/>
    <n v="11938"/>
    <n v="3868"/>
    <n v="7689"/>
    <n v="0"/>
    <n v="0"/>
    <n v="429"/>
    <n v="4784"/>
    <n v="33"/>
    <n v="464"/>
    <n v="0"/>
    <n v="0"/>
    <n v="0"/>
    <n v="580"/>
    <n v="130"/>
    <n v="4198"/>
    <n v="0"/>
    <n v="0"/>
    <n v="1135"/>
    <n v="23495"/>
    <n v="5281"/>
    <n v="5333"/>
  </r>
  <r>
    <s v="Monthly-AE-July-2024-revised.csv"/>
    <x v="7"/>
    <s v="RPA"/>
    <s v="NHS ENGLAND SOUTH EAST "/>
    <x v="146"/>
    <n v="9054"/>
    <n v="0"/>
    <n v="6977"/>
    <n v="415"/>
    <n v="0"/>
    <n v="1092"/>
    <n v="2902"/>
    <n v="0"/>
    <n v="753"/>
    <n v="83"/>
    <n v="0"/>
    <n v="0"/>
    <n v="405"/>
    <n v="661"/>
    <n v="1808"/>
    <n v="0"/>
    <n v="0"/>
    <n v="589"/>
    <n v="16031"/>
    <n v="3655"/>
    <n v="2397"/>
  </r>
  <r>
    <s v="Monthly-AE-July-2024-revised.csv"/>
    <x v="7"/>
    <s v="AD913"/>
    <s v="NHS ENGLAND LONDON"/>
    <x v="3"/>
    <n v="0"/>
    <n v="0"/>
    <n v="3777"/>
    <n v="0"/>
    <n v="0"/>
    <n v="207"/>
    <n v="0"/>
    <n v="0"/>
    <n v="36"/>
    <n v="0"/>
    <n v="0"/>
    <n v="0"/>
    <n v="0"/>
    <n v="0"/>
    <n v="0"/>
    <n v="0"/>
    <n v="0"/>
    <n v="0"/>
    <n v="3777"/>
    <n v="36"/>
    <n v="0"/>
  </r>
  <r>
    <s v="Monthly-AE-July-2024-revised.csv"/>
    <x v="7"/>
    <s v="RJL"/>
    <s v="NHS ENGLAND NORTH EAST AND YORKSHIRE "/>
    <x v="188"/>
    <n v="9141"/>
    <n v="0"/>
    <n v="6548"/>
    <n v="0"/>
    <n v="0"/>
    <n v="446"/>
    <n v="4715"/>
    <n v="0"/>
    <n v="47"/>
    <n v="0"/>
    <n v="0"/>
    <n v="1"/>
    <n v="667"/>
    <n v="953"/>
    <n v="4960"/>
    <n v="0"/>
    <n v="0"/>
    <n v="398"/>
    <n v="15689"/>
    <n v="4762"/>
    <n v="5358"/>
  </r>
  <r>
    <s v="Monthly-AE-July-2024-revised.csv"/>
    <x v="3"/>
    <s v="Total"/>
    <s v="TOTAL"/>
    <x v="199"/>
    <n v="1399224"/>
    <n v="50788"/>
    <n v="801318"/>
    <n v="26345"/>
    <n v="711"/>
    <n v="46446"/>
    <n v="543499"/>
    <n v="1799"/>
    <n v="22927"/>
    <n v="7401"/>
    <n v="25"/>
    <n v="510"/>
    <n v="92524"/>
    <n v="36806"/>
    <n v="405655"/>
    <n v="1479"/>
    <n v="4648"/>
    <n v="140686"/>
    <n v="2251330"/>
    <n v="568225"/>
    <n v="552468"/>
  </r>
  <r>
    <s v="Monthly-AE-June-2024.csv"/>
    <x v="8"/>
    <s v="AJN"/>
    <s v="NHS ENGLAND NORTH EAST AND YORKSHIRE "/>
    <x v="94"/>
    <n v="0"/>
    <n v="0"/>
    <n v="365"/>
    <n v="0"/>
    <n v="0"/>
    <n v="0"/>
    <n v="0"/>
    <n v="0"/>
    <n v="0"/>
    <n v="0"/>
    <n v="0"/>
    <n v="0"/>
    <n v="0"/>
    <n v="0"/>
    <n v="0"/>
    <n v="0"/>
    <n v="0"/>
    <n v="0"/>
    <n v="365"/>
    <n v="0"/>
    <n v="0"/>
  </r>
  <r>
    <s v="Monthly-AE-June-2024.csv"/>
    <x v="8"/>
    <s v="C82038"/>
    <s v="NHS ENGLAND MIDLANDS "/>
    <x v="31"/>
    <n v="0"/>
    <n v="0"/>
    <n v="323"/>
    <n v="0"/>
    <n v="0"/>
    <n v="0"/>
    <n v="0"/>
    <n v="0"/>
    <n v="0"/>
    <n v="0"/>
    <n v="0"/>
    <n v="0"/>
    <n v="0"/>
    <n v="0"/>
    <n v="0"/>
    <n v="0"/>
    <n v="0"/>
    <n v="0"/>
    <n v="323"/>
    <n v="0"/>
    <n v="0"/>
  </r>
  <r>
    <s v="Monthly-AE-June-2024.csv"/>
    <x v="8"/>
    <s v="L83087"/>
    <s v="NHS ENGLAND SOUTH WEST "/>
    <x v="5"/>
    <n v="0"/>
    <n v="0"/>
    <n v="117"/>
    <n v="0"/>
    <n v="0"/>
    <n v="0"/>
    <n v="0"/>
    <n v="0"/>
    <n v="0"/>
    <n v="0"/>
    <n v="0"/>
    <n v="0"/>
    <n v="0"/>
    <n v="0"/>
    <n v="0"/>
    <n v="0"/>
    <n v="0"/>
    <n v="0"/>
    <n v="117"/>
    <n v="0"/>
    <n v="0"/>
  </r>
  <r>
    <s v="Monthly-AE-June-2024.csv"/>
    <x v="8"/>
    <s v="NQT5F"/>
    <s v="NHS ENGLAND NORTH WEST "/>
    <x v="20"/>
    <n v="0"/>
    <n v="0"/>
    <n v="1793"/>
    <n v="0"/>
    <n v="0"/>
    <n v="0"/>
    <n v="0"/>
    <n v="0"/>
    <n v="14"/>
    <n v="0"/>
    <n v="0"/>
    <n v="0"/>
    <n v="0"/>
    <n v="0"/>
    <n v="0"/>
    <n v="0"/>
    <n v="0"/>
    <n v="0"/>
    <n v="1793"/>
    <n v="14"/>
    <n v="0"/>
  </r>
  <r>
    <s v="Monthly-AE-June-2024.csv"/>
    <x v="8"/>
    <s v="NQT5H"/>
    <s v="NHS ENGLAND SOUTH WEST "/>
    <x v="21"/>
    <n v="0"/>
    <n v="0"/>
    <n v="1007"/>
    <n v="0"/>
    <n v="0"/>
    <n v="0"/>
    <n v="0"/>
    <n v="0"/>
    <n v="5"/>
    <n v="0"/>
    <n v="0"/>
    <n v="0"/>
    <n v="0"/>
    <n v="0"/>
    <n v="0"/>
    <n v="0"/>
    <n v="0"/>
    <n v="0"/>
    <n v="1007"/>
    <n v="5"/>
    <n v="0"/>
  </r>
  <r>
    <s v="Monthly-AE-June-2024.csv"/>
    <x v="8"/>
    <s v="NTV0B"/>
    <s v="NHS ENGLAND SOUTH EAST "/>
    <x v="23"/>
    <n v="0"/>
    <n v="0"/>
    <n v="2397"/>
    <n v="0"/>
    <n v="0"/>
    <n v="0"/>
    <n v="0"/>
    <n v="0"/>
    <n v="42"/>
    <n v="0"/>
    <n v="0"/>
    <n v="0"/>
    <n v="0"/>
    <n v="0"/>
    <n v="0"/>
    <n v="0"/>
    <n v="0"/>
    <n v="0"/>
    <n v="2397"/>
    <n v="42"/>
    <n v="0"/>
  </r>
  <r>
    <s v="Monthly-AE-June-2024.csv"/>
    <x v="8"/>
    <s v="NTV0W"/>
    <s v="NHS ENGLAND SOUTH EAST "/>
    <x v="24"/>
    <n v="0"/>
    <n v="0"/>
    <n v="2346"/>
    <n v="0"/>
    <n v="0"/>
    <n v="0"/>
    <n v="0"/>
    <n v="0"/>
    <n v="130"/>
    <n v="0"/>
    <n v="0"/>
    <n v="0"/>
    <n v="0"/>
    <n v="0"/>
    <n v="0"/>
    <n v="0"/>
    <n v="0"/>
    <n v="0"/>
    <n v="2346"/>
    <n v="130"/>
    <n v="0"/>
  </r>
  <r>
    <s v="Monthly-AE-June-2024.csv"/>
    <x v="8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0"/>
    <n v="0"/>
    <n v="38"/>
  </r>
  <r>
    <s v="Monthly-AE-June-2024.csv"/>
    <x v="8"/>
    <s v="RK9"/>
    <s v="NHS ENGLAND SOUTH WEST "/>
    <x v="139"/>
    <n v="9105"/>
    <n v="140"/>
    <n v="5370"/>
    <n v="0"/>
    <n v="0"/>
    <n v="0"/>
    <n v="5050"/>
    <n v="0"/>
    <n v="205"/>
    <n v="0"/>
    <n v="0"/>
    <n v="0"/>
    <n v="661"/>
    <n v="487"/>
    <n v="2737"/>
    <n v="0"/>
    <n v="0"/>
    <n v="1161"/>
    <n v="14615"/>
    <n v="5255"/>
    <n v="3898"/>
  </r>
  <r>
    <s v="Monthly-AE-June-2024.csv"/>
    <x v="8"/>
    <s v="RW1"/>
    <s v="NHS ENGLAND SOUTH EAST "/>
    <x v="46"/>
    <n v="0"/>
    <n v="0"/>
    <n v="2968"/>
    <n v="0"/>
    <n v="0"/>
    <n v="0"/>
    <n v="0"/>
    <n v="0"/>
    <n v="38"/>
    <n v="0"/>
    <n v="0"/>
    <n v="0"/>
    <n v="0"/>
    <n v="0"/>
    <n v="0"/>
    <n v="0"/>
    <n v="2"/>
    <n v="130"/>
    <n v="2968"/>
    <n v="38"/>
    <n v="132"/>
  </r>
  <r>
    <s v="Monthly-AE-June-2024.csv"/>
    <x v="8"/>
    <s v="RWY"/>
    <s v="NHS ENGLAND NORTH EAST AND YORKSHIRE "/>
    <x v="10"/>
    <n v="15680"/>
    <n v="0"/>
    <n v="0"/>
    <n v="0"/>
    <n v="0"/>
    <n v="0"/>
    <n v="5159"/>
    <n v="0"/>
    <n v="0"/>
    <n v="0"/>
    <n v="0"/>
    <n v="0"/>
    <n v="1085"/>
    <n v="1"/>
    <n v="2879"/>
    <n v="0"/>
    <n v="0"/>
    <n v="283"/>
    <n v="15680"/>
    <n v="5159"/>
    <n v="3162"/>
  </r>
  <r>
    <s v="Monthly-AE-June-2024.csv"/>
    <x v="8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June-2024.csv"/>
    <x v="8"/>
    <s v="Y02615"/>
    <s v="NHS ENGLAND MIDLANDS "/>
    <x v="16"/>
    <n v="0"/>
    <n v="0"/>
    <n v="6500"/>
    <n v="0"/>
    <n v="0"/>
    <n v="0"/>
    <n v="0"/>
    <n v="0"/>
    <n v="0"/>
    <n v="0"/>
    <n v="0"/>
    <n v="0"/>
    <n v="0"/>
    <n v="0"/>
    <n v="0"/>
    <n v="0"/>
    <n v="0"/>
    <n v="0"/>
    <n v="6500"/>
    <n v="0"/>
    <n v="0"/>
  </r>
  <r>
    <s v="Monthly-AE-June-2024.csv"/>
    <x v="8"/>
    <s v="Y02676"/>
    <s v="NHS ENGLAND SOUTH EAST "/>
    <x v="37"/>
    <n v="0"/>
    <n v="0"/>
    <n v="1745"/>
    <n v="0"/>
    <n v="0"/>
    <n v="0"/>
    <n v="0"/>
    <n v="0"/>
    <n v="0"/>
    <n v="0"/>
    <n v="0"/>
    <n v="0"/>
    <n v="0"/>
    <n v="0"/>
    <n v="0"/>
    <n v="0"/>
    <n v="0"/>
    <n v="0"/>
    <n v="1745"/>
    <n v="0"/>
    <n v="0"/>
  </r>
  <r>
    <s v="Monthly-AE-June-2024.csv"/>
    <x v="8"/>
    <s v="Y07709"/>
    <s v="NHS ENGLAND SOUTH EAST "/>
    <x v="38"/>
    <n v="0"/>
    <n v="0"/>
    <n v="2150"/>
    <n v="0"/>
    <n v="0"/>
    <n v="0"/>
    <n v="0"/>
    <n v="0"/>
    <n v="0"/>
    <n v="0"/>
    <n v="0"/>
    <n v="0"/>
    <n v="0"/>
    <n v="0"/>
    <n v="0"/>
    <n v="0"/>
    <n v="0"/>
    <n v="0"/>
    <n v="2150"/>
    <n v="0"/>
    <n v="0"/>
  </r>
  <r>
    <s v="Monthly-AE-June-2024.csv"/>
    <x v="8"/>
    <s v="AAH"/>
    <s v="NHS ENGLAND SOUTH WEST "/>
    <x v="0"/>
    <n v="0"/>
    <n v="0"/>
    <n v="574"/>
    <n v="0"/>
    <n v="0"/>
    <n v="0"/>
    <n v="0"/>
    <n v="0"/>
    <n v="0"/>
    <n v="0"/>
    <n v="0"/>
    <n v="0"/>
    <n v="0"/>
    <n v="0"/>
    <n v="0"/>
    <n v="0"/>
    <n v="0"/>
    <n v="0"/>
    <n v="574"/>
    <n v="0"/>
    <n v="0"/>
  </r>
  <r>
    <s v="Monthly-AE-June-2024.csv"/>
    <x v="8"/>
    <s v="AQN04"/>
    <s v="NHS ENGLAND SOUTH EAST "/>
    <x v="4"/>
    <n v="0"/>
    <n v="0"/>
    <n v="2997"/>
    <n v="0"/>
    <n v="0"/>
    <n v="9"/>
    <n v="0"/>
    <n v="0"/>
    <n v="29"/>
    <n v="0"/>
    <n v="0"/>
    <n v="0"/>
    <n v="0"/>
    <n v="0"/>
    <n v="0"/>
    <n v="0"/>
    <n v="0"/>
    <n v="0"/>
    <n v="2997"/>
    <n v="29"/>
    <n v="0"/>
  </r>
  <r>
    <s v="Monthly-AE-June-2024.csv"/>
    <x v="8"/>
    <s v="NL7"/>
    <s v="NHS ENGLAND MIDLANDS "/>
    <x v="95"/>
    <n v="0"/>
    <n v="0"/>
    <n v="3791"/>
    <n v="0"/>
    <n v="0"/>
    <n v="0"/>
    <n v="0"/>
    <n v="0"/>
    <n v="0"/>
    <n v="0"/>
    <n v="0"/>
    <n v="0"/>
    <n v="0"/>
    <n v="0"/>
    <n v="0"/>
    <n v="0"/>
    <n v="0"/>
    <n v="0"/>
    <n v="3791"/>
    <n v="0"/>
    <n v="0"/>
  </r>
  <r>
    <s v="Monthly-AE-June-2024.csv"/>
    <x v="8"/>
    <s v="NQTE4"/>
    <s v="NHS ENGLAND MIDLANDS "/>
    <x v="6"/>
    <n v="0"/>
    <n v="0"/>
    <n v="3303"/>
    <n v="0"/>
    <n v="0"/>
    <n v="0"/>
    <n v="0"/>
    <n v="0"/>
    <n v="0"/>
    <n v="0"/>
    <n v="0"/>
    <n v="0"/>
    <n v="0"/>
    <n v="0"/>
    <n v="0"/>
    <n v="0"/>
    <n v="0"/>
    <n v="0"/>
    <n v="3303"/>
    <n v="0"/>
    <n v="0"/>
  </r>
  <r>
    <s v="Monthly-AE-June-2024.csv"/>
    <x v="8"/>
    <s v="RA9"/>
    <s v="NHS ENGLAND SOUTH WEST "/>
    <x v="7"/>
    <n v="6512"/>
    <n v="0"/>
    <n v="3501"/>
    <n v="391"/>
    <n v="0"/>
    <n v="156"/>
    <n v="2938"/>
    <n v="0"/>
    <n v="14"/>
    <n v="159"/>
    <n v="0"/>
    <n v="0"/>
    <n v="361"/>
    <n v="76"/>
    <n v="2037"/>
    <n v="0"/>
    <n v="0"/>
    <n v="1054"/>
    <n v="10013"/>
    <n v="2952"/>
    <n v="3091"/>
  </r>
  <r>
    <s v="Monthly-AE-June-2024.csv"/>
    <x v="8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</r>
  <r>
    <s v="Monthly-AE-June-2024.csv"/>
    <x v="8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10"/>
    <n v="61"/>
    <n v="0"/>
    <n v="0"/>
    <n v="71"/>
  </r>
  <r>
    <s v="Monthly-AE-June-2024.csv"/>
    <x v="8"/>
    <s v="RNU"/>
    <s v="NHS ENGLAND SOUTH EAST "/>
    <x v="112"/>
    <n v="0"/>
    <n v="0"/>
    <n v="4266"/>
    <n v="0"/>
    <n v="0"/>
    <n v="0"/>
    <n v="0"/>
    <n v="0"/>
    <n v="463"/>
    <n v="0"/>
    <n v="0"/>
    <n v="0"/>
    <n v="0"/>
    <n v="0"/>
    <n v="0"/>
    <n v="0"/>
    <n v="0"/>
    <n v="0"/>
    <n v="4266"/>
    <n v="463"/>
    <n v="0"/>
  </r>
  <r>
    <s v="Monthly-AE-June-2024.csv"/>
    <x v="8"/>
    <s v="RPC"/>
    <s v="NHS ENGLAND SOUTH EAST "/>
    <x v="27"/>
    <n v="0"/>
    <n v="0"/>
    <n v="1480"/>
    <n v="0"/>
    <n v="0"/>
    <n v="0"/>
    <n v="0"/>
    <n v="0"/>
    <n v="18"/>
    <n v="0"/>
    <n v="0"/>
    <n v="0"/>
    <n v="0"/>
    <n v="0"/>
    <n v="0"/>
    <n v="0"/>
    <n v="7"/>
    <n v="607"/>
    <n v="1480"/>
    <n v="18"/>
    <n v="614"/>
  </r>
  <r>
    <s v="Monthly-AE-June-2024.csv"/>
    <x v="8"/>
    <s v="RTP"/>
    <s v="NHS ENGLAND SOUTH EAST "/>
    <x v="66"/>
    <n v="10487"/>
    <n v="0"/>
    <n v="0"/>
    <n v="0"/>
    <n v="0"/>
    <n v="0"/>
    <n v="3114"/>
    <n v="0"/>
    <n v="0"/>
    <n v="0"/>
    <n v="0"/>
    <n v="0"/>
    <n v="640"/>
    <n v="445"/>
    <n v="3275"/>
    <n v="0"/>
    <n v="0"/>
    <n v="877"/>
    <n v="10487"/>
    <n v="3114"/>
    <n v="4152"/>
  </r>
  <r>
    <s v="Monthly-AE-June-2024.csv"/>
    <x v="8"/>
    <s v="RXQ"/>
    <s v="NHS ENGLAND SOUTH EAST "/>
    <x v="11"/>
    <n v="10035"/>
    <n v="1168"/>
    <n v="3671"/>
    <n v="0"/>
    <n v="0"/>
    <n v="0"/>
    <n v="3629"/>
    <n v="0"/>
    <n v="165"/>
    <n v="0"/>
    <n v="0"/>
    <n v="0"/>
    <n v="303"/>
    <n v="231"/>
    <n v="3859"/>
    <n v="833"/>
    <n v="0"/>
    <n v="1659"/>
    <n v="14874"/>
    <n v="3794"/>
    <n v="6351"/>
  </r>
  <r>
    <s v="Monthly-AE-June-2024.csv"/>
    <x v="8"/>
    <s v="RY7"/>
    <s v="NHS ENGLAND NORTH WEST "/>
    <x v="12"/>
    <n v="0"/>
    <n v="0"/>
    <n v="4533"/>
    <n v="0"/>
    <n v="0"/>
    <n v="0"/>
    <n v="0"/>
    <n v="0"/>
    <n v="124"/>
    <n v="0"/>
    <n v="0"/>
    <n v="0"/>
    <n v="0"/>
    <n v="0"/>
    <n v="0"/>
    <n v="0"/>
    <n v="0"/>
    <n v="0"/>
    <n v="4533"/>
    <n v="124"/>
    <n v="0"/>
  </r>
  <r>
    <s v="Monthly-AE-June-2024.csv"/>
    <x v="8"/>
    <s v="Y02147"/>
    <s v="NHS ENGLAND LONDON"/>
    <x v="29"/>
    <n v="0"/>
    <n v="0"/>
    <n v="7619"/>
    <n v="0"/>
    <n v="0"/>
    <n v="599"/>
    <n v="0"/>
    <n v="0"/>
    <n v="209"/>
    <n v="0"/>
    <n v="0"/>
    <n v="7"/>
    <n v="0"/>
    <n v="0"/>
    <n v="0"/>
    <n v="0"/>
    <n v="0"/>
    <n v="0"/>
    <n v="7619"/>
    <n v="209"/>
    <n v="0"/>
  </r>
  <r>
    <s v="Monthly-AE-June-2024.csv"/>
    <x v="8"/>
    <s v="8J094"/>
    <s v="NHS ENGLAND MIDLANDS "/>
    <x v="2"/>
    <n v="0"/>
    <n v="0"/>
    <n v="0"/>
    <n v="0"/>
    <n v="0"/>
    <n v="2062"/>
    <n v="0"/>
    <n v="0"/>
    <n v="0"/>
    <n v="0"/>
    <n v="0"/>
    <n v="0"/>
    <n v="0"/>
    <n v="0"/>
    <n v="0"/>
    <n v="0"/>
    <n v="0"/>
    <n v="0"/>
    <n v="0"/>
    <n v="0"/>
    <n v="0"/>
  </r>
  <r>
    <s v="Monthly-AE-June-2024.csv"/>
    <x v="8"/>
    <s v="ARN03"/>
    <s v="NHS ENGLAND NORTH EAST AND YORKSHIRE "/>
    <x v="164"/>
    <n v="0"/>
    <n v="0"/>
    <n v="2220"/>
    <n v="0"/>
    <n v="0"/>
    <n v="263"/>
    <n v="0"/>
    <n v="0"/>
    <n v="0"/>
    <n v="0"/>
    <n v="0"/>
    <n v="0"/>
    <n v="0"/>
    <n v="0"/>
    <n v="0"/>
    <n v="0"/>
    <n v="0"/>
    <n v="0"/>
    <n v="2220"/>
    <n v="0"/>
    <n v="0"/>
  </r>
  <r>
    <s v="Monthly-AE-June-2024.csv"/>
    <x v="8"/>
    <s v="DT301"/>
    <s v="NHS ENGLAND EAST OF ENGLAND "/>
    <x v="19"/>
    <n v="0"/>
    <n v="0"/>
    <n v="2222"/>
    <n v="0"/>
    <n v="0"/>
    <n v="0"/>
    <n v="0"/>
    <n v="0"/>
    <n v="195"/>
    <n v="0"/>
    <n v="0"/>
    <n v="0"/>
    <n v="0"/>
    <n v="0"/>
    <n v="0"/>
    <n v="0"/>
    <n v="0"/>
    <n v="0"/>
    <n v="2222"/>
    <n v="195"/>
    <n v="0"/>
  </r>
  <r>
    <s v="Monthly-AE-June-2024.csv"/>
    <x v="8"/>
    <s v="G0Q0L"/>
    <s v="NHS ENGLAND LONDON"/>
    <x v="32"/>
    <n v="0"/>
    <n v="0"/>
    <n v="2918"/>
    <n v="0"/>
    <n v="0"/>
    <n v="0"/>
    <n v="0"/>
    <n v="0"/>
    <n v="28"/>
    <n v="0"/>
    <n v="0"/>
    <n v="0"/>
    <n v="0"/>
    <n v="0"/>
    <n v="0"/>
    <n v="0"/>
    <n v="0"/>
    <n v="0"/>
    <n v="2918"/>
    <n v="28"/>
    <n v="0"/>
  </r>
  <r>
    <s v="Monthly-AE-June-2024.csv"/>
    <x v="8"/>
    <s v="K6K0R"/>
    <s v="NHS ENGLAND LONDON"/>
    <x v="33"/>
    <n v="0"/>
    <n v="0"/>
    <n v="2927"/>
    <n v="0"/>
    <n v="0"/>
    <n v="0"/>
    <n v="0"/>
    <n v="0"/>
    <n v="44"/>
    <n v="0"/>
    <n v="0"/>
    <n v="0"/>
    <n v="0"/>
    <n v="0"/>
    <n v="0"/>
    <n v="0"/>
    <n v="0"/>
    <n v="0"/>
    <n v="2927"/>
    <n v="44"/>
    <n v="0"/>
  </r>
  <r>
    <s v="Monthly-AE-June-2024.csv"/>
    <x v="8"/>
    <s v="NQT51"/>
    <s v="NHS ENGLAND SOUTH EAST "/>
    <x v="39"/>
    <n v="0"/>
    <n v="0"/>
    <n v="991"/>
    <n v="0"/>
    <n v="0"/>
    <n v="0"/>
    <n v="0"/>
    <n v="0"/>
    <n v="0"/>
    <n v="0"/>
    <n v="0"/>
    <n v="0"/>
    <n v="0"/>
    <n v="0"/>
    <n v="0"/>
    <n v="0"/>
    <n v="0"/>
    <n v="0"/>
    <n v="991"/>
    <n v="0"/>
    <n v="0"/>
  </r>
  <r>
    <s v="Monthly-AE-June-2024.csv"/>
    <x v="8"/>
    <s v="RFF"/>
    <s v="NHS ENGLAND NORTH EAST AND YORKSHIRE "/>
    <x v="26"/>
    <n v="8780"/>
    <n v="0"/>
    <n v="0"/>
    <n v="397"/>
    <n v="0"/>
    <n v="0"/>
    <n v="2458"/>
    <n v="0"/>
    <n v="0"/>
    <n v="0"/>
    <n v="0"/>
    <n v="0"/>
    <n v="357"/>
    <n v="0"/>
    <n v="2880"/>
    <n v="0"/>
    <n v="0"/>
    <n v="484"/>
    <n v="8780"/>
    <n v="2458"/>
    <n v="3364"/>
  </r>
  <r>
    <s v="Monthly-AE-June-2024.csv"/>
    <x v="8"/>
    <s v="RGP"/>
    <s v="NHS ENGLAND EAST OF ENGLAND "/>
    <x v="61"/>
    <n v="7323"/>
    <n v="0"/>
    <n v="1255"/>
    <n v="92"/>
    <n v="0"/>
    <n v="0"/>
    <n v="2945"/>
    <n v="0"/>
    <n v="0"/>
    <n v="35"/>
    <n v="0"/>
    <n v="0"/>
    <n v="561"/>
    <n v="226"/>
    <n v="1619"/>
    <n v="0"/>
    <n v="0"/>
    <n v="397"/>
    <n v="8578"/>
    <n v="2945"/>
    <n v="2016"/>
  </r>
  <r>
    <s v="Monthly-AE-June-2024.csv"/>
    <x v="8"/>
    <s v="RR7"/>
    <s v="NHS ENGLAND NORTH EAST AND YORKSHIRE "/>
    <x v="113"/>
    <n v="5684"/>
    <n v="0"/>
    <n v="3834"/>
    <n v="75"/>
    <n v="0"/>
    <n v="1"/>
    <n v="2224"/>
    <n v="0"/>
    <n v="47"/>
    <n v="5"/>
    <n v="0"/>
    <n v="0"/>
    <n v="752"/>
    <n v="0"/>
    <n v="1611"/>
    <n v="0"/>
    <n v="0"/>
    <n v="46"/>
    <n v="9518"/>
    <n v="2271"/>
    <n v="1657"/>
  </r>
  <r>
    <s v="Monthly-AE-June-2024.csv"/>
    <x v="8"/>
    <s v="Y03007"/>
    <s v="NHS ENGLAND MIDLANDS "/>
    <x v="17"/>
    <n v="0"/>
    <n v="0"/>
    <n v="0"/>
    <n v="0"/>
    <n v="0"/>
    <n v="2097"/>
    <n v="0"/>
    <n v="0"/>
    <n v="0"/>
    <n v="0"/>
    <n v="0"/>
    <n v="0"/>
    <n v="0"/>
    <n v="0"/>
    <n v="0"/>
    <n v="0"/>
    <n v="0"/>
    <n v="0"/>
    <n v="0"/>
    <n v="0"/>
    <n v="0"/>
  </r>
  <r>
    <s v="Monthly-AE-June-2024.csv"/>
    <x v="8"/>
    <s v="Y03218"/>
    <s v="NHS ENGLAND LONDON"/>
    <x v="18"/>
    <n v="0"/>
    <n v="0"/>
    <n v="747"/>
    <n v="0"/>
    <n v="0"/>
    <n v="0"/>
    <n v="0"/>
    <n v="0"/>
    <n v="0"/>
    <n v="0"/>
    <n v="0"/>
    <n v="0"/>
    <n v="0"/>
    <n v="0"/>
    <n v="0"/>
    <n v="0"/>
    <n v="0"/>
    <n v="0"/>
    <n v="747"/>
    <n v="0"/>
    <n v="0"/>
  </r>
  <r>
    <s v="Monthly-AE-June-2024.csv"/>
    <x v="8"/>
    <s v="C83023"/>
    <s v="NHS ENGLAND MIDLANDS "/>
    <x v="190"/>
    <n v="0"/>
    <n v="0"/>
    <n v="491"/>
    <n v="0"/>
    <n v="0"/>
    <n v="0"/>
    <n v="0"/>
    <n v="0"/>
    <n v="0"/>
    <n v="0"/>
    <n v="0"/>
    <n v="0"/>
    <n v="0"/>
    <n v="0"/>
    <n v="0"/>
    <n v="0"/>
    <n v="0"/>
    <n v="4"/>
    <n v="491"/>
    <n v="0"/>
    <n v="4"/>
  </r>
  <r>
    <s v="Monthly-AE-June-2024.csv"/>
    <x v="8"/>
    <s v="NTP11"/>
    <s v="NHS ENGLAND SOUTH EAST "/>
    <x v="34"/>
    <n v="0"/>
    <n v="0"/>
    <n v="5196"/>
    <n v="0"/>
    <n v="0"/>
    <n v="0"/>
    <n v="0"/>
    <n v="0"/>
    <n v="278"/>
    <n v="0"/>
    <n v="0"/>
    <n v="0"/>
    <n v="0"/>
    <n v="0"/>
    <n v="0"/>
    <n v="0"/>
    <n v="0"/>
    <n v="0"/>
    <n v="5196"/>
    <n v="278"/>
    <n v="0"/>
  </r>
  <r>
    <s v="Monthly-AE-June-2024.csv"/>
    <x v="8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0"/>
    <n v="0"/>
    <n v="180"/>
  </r>
  <r>
    <s v="Monthly-AE-June-2024.csv"/>
    <x v="8"/>
    <s v="RQX"/>
    <s v="NHS ENGLAND LONDON"/>
    <x v="36"/>
    <n v="11192"/>
    <n v="0"/>
    <n v="0"/>
    <n v="14"/>
    <n v="0"/>
    <n v="0"/>
    <n v="2007"/>
    <n v="0"/>
    <n v="0"/>
    <n v="0"/>
    <n v="0"/>
    <n v="0"/>
    <n v="151"/>
    <n v="20"/>
    <n v="1734"/>
    <n v="0"/>
    <n v="0"/>
    <n v="315"/>
    <n v="11192"/>
    <n v="2007"/>
    <n v="2049"/>
  </r>
  <r>
    <s v="Monthly-AE-June-2024.csv"/>
    <x v="8"/>
    <s v="RW4"/>
    <s v="NHS ENGLAND NORTH WEST "/>
    <x v="42"/>
    <n v="0"/>
    <n v="0"/>
    <n v="10278"/>
    <n v="0"/>
    <n v="0"/>
    <n v="0"/>
    <n v="0"/>
    <n v="0"/>
    <n v="477"/>
    <n v="0"/>
    <n v="0"/>
    <n v="0"/>
    <n v="0"/>
    <n v="0"/>
    <n v="0"/>
    <n v="0"/>
    <n v="0"/>
    <n v="60"/>
    <n v="10278"/>
    <n v="477"/>
    <n v="60"/>
  </r>
  <r>
    <s v="Monthly-AE-June-2024.csv"/>
    <x v="8"/>
    <s v="RXK"/>
    <s v="NHS ENGLAND MIDLANDS "/>
    <x v="119"/>
    <n v="14968"/>
    <n v="1238"/>
    <n v="8923"/>
    <n v="938"/>
    <n v="0"/>
    <n v="0"/>
    <n v="7256"/>
    <n v="149"/>
    <n v="157"/>
    <n v="208"/>
    <n v="0"/>
    <n v="0"/>
    <n v="1523"/>
    <n v="719"/>
    <n v="2677"/>
    <n v="0"/>
    <n v="0"/>
    <n v="417"/>
    <n v="25129"/>
    <n v="7562"/>
    <n v="3094"/>
  </r>
  <r>
    <s v="Monthly-AE-June-2024.csv"/>
    <x v="8"/>
    <s v="RYF"/>
    <s v="NHS ENGLAND SOUTH WEST "/>
    <x v="74"/>
    <n v="0"/>
    <n v="0"/>
    <n v="1737"/>
    <n v="0"/>
    <n v="0"/>
    <n v="6"/>
    <n v="0"/>
    <n v="0"/>
    <n v="155"/>
    <n v="0"/>
    <n v="0"/>
    <n v="0"/>
    <n v="0"/>
    <n v="0"/>
    <n v="0"/>
    <n v="0"/>
    <n v="0"/>
    <n v="0"/>
    <n v="1737"/>
    <n v="155"/>
    <n v="0"/>
  </r>
  <r>
    <s v="Monthly-AE-June-2024.csv"/>
    <x v="8"/>
    <s v="AD913"/>
    <s v="NHS ENGLAND LONDON"/>
    <x v="3"/>
    <n v="0"/>
    <n v="0"/>
    <n v="3751"/>
    <n v="0"/>
    <n v="0"/>
    <n v="232"/>
    <n v="0"/>
    <n v="0"/>
    <n v="28"/>
    <n v="0"/>
    <n v="0"/>
    <n v="0"/>
    <n v="0"/>
    <n v="0"/>
    <n v="0"/>
    <n v="0"/>
    <n v="0"/>
    <n v="0"/>
    <n v="3751"/>
    <n v="28"/>
    <n v="0"/>
  </r>
  <r>
    <s v="Monthly-AE-June-2024.csv"/>
    <x v="8"/>
    <s v="NDJ"/>
    <s v="NHS ENGLAND SOUTH EAST "/>
    <x v="51"/>
    <n v="0"/>
    <n v="0"/>
    <n v="2514"/>
    <n v="0"/>
    <n v="0"/>
    <n v="0"/>
    <n v="0"/>
    <n v="0"/>
    <n v="0"/>
    <n v="0"/>
    <n v="0"/>
    <n v="0"/>
    <n v="0"/>
    <n v="0"/>
    <n v="0"/>
    <n v="0"/>
    <n v="0"/>
    <n v="0"/>
    <n v="2514"/>
    <n v="0"/>
    <n v="0"/>
  </r>
  <r>
    <s v="Monthly-AE-June-2024.csv"/>
    <x v="8"/>
    <s v="RA2"/>
    <s v="NHS ENGLAND SOUTH EAST "/>
    <x v="97"/>
    <n v="6655"/>
    <n v="0"/>
    <n v="1472"/>
    <n v="643"/>
    <n v="0"/>
    <n v="13"/>
    <n v="1706"/>
    <n v="0"/>
    <n v="0"/>
    <n v="140"/>
    <n v="0"/>
    <n v="0"/>
    <n v="231"/>
    <n v="4"/>
    <n v="2484"/>
    <n v="0"/>
    <n v="0"/>
    <n v="1026"/>
    <n v="8127"/>
    <n v="1706"/>
    <n v="3510"/>
  </r>
  <r>
    <s v="Monthly-AE-June-2024.csv"/>
    <x v="8"/>
    <s v="RBT"/>
    <s v="NHS ENGLAND NORTH WEST "/>
    <x v="130"/>
    <n v="7298"/>
    <n v="0"/>
    <n v="2896"/>
    <n v="89"/>
    <n v="0"/>
    <n v="60"/>
    <n v="4157"/>
    <n v="0"/>
    <n v="34"/>
    <n v="26"/>
    <n v="0"/>
    <n v="1"/>
    <n v="708"/>
    <n v="520"/>
    <n v="2234"/>
    <n v="0"/>
    <n v="0"/>
    <n v="1055"/>
    <n v="10194"/>
    <n v="4191"/>
    <n v="3289"/>
  </r>
  <r>
    <s v="Monthly-AE-June-2024.csv"/>
    <x v="8"/>
    <s v="RCF"/>
    <s v="NHS ENGLAND NORTH EAST AND YORKSHIRE "/>
    <x v="104"/>
    <n v="6052"/>
    <n v="225"/>
    <n v="0"/>
    <n v="507"/>
    <n v="0"/>
    <n v="0"/>
    <n v="2440"/>
    <n v="0"/>
    <n v="0"/>
    <n v="0"/>
    <n v="0"/>
    <n v="0"/>
    <n v="489"/>
    <n v="178"/>
    <n v="1496"/>
    <n v="0"/>
    <n v="0"/>
    <n v="515"/>
    <n v="6277"/>
    <n v="2440"/>
    <n v="2011"/>
  </r>
  <r>
    <s v="Monthly-AE-June-2024.csv"/>
    <x v="8"/>
    <s v="RHW"/>
    <s v="NHS ENGLAND SOUTH EAST "/>
    <x v="187"/>
    <n v="12057"/>
    <n v="2187"/>
    <n v="0"/>
    <n v="603"/>
    <n v="43"/>
    <n v="0"/>
    <n v="3863"/>
    <n v="16"/>
    <n v="0"/>
    <n v="154"/>
    <n v="0"/>
    <n v="0"/>
    <n v="383"/>
    <n v="0"/>
    <n v="2475"/>
    <n v="1"/>
    <n v="0"/>
    <n v="826"/>
    <n v="14244"/>
    <n v="3879"/>
    <n v="3302"/>
  </r>
  <r>
    <s v="Monthly-AE-June-2024.csv"/>
    <x v="8"/>
    <s v="RNQ"/>
    <s v="NHS ENGLAND MIDLANDS "/>
    <x v="64"/>
    <n v="9604"/>
    <n v="0"/>
    <n v="8717"/>
    <n v="443"/>
    <n v="0"/>
    <n v="0"/>
    <n v="3279"/>
    <n v="0"/>
    <n v="101"/>
    <n v="0"/>
    <n v="0"/>
    <n v="0"/>
    <n v="1342"/>
    <n v="0"/>
    <n v="2007"/>
    <n v="0"/>
    <n v="0"/>
    <n v="197"/>
    <n v="18321"/>
    <n v="3380"/>
    <n v="2204"/>
  </r>
  <r>
    <s v="Monthly-AE-June-2024.csv"/>
    <x v="8"/>
    <s v="RWP"/>
    <s v="NHS ENGLAND MIDLANDS "/>
    <x v="68"/>
    <n v="12929"/>
    <n v="0"/>
    <n v="6187"/>
    <n v="173"/>
    <n v="0"/>
    <n v="4"/>
    <n v="6285"/>
    <n v="0"/>
    <n v="16"/>
    <n v="78"/>
    <n v="0"/>
    <n v="0"/>
    <n v="815"/>
    <n v="307"/>
    <n v="3462"/>
    <n v="0"/>
    <n v="0"/>
    <n v="1174"/>
    <n v="19116"/>
    <n v="6301"/>
    <n v="4636"/>
  </r>
  <r>
    <s v="Monthly-AE-June-2024.csv"/>
    <x v="8"/>
    <s v="RY5"/>
    <s v="NHS ENGLAND MIDLANDS "/>
    <x v="121"/>
    <n v="0"/>
    <n v="0"/>
    <n v="8619"/>
    <n v="0"/>
    <n v="0"/>
    <n v="0"/>
    <n v="0"/>
    <n v="0"/>
    <n v="186"/>
    <n v="0"/>
    <n v="0"/>
    <n v="0"/>
    <n v="0"/>
    <n v="0"/>
    <n v="0"/>
    <n v="0"/>
    <n v="0"/>
    <n v="0"/>
    <n v="8619"/>
    <n v="186"/>
    <n v="0"/>
  </r>
  <r>
    <s v="Monthly-AE-June-2024.csv"/>
    <x v="8"/>
    <s v="Y02428"/>
    <s v="NHS ENGLAND EAST OF ENGLAND "/>
    <x v="49"/>
    <n v="0"/>
    <n v="0"/>
    <n v="2903"/>
    <n v="0"/>
    <n v="0"/>
    <n v="0"/>
    <n v="0"/>
    <n v="0"/>
    <n v="0"/>
    <n v="0"/>
    <n v="0"/>
    <n v="0"/>
    <n v="0"/>
    <n v="0"/>
    <n v="0"/>
    <n v="0"/>
    <n v="0"/>
    <n v="0"/>
    <n v="2903"/>
    <n v="0"/>
    <n v="0"/>
  </r>
  <r>
    <s v="Monthly-AE-June-2024.csv"/>
    <x v="8"/>
    <s v="NLX"/>
    <s v="NHS ENGLAND SOUTH WEST "/>
    <x v="195"/>
    <n v="0"/>
    <n v="0"/>
    <n v="8844"/>
    <n v="0"/>
    <n v="0"/>
    <n v="254"/>
    <n v="0"/>
    <n v="0"/>
    <n v="533"/>
    <n v="0"/>
    <n v="0"/>
    <n v="50"/>
    <n v="0"/>
    <n v="0"/>
    <n v="0"/>
    <n v="0"/>
    <n v="0"/>
    <n v="0"/>
    <n v="8844"/>
    <n v="533"/>
    <n v="0"/>
  </r>
  <r>
    <s v="Monthly-AE-June-2024.csv"/>
    <x v="8"/>
    <s v="NNJ"/>
    <s v="NHS ENGLAND MIDLANDS "/>
    <x v="43"/>
    <n v="0"/>
    <n v="0"/>
    <n v="2109"/>
    <n v="0"/>
    <n v="0"/>
    <n v="0"/>
    <n v="0"/>
    <n v="0"/>
    <n v="1"/>
    <n v="0"/>
    <n v="0"/>
    <n v="0"/>
    <n v="0"/>
    <n v="0"/>
    <n v="0"/>
    <n v="0"/>
    <n v="0"/>
    <n v="0"/>
    <n v="2109"/>
    <n v="1"/>
    <n v="0"/>
  </r>
  <r>
    <s v="Monthly-AE-June-2024.csv"/>
    <x v="8"/>
    <s v="NTPAD"/>
    <s v="NHS ENGLAND SOUTH EAST "/>
    <x v="22"/>
    <n v="0"/>
    <n v="0"/>
    <n v="5309"/>
    <n v="0"/>
    <n v="0"/>
    <n v="306"/>
    <n v="0"/>
    <n v="0"/>
    <n v="31"/>
    <n v="0"/>
    <n v="0"/>
    <n v="3"/>
    <n v="0"/>
    <n v="0"/>
    <n v="0"/>
    <n v="0"/>
    <n v="0"/>
    <n v="0"/>
    <n v="5309"/>
    <n v="31"/>
    <n v="0"/>
  </r>
  <r>
    <s v="Monthly-AE-June-2024.csv"/>
    <x v="8"/>
    <s v="R1F"/>
    <s v="NHS ENGLAND SOUTH EAST "/>
    <x v="127"/>
    <n v="4026"/>
    <n v="0"/>
    <n v="2004"/>
    <n v="20"/>
    <n v="0"/>
    <n v="15"/>
    <n v="1791"/>
    <n v="0"/>
    <n v="3"/>
    <n v="6"/>
    <n v="0"/>
    <n v="0"/>
    <n v="214"/>
    <n v="35"/>
    <n v="1105"/>
    <n v="0"/>
    <n v="0"/>
    <n v="251"/>
    <n v="6030"/>
    <n v="1794"/>
    <n v="1356"/>
  </r>
  <r>
    <s v="Monthly-AE-June-2024.csv"/>
    <x v="8"/>
    <s v="RAX"/>
    <s v="NHS ENGLAND LONDON"/>
    <x v="100"/>
    <n v="7002"/>
    <n v="0"/>
    <n v="8294"/>
    <n v="0"/>
    <n v="0"/>
    <n v="0"/>
    <n v="3269"/>
    <n v="0"/>
    <n v="316"/>
    <n v="0"/>
    <n v="0"/>
    <n v="0"/>
    <n v="265"/>
    <n v="290"/>
    <n v="2080"/>
    <n v="0"/>
    <n v="143"/>
    <n v="625"/>
    <n v="15296"/>
    <n v="3585"/>
    <n v="2848"/>
  </r>
  <r>
    <s v="Monthly-AE-June-2024.csv"/>
    <x v="8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779"/>
    <n v="0"/>
    <n v="0"/>
    <n v="779"/>
  </r>
  <r>
    <s v="Monthly-AE-June-2024.csv"/>
    <x v="8"/>
    <s v="RCX"/>
    <s v="NHS ENGLAND EAST OF ENGLAND "/>
    <x v="185"/>
    <n v="6764"/>
    <n v="0"/>
    <n v="1129"/>
    <n v="16"/>
    <n v="0"/>
    <n v="0"/>
    <n v="2228"/>
    <n v="0"/>
    <n v="0"/>
    <n v="1"/>
    <n v="0"/>
    <n v="0"/>
    <n v="342"/>
    <n v="155"/>
    <n v="2281"/>
    <n v="0"/>
    <n v="0"/>
    <n v="612"/>
    <n v="7893"/>
    <n v="2228"/>
    <n v="2893"/>
  </r>
  <r>
    <s v="Monthly-AE-June-2024.csv"/>
    <x v="8"/>
    <s v="REP"/>
    <s v="NHS ENGLAND NORTH WEST "/>
    <x v="83"/>
    <n v="0"/>
    <n v="1368"/>
    <n v="0"/>
    <n v="0"/>
    <n v="140"/>
    <n v="0"/>
    <n v="0"/>
    <n v="137"/>
    <n v="0"/>
    <n v="0"/>
    <n v="0"/>
    <n v="0"/>
    <n v="0"/>
    <n v="0"/>
    <n v="0"/>
    <n v="106"/>
    <n v="0"/>
    <n v="7"/>
    <n v="1368"/>
    <n v="137"/>
    <n v="113"/>
  </r>
  <r>
    <s v="Monthly-AE-June-2024.csv"/>
    <x v="8"/>
    <s v="RL4"/>
    <s v="NHS ENGLAND MIDLANDS "/>
    <x v="85"/>
    <n v="12890"/>
    <n v="0"/>
    <n v="7593"/>
    <n v="144"/>
    <n v="0"/>
    <n v="877"/>
    <n v="3915"/>
    <n v="0"/>
    <n v="133"/>
    <n v="28"/>
    <n v="0"/>
    <n v="0"/>
    <n v="1188"/>
    <n v="212"/>
    <n v="5864"/>
    <n v="0"/>
    <n v="0"/>
    <n v="864"/>
    <n v="20483"/>
    <n v="4048"/>
    <n v="6728"/>
  </r>
  <r>
    <s v="Monthly-AE-June-2024.csv"/>
    <x v="8"/>
    <s v="RLQ"/>
    <s v="NHS ENGLAND MIDLANDS "/>
    <x v="86"/>
    <n v="6051"/>
    <n v="1153"/>
    <n v="0"/>
    <n v="124"/>
    <n v="0"/>
    <n v="0"/>
    <n v="2435"/>
    <n v="0"/>
    <n v="0"/>
    <n v="25"/>
    <n v="0"/>
    <n v="0"/>
    <n v="422"/>
    <n v="293"/>
    <n v="2023"/>
    <n v="0"/>
    <n v="0"/>
    <n v="624"/>
    <n v="7204"/>
    <n v="2435"/>
    <n v="2647"/>
  </r>
  <r>
    <s v="Monthly-AE-June-2024.csv"/>
    <x v="8"/>
    <s v="RLT"/>
    <s v="NHS ENGLAND MIDLANDS "/>
    <x v="141"/>
    <n v="7038"/>
    <n v="0"/>
    <n v="1835"/>
    <n v="0"/>
    <n v="0"/>
    <n v="0"/>
    <n v="2089"/>
    <n v="0"/>
    <n v="33"/>
    <n v="0"/>
    <n v="0"/>
    <n v="0"/>
    <n v="607"/>
    <n v="51"/>
    <n v="1078"/>
    <n v="0"/>
    <n v="0"/>
    <n v="37"/>
    <n v="8873"/>
    <n v="2122"/>
    <n v="1115"/>
  </r>
  <r>
    <s v="Monthly-AE-June-2024.csv"/>
    <x v="8"/>
    <s v="RP6"/>
    <s v="NHS ENGLAND LONDON"/>
    <x v="65"/>
    <n v="0"/>
    <n v="5779"/>
    <n v="0"/>
    <n v="0"/>
    <n v="0"/>
    <n v="0"/>
    <n v="0"/>
    <n v="197"/>
    <n v="0"/>
    <n v="0"/>
    <n v="0"/>
    <n v="0"/>
    <n v="0"/>
    <n v="0"/>
    <n v="0"/>
    <n v="6"/>
    <n v="0"/>
    <n v="199"/>
    <n v="5779"/>
    <n v="197"/>
    <n v="205"/>
  </r>
  <r>
    <s v="Monthly-AE-June-2024.csv"/>
    <x v="8"/>
    <s v="RQW"/>
    <s v="NHS ENGLAND EAST OF ENGLAND "/>
    <x v="148"/>
    <n v="8277"/>
    <n v="0"/>
    <n v="1781"/>
    <n v="0"/>
    <n v="0"/>
    <n v="687"/>
    <n v="4145"/>
    <n v="0"/>
    <n v="0"/>
    <n v="0"/>
    <n v="0"/>
    <n v="0"/>
    <n v="412"/>
    <n v="124"/>
    <n v="2132"/>
    <n v="0"/>
    <n v="0"/>
    <n v="310"/>
    <n v="10058"/>
    <n v="4145"/>
    <n v="2442"/>
  </r>
  <r>
    <s v="Monthly-AE-June-2024.csv"/>
    <x v="8"/>
    <s v="RVW"/>
    <s v="NHS ENGLAND NORTH EAST AND YORKSHIRE "/>
    <x v="90"/>
    <n v="4588"/>
    <n v="0"/>
    <n v="11335"/>
    <n v="0"/>
    <n v="0"/>
    <n v="0"/>
    <n v="1561"/>
    <n v="0"/>
    <n v="38"/>
    <n v="0"/>
    <n v="0"/>
    <n v="0"/>
    <n v="54"/>
    <n v="0"/>
    <n v="1599"/>
    <n v="0"/>
    <n v="534"/>
    <n v="2096"/>
    <n v="15923"/>
    <n v="1599"/>
    <n v="4229"/>
  </r>
  <r>
    <s v="Monthly-AE-June-2024.csv"/>
    <x v="8"/>
    <s v="RWF"/>
    <s v="NHS ENGLAND SOUTH EAST "/>
    <x v="118"/>
    <n v="17973"/>
    <n v="0"/>
    <n v="2153"/>
    <n v="757"/>
    <n v="0"/>
    <n v="171"/>
    <n v="3312"/>
    <n v="0"/>
    <n v="51"/>
    <n v="87"/>
    <n v="0"/>
    <n v="4"/>
    <n v="914"/>
    <n v="29"/>
    <n v="4793"/>
    <n v="0"/>
    <n v="0"/>
    <n v="987"/>
    <n v="20126"/>
    <n v="3363"/>
    <n v="5780"/>
  </r>
  <r>
    <s v="Monthly-AE-June-2024.csv"/>
    <x v="8"/>
    <s v="RXC"/>
    <s v="NHS ENGLAND SOUTH EAST "/>
    <x v="70"/>
    <n v="10391"/>
    <n v="0"/>
    <n v="2483"/>
    <n v="0"/>
    <n v="0"/>
    <n v="1294"/>
    <n v="2950"/>
    <n v="0"/>
    <n v="14"/>
    <n v="0"/>
    <n v="0"/>
    <n v="0"/>
    <n v="286"/>
    <n v="11"/>
    <n v="3475"/>
    <n v="0"/>
    <n v="0"/>
    <n v="595"/>
    <n v="12874"/>
    <n v="2964"/>
    <n v="4070"/>
  </r>
  <r>
    <s v="Monthly-AE-June-2024.csv"/>
    <x v="8"/>
    <s v="RY8"/>
    <s v="NHS ENGLAND MIDLANDS "/>
    <x v="13"/>
    <n v="0"/>
    <n v="0"/>
    <n v="5816"/>
    <n v="0"/>
    <n v="0"/>
    <n v="1083"/>
    <n v="0"/>
    <n v="0"/>
    <n v="118"/>
    <n v="0"/>
    <n v="0"/>
    <n v="8"/>
    <n v="0"/>
    <n v="0"/>
    <n v="0"/>
    <n v="0"/>
    <n v="0"/>
    <n v="0"/>
    <n v="5816"/>
    <n v="118"/>
    <n v="0"/>
  </r>
  <r>
    <s v="Monthly-AE-June-2024.csv"/>
    <x v="8"/>
    <s v="RYR"/>
    <s v="NHS ENGLAND SOUTH EAST "/>
    <x v="122"/>
    <n v="21846"/>
    <n v="1529"/>
    <n v="5164"/>
    <n v="1298"/>
    <n v="0"/>
    <n v="1284"/>
    <n v="9494"/>
    <n v="50"/>
    <n v="640"/>
    <n v="461"/>
    <n v="0"/>
    <n v="25"/>
    <n v="1727"/>
    <n v="1011"/>
    <n v="7726"/>
    <n v="32"/>
    <n v="33"/>
    <n v="1456"/>
    <n v="28539"/>
    <n v="10184"/>
    <n v="9247"/>
  </r>
  <r>
    <s v="Monthly-AE-June-2024.csv"/>
    <x v="8"/>
    <s v="RYY"/>
    <s v="NHS ENGLAND SOUTH EAST "/>
    <x v="48"/>
    <n v="0"/>
    <n v="0"/>
    <n v="10400"/>
    <n v="0"/>
    <n v="0"/>
    <n v="0"/>
    <n v="0"/>
    <n v="0"/>
    <n v="34"/>
    <n v="0"/>
    <n v="0"/>
    <n v="0"/>
    <n v="0"/>
    <n v="0"/>
    <n v="0"/>
    <n v="0"/>
    <n v="0"/>
    <n v="0"/>
    <n v="10400"/>
    <n v="34"/>
    <n v="0"/>
  </r>
  <r>
    <s v="Monthly-AE-June-2024.csv"/>
    <x v="8"/>
    <s v="ACH01"/>
    <s v="NHS ENGLAND SOUTH EAST "/>
    <x v="50"/>
    <n v="0"/>
    <n v="0"/>
    <n v="4528"/>
    <n v="0"/>
    <n v="0"/>
    <n v="0"/>
    <n v="0"/>
    <n v="0"/>
    <n v="0"/>
    <n v="0"/>
    <n v="0"/>
    <n v="0"/>
    <n v="0"/>
    <n v="0"/>
    <n v="0"/>
    <n v="0"/>
    <n v="0"/>
    <n v="0"/>
    <n v="4528"/>
    <n v="0"/>
    <n v="0"/>
  </r>
  <r>
    <s v="Monthly-AE-June-2024.csv"/>
    <x v="8"/>
    <s v="NV693"/>
    <s v="NHS ENGLAND NORTH WEST "/>
    <x v="76"/>
    <n v="0"/>
    <n v="0"/>
    <n v="1214"/>
    <n v="0"/>
    <n v="0"/>
    <n v="0"/>
    <n v="0"/>
    <n v="0"/>
    <n v="1"/>
    <n v="0"/>
    <n v="0"/>
    <n v="0"/>
    <n v="0"/>
    <n v="0"/>
    <n v="0"/>
    <n v="0"/>
    <n v="0"/>
    <n v="0"/>
    <n v="1214"/>
    <n v="1"/>
    <n v="0"/>
  </r>
  <r>
    <s v="Monthly-AE-June-2024.csv"/>
    <x v="8"/>
    <s v="R0B"/>
    <s v="NHS ENGLAND NORTH EAST AND YORKSHIRE "/>
    <x v="44"/>
    <n v="11270"/>
    <n v="1352"/>
    <n v="6033"/>
    <n v="443"/>
    <n v="0"/>
    <n v="1419"/>
    <n v="4755"/>
    <n v="25"/>
    <n v="154"/>
    <n v="181"/>
    <n v="0"/>
    <n v="40"/>
    <n v="538"/>
    <n v="2"/>
    <n v="4313"/>
    <n v="18"/>
    <n v="0"/>
    <n v="1162"/>
    <n v="18655"/>
    <n v="4934"/>
    <n v="5493"/>
  </r>
  <r>
    <s v="Monthly-AE-June-2024.csv"/>
    <x v="8"/>
    <s v="RAS"/>
    <s v="NHS ENGLAND LONDON"/>
    <x v="182"/>
    <n v="5946"/>
    <n v="0"/>
    <n v="6579"/>
    <n v="0"/>
    <n v="0"/>
    <n v="0"/>
    <n v="3447"/>
    <n v="0"/>
    <n v="181"/>
    <n v="0"/>
    <n v="0"/>
    <n v="0"/>
    <n v="410"/>
    <n v="10"/>
    <n v="2770"/>
    <n v="0"/>
    <n v="0"/>
    <n v="163"/>
    <n v="12525"/>
    <n v="3628"/>
    <n v="2933"/>
  </r>
  <r>
    <s v="Monthly-AE-June-2024.csv"/>
    <x v="8"/>
    <s v="RCD"/>
    <s v="NHS ENGLAND NORTH EAST AND YORKSHIRE "/>
    <x v="184"/>
    <n v="5113"/>
    <n v="0"/>
    <n v="973"/>
    <n v="355"/>
    <n v="0"/>
    <n v="37"/>
    <n v="1665"/>
    <n v="0"/>
    <n v="0"/>
    <n v="89"/>
    <n v="0"/>
    <n v="0"/>
    <n v="313"/>
    <n v="31"/>
    <n v="1181"/>
    <n v="0"/>
    <n v="0"/>
    <n v="280"/>
    <n v="6086"/>
    <n v="1665"/>
    <n v="1461"/>
  </r>
  <r>
    <s v="Monthly-AE-June-2024.csv"/>
    <x v="8"/>
    <s v="RD8"/>
    <s v="NHS ENGLAND EAST OF ENGLAND "/>
    <x v="105"/>
    <n v="8360"/>
    <n v="0"/>
    <n v="5357"/>
    <n v="670"/>
    <n v="0"/>
    <n v="136"/>
    <n v="3726"/>
    <n v="0"/>
    <n v="209"/>
    <n v="292"/>
    <n v="0"/>
    <n v="0"/>
    <n v="662"/>
    <n v="0"/>
    <n v="2046"/>
    <n v="0"/>
    <n v="0"/>
    <n v="431"/>
    <n v="13717"/>
    <n v="3935"/>
    <n v="2477"/>
  </r>
  <r>
    <s v="Monthly-AE-June-2024.csv"/>
    <x v="8"/>
    <s v="REF"/>
    <s v="NHS ENGLAND SOUTH WEST "/>
    <x v="60"/>
    <n v="6521"/>
    <n v="0"/>
    <n v="12649"/>
    <n v="0"/>
    <n v="0"/>
    <n v="0"/>
    <n v="3778"/>
    <n v="0"/>
    <n v="882"/>
    <n v="0"/>
    <n v="0"/>
    <n v="0"/>
    <n v="529"/>
    <n v="523"/>
    <n v="2194"/>
    <n v="0"/>
    <n v="45"/>
    <n v="1247"/>
    <n v="19170"/>
    <n v="4660"/>
    <n v="3486"/>
  </r>
  <r>
    <s v="Monthly-AE-June-2024.csv"/>
    <x v="8"/>
    <s v="REM"/>
    <s v="NHS ENGLAND NORTH WEST "/>
    <x v="35"/>
    <n v="15168"/>
    <n v="1833"/>
    <n v="7559"/>
    <n v="393"/>
    <n v="0"/>
    <n v="0"/>
    <n v="6559"/>
    <n v="124"/>
    <n v="104"/>
    <n v="63"/>
    <n v="0"/>
    <n v="0"/>
    <n v="1890"/>
    <n v="942"/>
    <n v="4996"/>
    <n v="0"/>
    <n v="0"/>
    <n v="2379"/>
    <n v="24560"/>
    <n v="6787"/>
    <n v="7375"/>
  </r>
  <r>
    <s v="Monthly-AE-June-2024.csv"/>
    <x v="8"/>
    <s v="RH8"/>
    <s v="NHS ENGLAND SOUTH WEST "/>
    <x v="186"/>
    <n v="12641"/>
    <n v="0"/>
    <n v="4054"/>
    <n v="1223"/>
    <n v="0"/>
    <n v="53"/>
    <n v="4812"/>
    <n v="0"/>
    <n v="43"/>
    <n v="394"/>
    <n v="0"/>
    <n v="3"/>
    <n v="1042"/>
    <n v="78"/>
    <n v="4029"/>
    <n v="0"/>
    <n v="0"/>
    <n v="2220"/>
    <n v="16695"/>
    <n v="4855"/>
    <n v="6249"/>
  </r>
  <r>
    <s v="Monthly-AE-June-2024.csv"/>
    <x v="8"/>
    <s v="RJ7"/>
    <s v="NHS ENGLAND LONDON"/>
    <x v="137"/>
    <n v="8735"/>
    <n v="0"/>
    <n v="3349"/>
    <n v="866"/>
    <n v="0"/>
    <n v="0"/>
    <n v="2270"/>
    <n v="0"/>
    <n v="0"/>
    <n v="87"/>
    <n v="0"/>
    <n v="0"/>
    <n v="389"/>
    <n v="464"/>
    <n v="2539"/>
    <n v="0"/>
    <n v="0"/>
    <n v="737"/>
    <n v="12084"/>
    <n v="2270"/>
    <n v="3276"/>
  </r>
  <r>
    <s v="Monthly-AE-June-2024.csv"/>
    <x v="8"/>
    <s v="RJC"/>
    <s v="NHS ENGLAND MIDLANDS "/>
    <x v="138"/>
    <n v="8443"/>
    <n v="0"/>
    <n v="397"/>
    <n v="5"/>
    <n v="0"/>
    <n v="0"/>
    <n v="2539"/>
    <n v="0"/>
    <n v="0"/>
    <n v="0"/>
    <n v="0"/>
    <n v="0"/>
    <n v="394"/>
    <n v="9"/>
    <n v="2321"/>
    <n v="0"/>
    <n v="0"/>
    <n v="719"/>
    <n v="8840"/>
    <n v="2539"/>
    <n v="3040"/>
  </r>
  <r>
    <s v="Monthly-AE-June-2024.csv"/>
    <x v="8"/>
    <s v="RJN"/>
    <s v="NHS ENGLAND NORTH WEST "/>
    <x v="40"/>
    <n v="4360"/>
    <n v="0"/>
    <n v="0"/>
    <n v="71"/>
    <n v="0"/>
    <n v="29"/>
    <n v="2089"/>
    <n v="0"/>
    <n v="0"/>
    <n v="0"/>
    <n v="0"/>
    <n v="0"/>
    <n v="218"/>
    <n v="269"/>
    <n v="884"/>
    <n v="0"/>
    <n v="0"/>
    <n v="186"/>
    <n v="4360"/>
    <n v="2089"/>
    <n v="1070"/>
  </r>
  <r>
    <s v="Monthly-AE-June-2024.csv"/>
    <x v="8"/>
    <s v="RKB"/>
    <s v="NHS ENGLAND MIDLANDS "/>
    <x v="140"/>
    <n v="11658"/>
    <n v="1282"/>
    <n v="6828"/>
    <n v="15"/>
    <n v="0"/>
    <n v="43"/>
    <n v="6480"/>
    <n v="213"/>
    <n v="635"/>
    <n v="6"/>
    <n v="0"/>
    <n v="2"/>
    <n v="197"/>
    <n v="75"/>
    <n v="2193"/>
    <n v="87"/>
    <n v="58"/>
    <n v="902"/>
    <n v="19768"/>
    <n v="7328"/>
    <n v="3240"/>
  </r>
  <r>
    <s v="Monthly-AE-June-2024.csv"/>
    <x v="8"/>
    <s v="RNS"/>
    <s v="NHS ENGLAND MIDLANDS "/>
    <x v="41"/>
    <n v="10551"/>
    <n v="575"/>
    <n v="1980"/>
    <n v="1269"/>
    <n v="0"/>
    <n v="46"/>
    <n v="3527"/>
    <n v="3"/>
    <n v="24"/>
    <n v="349"/>
    <n v="0"/>
    <n v="0"/>
    <n v="447"/>
    <n v="737"/>
    <n v="1937"/>
    <n v="0"/>
    <n v="0"/>
    <n v="1287"/>
    <n v="13106"/>
    <n v="3554"/>
    <n v="3224"/>
  </r>
  <r>
    <s v="Monthly-AE-June-2024.csv"/>
    <x v="8"/>
    <s v="RRF"/>
    <s v="NHS ENGLAND NORTH WEST "/>
    <x v="150"/>
    <n v="6925"/>
    <n v="0"/>
    <n v="5397"/>
    <n v="0"/>
    <n v="0"/>
    <n v="0"/>
    <n v="3165"/>
    <n v="0"/>
    <n v="38"/>
    <n v="0"/>
    <n v="0"/>
    <n v="0"/>
    <n v="962"/>
    <n v="258"/>
    <n v="2280"/>
    <n v="0"/>
    <n v="0"/>
    <n v="759"/>
    <n v="12322"/>
    <n v="3203"/>
    <n v="3039"/>
  </r>
  <r>
    <s v="Monthly-AE-June-2024.csv"/>
    <x v="8"/>
    <s v="RRV"/>
    <s v="NHS ENGLAND LONDON"/>
    <x v="28"/>
    <n v="12631"/>
    <n v="0"/>
    <n v="0"/>
    <n v="492"/>
    <n v="0"/>
    <n v="0"/>
    <n v="3825"/>
    <n v="0"/>
    <n v="0"/>
    <n v="0"/>
    <n v="0"/>
    <n v="0"/>
    <n v="455"/>
    <n v="115"/>
    <n v="1439"/>
    <n v="0"/>
    <n v="0"/>
    <n v="298"/>
    <n v="12631"/>
    <n v="3825"/>
    <n v="1737"/>
  </r>
  <r>
    <s v="Monthly-AE-June-2024.csv"/>
    <x v="8"/>
    <s v="RTD"/>
    <s v="NHS ENGLAND NORTH EAST AND YORKSHIRE "/>
    <x v="180"/>
    <n v="11911"/>
    <n v="1453"/>
    <n v="5085"/>
    <n v="0"/>
    <n v="0"/>
    <n v="826"/>
    <n v="4989"/>
    <n v="48"/>
    <n v="0"/>
    <n v="0"/>
    <n v="0"/>
    <n v="0"/>
    <n v="465"/>
    <n v="37"/>
    <n v="3347"/>
    <n v="14"/>
    <n v="0"/>
    <n v="2715"/>
    <n v="18449"/>
    <n v="5037"/>
    <n v="6076"/>
  </r>
  <r>
    <s v="Monthly-AE-June-2024.csv"/>
    <x v="8"/>
    <s v="RWE"/>
    <s v="NHS ENGLAND MIDLANDS "/>
    <x v="117"/>
    <n v="22235"/>
    <n v="1959"/>
    <n v="0"/>
    <n v="0"/>
    <n v="0"/>
    <n v="0"/>
    <n v="9660"/>
    <n v="73"/>
    <n v="0"/>
    <n v="0"/>
    <n v="0"/>
    <n v="0"/>
    <n v="1609"/>
    <n v="647"/>
    <n v="6337"/>
    <n v="0"/>
    <n v="0"/>
    <n v="3222"/>
    <n v="24194"/>
    <n v="9733"/>
    <n v="9559"/>
  </r>
  <r>
    <s v="Monthly-AE-June-2024.csv"/>
    <x v="8"/>
    <s v="RXL"/>
    <s v="NHS ENGLAND NORTH WEST "/>
    <x v="72"/>
    <n v="8724"/>
    <n v="0"/>
    <n v="10098"/>
    <n v="262"/>
    <n v="0"/>
    <n v="256"/>
    <n v="3972"/>
    <n v="0"/>
    <n v="56"/>
    <n v="80"/>
    <n v="0"/>
    <n v="0"/>
    <n v="452"/>
    <n v="656"/>
    <n v="2452"/>
    <n v="0"/>
    <n v="0"/>
    <n v="1287"/>
    <n v="18822"/>
    <n v="4028"/>
    <n v="3739"/>
  </r>
  <r>
    <s v="Monthly-AE-June-2024.csv"/>
    <x v="8"/>
    <s v="RXR"/>
    <s v="NHS ENGLAND NORTH WEST "/>
    <x v="92"/>
    <n v="12826"/>
    <n v="0"/>
    <n v="10971"/>
    <n v="0"/>
    <n v="0"/>
    <n v="0"/>
    <n v="4246"/>
    <n v="0"/>
    <n v="444"/>
    <n v="0"/>
    <n v="0"/>
    <n v="0"/>
    <n v="521"/>
    <n v="1077"/>
    <n v="4077"/>
    <n v="0"/>
    <n v="79"/>
    <n v="1639"/>
    <n v="23797"/>
    <n v="4690"/>
    <n v="5795"/>
  </r>
  <r>
    <s v="Monthly-AE-June-2024.csv"/>
    <x v="8"/>
    <s v="RXW"/>
    <s v="NHS ENGLAND MIDLANDS "/>
    <x v="120"/>
    <n v="10501"/>
    <n v="0"/>
    <n v="2425"/>
    <n v="0"/>
    <n v="0"/>
    <n v="0"/>
    <n v="5966"/>
    <n v="0"/>
    <n v="243"/>
    <n v="0"/>
    <n v="0"/>
    <n v="0"/>
    <n v="439"/>
    <n v="647"/>
    <n v="2908"/>
    <n v="0"/>
    <n v="146"/>
    <n v="1960"/>
    <n v="12926"/>
    <n v="6209"/>
    <n v="5014"/>
  </r>
  <r>
    <s v="Monthly-AE-June-2024.csv"/>
    <x v="8"/>
    <s v="RY4"/>
    <s v="NHS ENGLAND EAST OF ENGLAND "/>
    <x v="93"/>
    <n v="0"/>
    <n v="0"/>
    <n v="1038"/>
    <n v="0"/>
    <n v="0"/>
    <n v="0"/>
    <n v="0"/>
    <n v="0"/>
    <n v="24"/>
    <n v="0"/>
    <n v="0"/>
    <n v="0"/>
    <n v="0"/>
    <n v="0"/>
    <n v="0"/>
    <n v="0"/>
    <n v="0"/>
    <n v="0"/>
    <n v="1038"/>
    <n v="24"/>
    <n v="0"/>
  </r>
  <r>
    <s v="Monthly-AE-June-2024.csv"/>
    <x v="8"/>
    <s v="AXG"/>
    <s v="NHS ENGLAND SOUTH WEST "/>
    <x v="30"/>
    <n v="0"/>
    <n v="0"/>
    <n v="2759"/>
    <n v="0"/>
    <n v="0"/>
    <n v="0"/>
    <n v="0"/>
    <n v="0"/>
    <n v="100"/>
    <n v="0"/>
    <n v="0"/>
    <n v="0"/>
    <n v="0"/>
    <n v="0"/>
    <n v="0"/>
    <n v="0"/>
    <n v="0"/>
    <n v="0"/>
    <n v="2759"/>
    <n v="100"/>
    <n v="0"/>
  </r>
  <r>
    <s v="Monthly-AE-June-2024.csv"/>
    <x v="8"/>
    <s v="C82009"/>
    <s v="NHS ENGLAND MIDLANDS "/>
    <x v="123"/>
    <n v="0"/>
    <n v="0"/>
    <n v="351"/>
    <n v="0"/>
    <n v="0"/>
    <n v="0"/>
    <n v="0"/>
    <n v="0"/>
    <n v="0"/>
    <n v="0"/>
    <n v="0"/>
    <n v="0"/>
    <n v="0"/>
    <n v="0"/>
    <n v="0"/>
    <n v="0"/>
    <n v="0"/>
    <n v="0"/>
    <n v="351"/>
    <n v="0"/>
    <n v="0"/>
  </r>
  <r>
    <s v="Monthly-AE-June-2024.csv"/>
    <x v="8"/>
    <s v="NNF09"/>
    <s v="NHS ENGLAND NORTH EAST AND YORKSHIRE "/>
    <x v="124"/>
    <n v="0"/>
    <n v="0"/>
    <n v="3630"/>
    <n v="0"/>
    <n v="0"/>
    <n v="0"/>
    <n v="0"/>
    <n v="0"/>
    <n v="596"/>
    <n v="0"/>
    <n v="0"/>
    <n v="0"/>
    <n v="0"/>
    <n v="0"/>
    <n v="0"/>
    <n v="0"/>
    <n v="0"/>
    <n v="0"/>
    <n v="3630"/>
    <n v="596"/>
    <n v="0"/>
  </r>
  <r>
    <s v="Monthly-AE-June-2024.csv"/>
    <x v="8"/>
    <s v="NNF94"/>
    <s v="NHS ENGLAND NORTH EAST AND YORKSHIRE "/>
    <x v="125"/>
    <n v="0"/>
    <n v="0"/>
    <n v="2879"/>
    <n v="0"/>
    <n v="0"/>
    <n v="0"/>
    <n v="0"/>
    <n v="0"/>
    <n v="450"/>
    <n v="0"/>
    <n v="0"/>
    <n v="0"/>
    <n v="0"/>
    <n v="0"/>
    <n v="0"/>
    <n v="0"/>
    <n v="0"/>
    <n v="0"/>
    <n v="2879"/>
    <n v="450"/>
    <n v="0"/>
  </r>
  <r>
    <s v="Monthly-AE-June-2024.csv"/>
    <x v="8"/>
    <s v="NNFA7"/>
    <s v="NHS ENGLAND NORTH EAST AND YORKSHIRE "/>
    <x v="126"/>
    <n v="0"/>
    <n v="0"/>
    <n v="1560"/>
    <n v="0"/>
    <n v="0"/>
    <n v="0"/>
    <n v="0"/>
    <n v="0"/>
    <n v="32"/>
    <n v="0"/>
    <n v="0"/>
    <n v="0"/>
    <n v="0"/>
    <n v="0"/>
    <n v="0"/>
    <n v="0"/>
    <n v="0"/>
    <n v="0"/>
    <n v="1560"/>
    <n v="32"/>
    <n v="0"/>
  </r>
  <r>
    <s v="Monthly-AE-June-2024.csv"/>
    <x v="8"/>
    <s v="NNJ07"/>
    <s v="NHS ENGLAND MIDLANDS "/>
    <x v="52"/>
    <n v="0"/>
    <n v="0"/>
    <n v="5953"/>
    <n v="0"/>
    <n v="0"/>
    <n v="539"/>
    <n v="0"/>
    <n v="0"/>
    <n v="17"/>
    <n v="0"/>
    <n v="0"/>
    <n v="4"/>
    <n v="0"/>
    <n v="0"/>
    <n v="0"/>
    <n v="0"/>
    <n v="0"/>
    <n v="0"/>
    <n v="5953"/>
    <n v="17"/>
    <n v="0"/>
  </r>
  <r>
    <s v="Monthly-AE-June-2024.csv"/>
    <x v="8"/>
    <s v="NNJ0H"/>
    <s v="NHS ENGLAND MIDLANDS "/>
    <x v="53"/>
    <n v="0"/>
    <n v="0"/>
    <n v="196"/>
    <n v="0"/>
    <n v="0"/>
    <n v="1968"/>
    <n v="0"/>
    <n v="0"/>
    <n v="1"/>
    <n v="0"/>
    <n v="0"/>
    <n v="0"/>
    <n v="0"/>
    <n v="0"/>
    <n v="0"/>
    <n v="0"/>
    <n v="0"/>
    <n v="0"/>
    <n v="196"/>
    <n v="1"/>
    <n v="0"/>
  </r>
  <r>
    <s v="Monthly-AE-June-2024.csv"/>
    <x v="8"/>
    <s v="NNJ12"/>
    <s v="NHS ENGLAND MIDLANDS "/>
    <x v="54"/>
    <n v="0"/>
    <n v="0"/>
    <n v="109"/>
    <n v="0"/>
    <n v="0"/>
    <n v="380"/>
    <n v="0"/>
    <n v="0"/>
    <n v="0"/>
    <n v="0"/>
    <n v="0"/>
    <n v="0"/>
    <n v="0"/>
    <n v="0"/>
    <n v="0"/>
    <n v="0"/>
    <n v="0"/>
    <n v="0"/>
    <n v="109"/>
    <n v="0"/>
    <n v="0"/>
  </r>
  <r>
    <s v="Monthly-AE-June-2024.csv"/>
    <x v="8"/>
    <s v="NNJ13"/>
    <s v="NHS ENGLAND MIDLANDS "/>
    <x v="55"/>
    <n v="0"/>
    <n v="0"/>
    <n v="74"/>
    <n v="0"/>
    <n v="0"/>
    <n v="365"/>
    <n v="0"/>
    <n v="0"/>
    <n v="0"/>
    <n v="0"/>
    <n v="0"/>
    <n v="0"/>
    <n v="0"/>
    <n v="0"/>
    <n v="0"/>
    <n v="0"/>
    <n v="0"/>
    <n v="0"/>
    <n v="74"/>
    <n v="0"/>
    <n v="0"/>
  </r>
  <r>
    <s v="Monthly-AE-June-2024.csv"/>
    <x v="8"/>
    <s v="NNJ14"/>
    <s v="NHS ENGLAND MIDLANDS "/>
    <x v="191"/>
    <n v="0"/>
    <n v="0"/>
    <n v="500"/>
    <n v="0"/>
    <n v="0"/>
    <n v="2143"/>
    <n v="0"/>
    <n v="0"/>
    <n v="1"/>
    <n v="0"/>
    <n v="0"/>
    <n v="0"/>
    <n v="0"/>
    <n v="0"/>
    <n v="0"/>
    <n v="0"/>
    <n v="0"/>
    <n v="0"/>
    <n v="500"/>
    <n v="1"/>
    <n v="0"/>
  </r>
  <r>
    <s v="Monthly-AE-June-2024.csv"/>
    <x v="8"/>
    <s v="NNJ15"/>
    <s v="NHS ENGLAND MIDLANDS "/>
    <x v="56"/>
    <n v="0"/>
    <n v="0"/>
    <n v="89"/>
    <n v="0"/>
    <n v="0"/>
    <n v="378"/>
    <n v="0"/>
    <n v="0"/>
    <n v="0"/>
    <n v="0"/>
    <n v="0"/>
    <n v="0"/>
    <n v="0"/>
    <n v="0"/>
    <n v="0"/>
    <n v="0"/>
    <n v="0"/>
    <n v="0"/>
    <n v="89"/>
    <n v="0"/>
    <n v="0"/>
  </r>
  <r>
    <s v="Monthly-AE-June-2024.csv"/>
    <x v="8"/>
    <s v="NR3"/>
    <s v="NHS ENGLAND MIDLANDS "/>
    <x v="57"/>
    <n v="0"/>
    <n v="0"/>
    <n v="5115"/>
    <n v="0"/>
    <n v="0"/>
    <n v="252"/>
    <n v="0"/>
    <n v="0"/>
    <n v="158"/>
    <n v="0"/>
    <n v="0"/>
    <n v="0"/>
    <n v="0"/>
    <n v="0"/>
    <n v="0"/>
    <n v="0"/>
    <n v="0"/>
    <n v="0"/>
    <n v="5115"/>
    <n v="158"/>
    <n v="0"/>
  </r>
  <r>
    <s v="Monthly-AE-June-2024.csv"/>
    <x v="8"/>
    <s v="R0A"/>
    <s v="NHS ENGLAND NORTH WEST "/>
    <x v="181"/>
    <n v="24223"/>
    <n v="3076"/>
    <n v="11452"/>
    <n v="3430"/>
    <n v="491"/>
    <n v="918"/>
    <n v="10837"/>
    <n v="74"/>
    <n v="630"/>
    <n v="1478"/>
    <n v="13"/>
    <n v="97"/>
    <n v="3996"/>
    <n v="364"/>
    <n v="5517"/>
    <n v="140"/>
    <n v="141"/>
    <n v="408"/>
    <n v="38751"/>
    <n v="11541"/>
    <n v="6206"/>
  </r>
  <r>
    <s v="Monthly-AE-June-2024.csv"/>
    <x v="8"/>
    <s v="RA7"/>
    <s v="NHS ENGLAND SOUTH WEST "/>
    <x v="78"/>
    <n v="15122"/>
    <n v="2174"/>
    <n v="0"/>
    <n v="0"/>
    <n v="0"/>
    <n v="0"/>
    <n v="5215"/>
    <n v="88"/>
    <n v="0"/>
    <n v="0"/>
    <n v="0"/>
    <n v="0"/>
    <n v="1156"/>
    <n v="230"/>
    <n v="5180"/>
    <n v="8"/>
    <n v="0"/>
    <n v="1337"/>
    <n v="17296"/>
    <n v="5303"/>
    <n v="6525"/>
  </r>
  <r>
    <s v="Monthly-AE-June-2024.csv"/>
    <x v="8"/>
    <s v="RAE"/>
    <s v="NHS ENGLAND NORTH EAST AND YORKSHIRE "/>
    <x v="79"/>
    <n v="9289"/>
    <n v="947"/>
    <n v="3306"/>
    <n v="0"/>
    <n v="0"/>
    <n v="0"/>
    <n v="2260"/>
    <n v="0"/>
    <n v="0"/>
    <n v="0"/>
    <n v="0"/>
    <n v="0"/>
    <n v="587"/>
    <n v="43"/>
    <n v="2539"/>
    <n v="0"/>
    <n v="57"/>
    <n v="1499"/>
    <n v="13542"/>
    <n v="2260"/>
    <n v="4095"/>
  </r>
  <r>
    <s v="Monthly-AE-June-2024.csv"/>
    <x v="8"/>
    <s v="RAJ"/>
    <s v="NHS ENGLAND EAST OF ENGLAND "/>
    <x v="98"/>
    <n v="29579"/>
    <n v="0"/>
    <n v="6128"/>
    <n v="392"/>
    <n v="0"/>
    <n v="103"/>
    <n v="9148"/>
    <n v="0"/>
    <n v="156"/>
    <n v="84"/>
    <n v="0"/>
    <n v="0"/>
    <n v="3321"/>
    <n v="41"/>
    <n v="8811"/>
    <n v="0"/>
    <n v="209"/>
    <n v="1175"/>
    <n v="35707"/>
    <n v="9304"/>
    <n v="10195"/>
  </r>
  <r>
    <s v="Monthly-AE-June-2024.csv"/>
    <x v="8"/>
    <s v="RBK"/>
    <s v="NHS ENGLAND MIDLANDS "/>
    <x v="102"/>
    <n v="8677"/>
    <n v="0"/>
    <n v="3899"/>
    <n v="439"/>
    <n v="0"/>
    <n v="147"/>
    <n v="2729"/>
    <n v="0"/>
    <n v="129"/>
    <n v="73"/>
    <n v="0"/>
    <n v="0"/>
    <n v="749"/>
    <n v="72"/>
    <n v="3614"/>
    <n v="0"/>
    <n v="0"/>
    <n v="715"/>
    <n v="12576"/>
    <n v="2858"/>
    <n v="4329"/>
  </r>
  <r>
    <s v="Monthly-AE-June-2024.csv"/>
    <x v="8"/>
    <s v="RC9"/>
    <s v="NHS ENGLAND EAST OF ENGLAND "/>
    <x v="131"/>
    <n v="16576"/>
    <n v="0"/>
    <n v="8001"/>
    <n v="0"/>
    <n v="0"/>
    <n v="975"/>
    <n v="6129"/>
    <n v="0"/>
    <n v="0"/>
    <n v="0"/>
    <n v="0"/>
    <n v="0"/>
    <n v="80"/>
    <n v="6"/>
    <n v="4767"/>
    <n v="0"/>
    <n v="0"/>
    <n v="2021"/>
    <n v="24577"/>
    <n v="6129"/>
    <n v="6788"/>
  </r>
  <r>
    <s v="Monthly-AE-June-2024.csv"/>
    <x v="8"/>
    <s v="RFR"/>
    <s v="NHS ENGLAND NORTH EAST AND YORKSHIRE "/>
    <x v="45"/>
    <n v="8704"/>
    <n v="0"/>
    <n v="0"/>
    <n v="0"/>
    <n v="0"/>
    <n v="0"/>
    <n v="2724"/>
    <n v="0"/>
    <n v="0"/>
    <n v="0"/>
    <n v="0"/>
    <n v="0"/>
    <n v="327"/>
    <n v="0"/>
    <n v="3156"/>
    <n v="0"/>
    <n v="0"/>
    <n v="525"/>
    <n v="8704"/>
    <n v="2724"/>
    <n v="3681"/>
  </r>
  <r>
    <s v="Monthly-AE-June-2024.csv"/>
    <x v="8"/>
    <s v="RGN"/>
    <s v="NHS ENGLAND EAST OF ENGLAND "/>
    <x v="106"/>
    <n v="13873"/>
    <n v="0"/>
    <n v="5048"/>
    <n v="215"/>
    <n v="0"/>
    <n v="570"/>
    <n v="5013"/>
    <n v="0"/>
    <n v="408"/>
    <n v="64"/>
    <n v="0"/>
    <n v="36"/>
    <n v="413"/>
    <n v="694"/>
    <n v="3373"/>
    <n v="0"/>
    <n v="95"/>
    <n v="1562"/>
    <n v="18921"/>
    <n v="5421"/>
    <n v="5030"/>
  </r>
  <r>
    <s v="Monthly-AE-June-2024.csv"/>
    <x v="8"/>
    <s v="RJZ"/>
    <s v="NHS ENGLAND LONDON"/>
    <x v="62"/>
    <n v="15505"/>
    <n v="0"/>
    <n v="8926"/>
    <n v="91"/>
    <n v="0"/>
    <n v="1201"/>
    <n v="6941"/>
    <n v="0"/>
    <n v="739"/>
    <n v="22"/>
    <n v="0"/>
    <n v="34"/>
    <n v="1296"/>
    <n v="793"/>
    <n v="2592"/>
    <n v="0"/>
    <n v="0"/>
    <n v="471"/>
    <n v="24431"/>
    <n v="7680"/>
    <n v="3063"/>
  </r>
  <r>
    <s v="Monthly-AE-June-2024.csv"/>
    <x v="8"/>
    <s v="RNA"/>
    <s v="NHS ENGLAND MIDLANDS "/>
    <x v="63"/>
    <n v="9071"/>
    <n v="0"/>
    <n v="4549"/>
    <n v="124"/>
    <n v="0"/>
    <n v="707"/>
    <n v="2461"/>
    <n v="0"/>
    <n v="185"/>
    <n v="10"/>
    <n v="0"/>
    <n v="0"/>
    <n v="1860"/>
    <n v="266"/>
    <n v="3264"/>
    <n v="0"/>
    <n v="0"/>
    <n v="1979"/>
    <n v="13620"/>
    <n v="2646"/>
    <n v="5243"/>
  </r>
  <r>
    <s v="Monthly-AE-June-2024.csv"/>
    <x v="8"/>
    <s v="RNN"/>
    <s v="NHS ENGLAND NORTH EAST AND YORKSHIRE "/>
    <x v="111"/>
    <n v="9054"/>
    <n v="0"/>
    <n v="2036"/>
    <n v="401"/>
    <n v="0"/>
    <n v="35"/>
    <n v="3789"/>
    <n v="0"/>
    <n v="37"/>
    <n v="93"/>
    <n v="0"/>
    <n v="0"/>
    <n v="727"/>
    <n v="407"/>
    <n v="2310"/>
    <n v="0"/>
    <n v="0"/>
    <n v="740"/>
    <n v="11090"/>
    <n v="3826"/>
    <n v="3050"/>
  </r>
  <r>
    <s v="Monthly-AE-June-2024.csv"/>
    <x v="8"/>
    <s v="RNZ"/>
    <s v="NHS ENGLAND SOUTH WEST "/>
    <x v="144"/>
    <n v="4628"/>
    <n v="319"/>
    <n v="1911"/>
    <n v="308"/>
    <n v="0"/>
    <n v="0"/>
    <n v="2116"/>
    <n v="0"/>
    <n v="0"/>
    <n v="140"/>
    <n v="0"/>
    <n v="0"/>
    <n v="464"/>
    <n v="0"/>
    <n v="1321"/>
    <n v="0"/>
    <n v="0"/>
    <n v="806"/>
    <n v="6858"/>
    <n v="2116"/>
    <n v="2127"/>
  </r>
  <r>
    <s v="Monthly-AE-June-2024.csv"/>
    <x v="8"/>
    <s v="RR8"/>
    <s v="NHS ENGLAND NORTH EAST AND YORKSHIRE "/>
    <x v="149"/>
    <n v="17347"/>
    <n v="684"/>
    <n v="11668"/>
    <n v="61"/>
    <n v="0"/>
    <n v="53"/>
    <n v="6991"/>
    <n v="0"/>
    <n v="146"/>
    <n v="9"/>
    <n v="0"/>
    <n v="0"/>
    <n v="1753"/>
    <n v="218"/>
    <n v="3631"/>
    <n v="0"/>
    <n v="0"/>
    <n v="1192"/>
    <n v="29699"/>
    <n v="7137"/>
    <n v="4823"/>
  </r>
  <r>
    <s v="Monthly-AE-June-2024.csv"/>
    <x v="8"/>
    <s v="RRK"/>
    <s v="NHS ENGLAND MIDLANDS "/>
    <x v="87"/>
    <n v="33686"/>
    <n v="305"/>
    <n v="1651"/>
    <n v="16"/>
    <n v="0"/>
    <n v="240"/>
    <n v="14020"/>
    <n v="0"/>
    <n v="44"/>
    <n v="6"/>
    <n v="0"/>
    <n v="2"/>
    <n v="2419"/>
    <n v="1775"/>
    <n v="10252"/>
    <n v="0"/>
    <n v="0"/>
    <n v="5916"/>
    <n v="35642"/>
    <n v="14064"/>
    <n v="16168"/>
  </r>
  <r>
    <s v="Monthly-AE-June-2024.csv"/>
    <x v="8"/>
    <s v="RTG"/>
    <s v="NHS ENGLAND MIDLANDS "/>
    <x v="88"/>
    <n v="21447"/>
    <n v="0"/>
    <n v="9589"/>
    <n v="416"/>
    <n v="0"/>
    <n v="33"/>
    <n v="9247"/>
    <n v="0"/>
    <n v="35"/>
    <n v="175"/>
    <n v="0"/>
    <n v="0"/>
    <n v="927"/>
    <n v="916"/>
    <n v="4147"/>
    <n v="0"/>
    <n v="0"/>
    <n v="2599"/>
    <n v="31036"/>
    <n v="9282"/>
    <n v="6746"/>
  </r>
  <r>
    <s v="Monthly-AE-June-2024.csv"/>
    <x v="8"/>
    <s v="RTQ"/>
    <s v="NHS ENGLAND SOUTH WEST "/>
    <x v="115"/>
    <n v="0"/>
    <n v="0"/>
    <n v="7479"/>
    <n v="0"/>
    <n v="0"/>
    <n v="0"/>
    <n v="0"/>
    <n v="0"/>
    <n v="47"/>
    <n v="0"/>
    <n v="0"/>
    <n v="0"/>
    <n v="0"/>
    <n v="0"/>
    <n v="0"/>
    <n v="0"/>
    <n v="0"/>
    <n v="25"/>
    <n v="7479"/>
    <n v="47"/>
    <n v="25"/>
  </r>
  <r>
    <s v="Monthly-AE-June-2024.csv"/>
    <x v="8"/>
    <s v="RTX"/>
    <s v="NHS ENGLAND NORTH WEST "/>
    <x v="172"/>
    <n v="9084"/>
    <n v="0"/>
    <n v="3268"/>
    <n v="198"/>
    <n v="0"/>
    <n v="629"/>
    <n v="2701"/>
    <n v="0"/>
    <n v="65"/>
    <n v="30"/>
    <n v="0"/>
    <n v="28"/>
    <n v="550"/>
    <n v="348"/>
    <n v="2967"/>
    <n v="0"/>
    <n v="22"/>
    <n v="913"/>
    <n v="12352"/>
    <n v="2766"/>
    <n v="3902"/>
  </r>
  <r>
    <s v="Monthly-AE-June-2024.csv"/>
    <x v="8"/>
    <s v="RV9"/>
    <s v="NHS ENGLAND NORTH EAST AND YORKSHIRE "/>
    <x v="67"/>
    <n v="0"/>
    <n v="0"/>
    <n v="1181"/>
    <n v="0"/>
    <n v="0"/>
    <n v="51"/>
    <n v="0"/>
    <n v="0"/>
    <n v="4"/>
    <n v="0"/>
    <n v="0"/>
    <n v="0"/>
    <n v="0"/>
    <n v="0"/>
    <n v="0"/>
    <n v="0"/>
    <n v="0"/>
    <n v="0"/>
    <n v="1181"/>
    <n v="4"/>
    <n v="0"/>
  </r>
  <r>
    <s v="Monthly-AE-June-2024.csv"/>
    <x v="8"/>
    <s v="RVJ"/>
    <s v="NHS ENGLAND SOUTH WEST "/>
    <x v="89"/>
    <n v="9090"/>
    <n v="0"/>
    <n v="0"/>
    <n v="19"/>
    <n v="0"/>
    <n v="0"/>
    <n v="3342"/>
    <n v="0"/>
    <n v="0"/>
    <n v="8"/>
    <n v="0"/>
    <n v="0"/>
    <n v="637"/>
    <n v="252"/>
    <n v="2789"/>
    <n v="0"/>
    <n v="0"/>
    <n v="1744"/>
    <n v="9090"/>
    <n v="3342"/>
    <n v="4533"/>
  </r>
  <r>
    <s v="Monthly-AE-June-2024.csv"/>
    <x v="8"/>
    <s v="RVV"/>
    <s v="NHS ENGLAND SOUTH EAST "/>
    <x v="155"/>
    <n v="12539"/>
    <n v="0"/>
    <n v="12576"/>
    <n v="0"/>
    <n v="0"/>
    <n v="0"/>
    <n v="6018"/>
    <n v="0"/>
    <n v="221"/>
    <n v="0"/>
    <n v="0"/>
    <n v="0"/>
    <n v="537"/>
    <n v="1189"/>
    <n v="3324"/>
    <n v="0"/>
    <n v="599"/>
    <n v="826"/>
    <n v="25115"/>
    <n v="6239"/>
    <n v="4749"/>
  </r>
  <r>
    <s v="Monthly-AE-June-2024.csv"/>
    <x v="8"/>
    <s v="RWD"/>
    <s v="NHS ENGLAND MIDLANDS "/>
    <x v="156"/>
    <n v="9852"/>
    <n v="0"/>
    <n v="10279"/>
    <n v="5"/>
    <n v="0"/>
    <n v="0"/>
    <n v="6692"/>
    <n v="0"/>
    <n v="1102"/>
    <n v="2"/>
    <n v="0"/>
    <n v="0"/>
    <n v="985"/>
    <n v="1059"/>
    <n v="4053"/>
    <n v="0"/>
    <n v="0"/>
    <n v="1162"/>
    <n v="20131"/>
    <n v="7794"/>
    <n v="5215"/>
  </r>
  <r>
    <s v="Monthly-AE-June-2024.csv"/>
    <x v="8"/>
    <s v="RX1"/>
    <s v="NHS ENGLAND MIDLANDS "/>
    <x v="69"/>
    <n v="15585"/>
    <n v="2178"/>
    <n v="323"/>
    <n v="586"/>
    <n v="0"/>
    <n v="0"/>
    <n v="7096"/>
    <n v="111"/>
    <n v="9"/>
    <n v="264"/>
    <n v="0"/>
    <n v="0"/>
    <n v="807"/>
    <n v="445"/>
    <n v="4247"/>
    <n v="0"/>
    <n v="0"/>
    <n v="3690"/>
    <n v="18086"/>
    <n v="7216"/>
    <n v="7937"/>
  </r>
  <r>
    <s v="Monthly-AE-June-2024.csv"/>
    <x v="8"/>
    <s v="RXN"/>
    <s v="NHS ENGLAND NORTH WEST "/>
    <x v="91"/>
    <n v="11893"/>
    <n v="0"/>
    <n v="3528"/>
    <n v="206"/>
    <n v="0"/>
    <n v="62"/>
    <n v="4378"/>
    <n v="0"/>
    <n v="134"/>
    <n v="33"/>
    <n v="0"/>
    <n v="3"/>
    <n v="1027"/>
    <n v="244"/>
    <n v="2901"/>
    <n v="0"/>
    <n v="128"/>
    <n v="1103"/>
    <n v="15421"/>
    <n v="4512"/>
    <n v="4132"/>
  </r>
  <r>
    <s v="Monthly-AE-June-2024.csv"/>
    <x v="8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7"/>
    <n v="71"/>
    <n v="0"/>
    <n v="0"/>
    <n v="78"/>
  </r>
  <r>
    <s v="Monthly-AE-June-2024.csv"/>
    <x v="8"/>
    <s v="R0D"/>
    <s v="NHS ENGLAND SOUTH WEST "/>
    <x v="77"/>
    <n v="13603"/>
    <n v="0"/>
    <n v="5004"/>
    <n v="0"/>
    <n v="0"/>
    <n v="0"/>
    <n v="5175"/>
    <n v="0"/>
    <n v="0"/>
    <n v="0"/>
    <n v="0"/>
    <n v="0"/>
    <n v="770"/>
    <n v="157"/>
    <n v="4090"/>
    <n v="3"/>
    <n v="0"/>
    <n v="2234"/>
    <n v="18607"/>
    <n v="5175"/>
    <n v="6327"/>
  </r>
  <r>
    <s v="Monthly-AE-June-2024.csv"/>
    <x v="8"/>
    <s v="R1D"/>
    <s v="NHS ENGLAND MIDLANDS "/>
    <x v="58"/>
    <n v="0"/>
    <n v="0"/>
    <n v="3341"/>
    <n v="0"/>
    <n v="0"/>
    <n v="3"/>
    <n v="0"/>
    <n v="0"/>
    <n v="8"/>
    <n v="0"/>
    <n v="0"/>
    <n v="0"/>
    <n v="0"/>
    <n v="0"/>
    <n v="0"/>
    <n v="0"/>
    <n v="0"/>
    <n v="0"/>
    <n v="3341"/>
    <n v="8"/>
    <n v="0"/>
  </r>
  <r>
    <s v="Monthly-AE-June-2024.csv"/>
    <x v="8"/>
    <s v="R1H"/>
    <s v="NHS ENGLAND LONDON"/>
    <x v="96"/>
    <n v="23982"/>
    <n v="958"/>
    <n v="17725"/>
    <n v="0"/>
    <n v="0"/>
    <n v="0"/>
    <n v="11574"/>
    <n v="15"/>
    <n v="1479"/>
    <n v="0"/>
    <n v="0"/>
    <n v="0"/>
    <n v="1134"/>
    <n v="823"/>
    <n v="4761"/>
    <n v="0"/>
    <n v="0"/>
    <n v="1302"/>
    <n v="42665"/>
    <n v="13068"/>
    <n v="6063"/>
  </r>
  <r>
    <s v="Monthly-AE-June-2024.csv"/>
    <x v="8"/>
    <s v="R1K"/>
    <s v="NHS ENGLAND LONDON"/>
    <x v="128"/>
    <n v="13085"/>
    <n v="0"/>
    <n v="15312"/>
    <n v="0"/>
    <n v="0"/>
    <n v="0"/>
    <n v="6928"/>
    <n v="0"/>
    <n v="167"/>
    <n v="0"/>
    <n v="0"/>
    <n v="0"/>
    <n v="811"/>
    <n v="498"/>
    <n v="6526"/>
    <n v="0"/>
    <n v="0"/>
    <n v="345"/>
    <n v="28397"/>
    <n v="7095"/>
    <n v="6871"/>
  </r>
  <r>
    <s v="Monthly-AE-June-2024.csv"/>
    <x v="8"/>
    <s v="RAP"/>
    <s v="NHS ENGLAND LONDON"/>
    <x v="129"/>
    <n v="7867"/>
    <n v="515"/>
    <n v="7762"/>
    <n v="172"/>
    <n v="1"/>
    <n v="296"/>
    <n v="4611"/>
    <n v="5"/>
    <n v="1103"/>
    <n v="84"/>
    <n v="0"/>
    <n v="47"/>
    <n v="307"/>
    <n v="817"/>
    <n v="1597"/>
    <n v="0"/>
    <n v="0"/>
    <n v="142"/>
    <n v="16144"/>
    <n v="5719"/>
    <n v="1739"/>
  </r>
  <r>
    <s v="Monthly-AE-June-2024.csv"/>
    <x v="8"/>
    <s v="RBS"/>
    <s v="NHS ENGLAND NORTH WEST "/>
    <x v="80"/>
    <n v="5739"/>
    <n v="0"/>
    <n v="0"/>
    <n v="0"/>
    <n v="0"/>
    <n v="0"/>
    <n v="942"/>
    <n v="0"/>
    <n v="0"/>
    <n v="0"/>
    <n v="0"/>
    <n v="0"/>
    <n v="0"/>
    <n v="0"/>
    <n v="1002"/>
    <n v="0"/>
    <n v="0"/>
    <n v="307"/>
    <n v="5739"/>
    <n v="942"/>
    <n v="1309"/>
  </r>
  <r>
    <s v="Monthly-AE-June-2024.csv"/>
    <x v="8"/>
    <s v="RCB"/>
    <s v="NHS ENGLAND NORTH EAST AND YORKSHIRE "/>
    <x v="103"/>
    <n v="11392"/>
    <n v="340"/>
    <n v="8348"/>
    <n v="0"/>
    <n v="0"/>
    <n v="0"/>
    <n v="6141"/>
    <n v="0"/>
    <n v="426"/>
    <n v="0"/>
    <n v="0"/>
    <n v="0"/>
    <n v="915"/>
    <n v="557"/>
    <n v="4529"/>
    <n v="4"/>
    <n v="0"/>
    <n v="1603"/>
    <n v="20080"/>
    <n v="6567"/>
    <n v="6136"/>
  </r>
  <r>
    <s v="Monthly-AE-June-2024.csv"/>
    <x v="8"/>
    <s v="RCU"/>
    <s v="NHS ENGLAND NORTH EAST AND YORKSHIRE "/>
    <x v="81"/>
    <n v="4810"/>
    <n v="0"/>
    <n v="319"/>
    <n v="273"/>
    <n v="0"/>
    <n v="32"/>
    <n v="408"/>
    <n v="0"/>
    <n v="0"/>
    <n v="24"/>
    <n v="0"/>
    <n v="0"/>
    <n v="9"/>
    <n v="0"/>
    <n v="896"/>
    <n v="0"/>
    <n v="0"/>
    <n v="94"/>
    <n v="5129"/>
    <n v="408"/>
    <n v="990"/>
  </r>
  <r>
    <s v="Monthly-AE-June-2024.csv"/>
    <x v="8"/>
    <s v="RD1"/>
    <s v="NHS ENGLAND SOUTH WEST "/>
    <x v="165"/>
    <n v="8500"/>
    <n v="0"/>
    <n v="0"/>
    <n v="0"/>
    <n v="0"/>
    <n v="0"/>
    <n v="3106"/>
    <n v="0"/>
    <n v="0"/>
    <n v="0"/>
    <n v="0"/>
    <n v="0"/>
    <n v="731"/>
    <n v="19"/>
    <n v="2515"/>
    <n v="0"/>
    <n v="6"/>
    <n v="1522"/>
    <n v="8500"/>
    <n v="3106"/>
    <n v="4043"/>
  </r>
  <r>
    <s v="Monthly-AE-June-2024.csv"/>
    <x v="8"/>
    <s v="RDE"/>
    <s v="NHS ENGLAND EAST OF ENGLAND "/>
    <x v="132"/>
    <n v="14872"/>
    <n v="0"/>
    <n v="12095"/>
    <n v="783"/>
    <n v="0"/>
    <n v="257"/>
    <n v="7055"/>
    <n v="0"/>
    <n v="165"/>
    <n v="0"/>
    <n v="0"/>
    <n v="0"/>
    <n v="1204"/>
    <n v="333"/>
    <n v="6198"/>
    <n v="0"/>
    <n v="362"/>
    <n v="940"/>
    <n v="26967"/>
    <n v="7220"/>
    <n v="7500"/>
  </r>
  <r>
    <s v="Monthly-AE-June-2024.csv"/>
    <x v="8"/>
    <s v="RF4"/>
    <s v="NHS ENGLAND LONDON"/>
    <x v="167"/>
    <n v="13032"/>
    <n v="2325"/>
    <n v="13414"/>
    <n v="0"/>
    <n v="0"/>
    <n v="0"/>
    <n v="5452"/>
    <n v="321"/>
    <n v="162"/>
    <n v="0"/>
    <n v="0"/>
    <n v="0"/>
    <n v="708"/>
    <n v="484"/>
    <n v="7671"/>
    <n v="0"/>
    <n v="0"/>
    <n v="369"/>
    <n v="28771"/>
    <n v="5935"/>
    <n v="8040"/>
  </r>
  <r>
    <s v="Monthly-AE-June-2024.csv"/>
    <x v="8"/>
    <s v="RFS"/>
    <s v="NHS ENGLAND MIDLANDS "/>
    <x v="133"/>
    <n v="7027"/>
    <n v="0"/>
    <n v="1501"/>
    <n v="214"/>
    <n v="0"/>
    <n v="94"/>
    <n v="2637"/>
    <n v="0"/>
    <n v="145"/>
    <n v="79"/>
    <n v="0"/>
    <n v="8"/>
    <n v="618"/>
    <n v="57"/>
    <n v="2670"/>
    <n v="0"/>
    <n v="291"/>
    <n v="555"/>
    <n v="8528"/>
    <n v="2782"/>
    <n v="3516"/>
  </r>
  <r>
    <s v="Monthly-AE-June-2024.csv"/>
    <x v="8"/>
    <s v="RGR"/>
    <s v="NHS ENGLAND EAST OF ENGLAND "/>
    <x v="192"/>
    <n v="7562"/>
    <n v="0"/>
    <n v="740"/>
    <n v="38"/>
    <n v="0"/>
    <n v="0"/>
    <n v="2837"/>
    <n v="0"/>
    <n v="0"/>
    <n v="0"/>
    <n v="0"/>
    <n v="0"/>
    <n v="523"/>
    <n v="510"/>
    <n v="2044"/>
    <n v="0"/>
    <n v="0"/>
    <n v="582"/>
    <n v="8302"/>
    <n v="2837"/>
    <n v="2626"/>
  </r>
  <r>
    <s v="Monthly-AE-June-2024.csv"/>
    <x v="8"/>
    <s v="RH5"/>
    <s v="NHS ENGLAND SOUTH WEST "/>
    <x v="175"/>
    <n v="13146"/>
    <n v="0"/>
    <n v="10256"/>
    <n v="0"/>
    <n v="0"/>
    <n v="0"/>
    <n v="5491"/>
    <n v="0"/>
    <n v="194"/>
    <n v="0"/>
    <n v="0"/>
    <n v="0"/>
    <n v="262"/>
    <n v="8"/>
    <n v="3180"/>
    <n v="0"/>
    <n v="0"/>
    <n v="2064"/>
    <n v="23402"/>
    <n v="5685"/>
    <n v="5244"/>
  </r>
  <r>
    <s v="Monthly-AE-June-2024.csv"/>
    <x v="8"/>
    <s v="RHQ"/>
    <s v="NHS ENGLAND NORTH EAST AND YORKSHIRE "/>
    <x v="168"/>
    <n v="8962"/>
    <n v="1122"/>
    <n v="7183"/>
    <n v="455"/>
    <n v="0"/>
    <n v="1093"/>
    <n v="4245"/>
    <n v="0"/>
    <n v="165"/>
    <n v="183"/>
    <n v="0"/>
    <n v="17"/>
    <n v="1016"/>
    <n v="7"/>
    <n v="3728"/>
    <n v="0"/>
    <n v="0"/>
    <n v="2831"/>
    <n v="17267"/>
    <n v="4410"/>
    <n v="6559"/>
  </r>
  <r>
    <s v="Monthly-AE-June-2024.csv"/>
    <x v="8"/>
    <s v="RJ2"/>
    <s v="NHS ENGLAND LONDON"/>
    <x v="169"/>
    <n v="13920"/>
    <n v="0"/>
    <n v="11086"/>
    <n v="29"/>
    <n v="0"/>
    <n v="0"/>
    <n v="6851"/>
    <n v="0"/>
    <n v="1360"/>
    <n v="6"/>
    <n v="0"/>
    <n v="0"/>
    <n v="1025"/>
    <n v="465"/>
    <n v="3874"/>
    <n v="0"/>
    <n v="0"/>
    <n v="1325"/>
    <n v="25006"/>
    <n v="8211"/>
    <n v="5199"/>
  </r>
  <r>
    <s v="Monthly-AE-June-2024.csv"/>
    <x v="8"/>
    <s v="RJE"/>
    <s v="NHS ENGLAND MIDLANDS "/>
    <x v="84"/>
    <n v="13371"/>
    <n v="454"/>
    <n v="8862"/>
    <n v="720"/>
    <n v="0"/>
    <n v="517"/>
    <n v="6498"/>
    <n v="0"/>
    <n v="121"/>
    <n v="311"/>
    <n v="0"/>
    <n v="5"/>
    <n v="998"/>
    <n v="875"/>
    <n v="5233"/>
    <n v="0"/>
    <n v="0"/>
    <n v="3383"/>
    <n v="22687"/>
    <n v="6619"/>
    <n v="8616"/>
  </r>
  <r>
    <s v="Monthly-AE-June-2024.csv"/>
    <x v="8"/>
    <s v="RJL"/>
    <s v="NHS ENGLAND NORTH EAST AND YORKSHIRE "/>
    <x v="188"/>
    <n v="8775"/>
    <n v="0"/>
    <n v="6847"/>
    <n v="0"/>
    <n v="0"/>
    <n v="402"/>
    <n v="4764"/>
    <n v="0"/>
    <n v="50"/>
    <n v="0"/>
    <n v="0"/>
    <n v="2"/>
    <n v="592"/>
    <n v="923"/>
    <n v="4831"/>
    <n v="0"/>
    <n v="0"/>
    <n v="417"/>
    <n v="15622"/>
    <n v="4814"/>
    <n v="5248"/>
  </r>
  <r>
    <s v="Monthly-AE-June-2024.csv"/>
    <x v="8"/>
    <s v="RK5"/>
    <s v="NHS ENGLAND MIDLANDS "/>
    <x v="109"/>
    <n v="11024"/>
    <n v="0"/>
    <n v="5498"/>
    <n v="360"/>
    <n v="0"/>
    <n v="109"/>
    <n v="4552"/>
    <n v="0"/>
    <n v="213"/>
    <n v="178"/>
    <n v="0"/>
    <n v="2"/>
    <n v="605"/>
    <n v="84"/>
    <n v="3714"/>
    <n v="0"/>
    <n v="0"/>
    <n v="352"/>
    <n v="16522"/>
    <n v="4765"/>
    <n v="4066"/>
  </r>
  <r>
    <s v="Monthly-AE-June-2024.csv"/>
    <x v="8"/>
    <s v="RKE"/>
    <s v="NHS ENGLAND LONDON"/>
    <x v="170"/>
    <n v="9125"/>
    <n v="0"/>
    <n v="0"/>
    <n v="0"/>
    <n v="0"/>
    <n v="0"/>
    <n v="2598"/>
    <n v="0"/>
    <n v="0"/>
    <n v="0"/>
    <n v="0"/>
    <n v="0"/>
    <n v="208"/>
    <n v="339"/>
    <n v="1043"/>
    <n v="0"/>
    <n v="0"/>
    <n v="46"/>
    <n v="9125"/>
    <n v="2598"/>
    <n v="1089"/>
  </r>
  <r>
    <s v="Monthly-AE-June-2024.csv"/>
    <x v="8"/>
    <s v="RMP"/>
    <s v="NHS ENGLAND NORTH WEST "/>
    <x v="143"/>
    <n v="8285"/>
    <n v="0"/>
    <n v="2466"/>
    <n v="386"/>
    <n v="0"/>
    <n v="213"/>
    <n v="4231"/>
    <n v="0"/>
    <n v="0"/>
    <n v="0"/>
    <n v="0"/>
    <n v="0"/>
    <n v="535"/>
    <n v="31"/>
    <n v="2469"/>
    <n v="0"/>
    <n v="0"/>
    <n v="581"/>
    <n v="10751"/>
    <n v="4231"/>
    <n v="3050"/>
  </r>
  <r>
    <s v="Monthly-AE-June-2024.csv"/>
    <x v="8"/>
    <s v="RN3"/>
    <s v="NHS ENGLAND SOUTH WEST "/>
    <x v="179"/>
    <n v="5418"/>
    <n v="0"/>
    <n v="5537"/>
    <n v="0"/>
    <n v="0"/>
    <n v="181"/>
    <n v="2480"/>
    <n v="0"/>
    <n v="301"/>
    <n v="0"/>
    <n v="0"/>
    <n v="3"/>
    <n v="501"/>
    <n v="84"/>
    <n v="2308"/>
    <n v="0"/>
    <n v="0"/>
    <n v="1460"/>
    <n v="10955"/>
    <n v="2781"/>
    <n v="3768"/>
  </r>
  <r>
    <s v="Monthly-AE-June-2024.csv"/>
    <x v="8"/>
    <s v="RN5"/>
    <s v="NHS ENGLAND SOUTH EAST "/>
    <x v="110"/>
    <n v="12260"/>
    <n v="124"/>
    <n v="530"/>
    <n v="0"/>
    <n v="0"/>
    <n v="164"/>
    <n v="4225"/>
    <n v="0"/>
    <n v="0"/>
    <n v="0"/>
    <n v="0"/>
    <n v="0"/>
    <n v="529"/>
    <n v="7"/>
    <n v="4200"/>
    <n v="8"/>
    <n v="1"/>
    <n v="1069"/>
    <n v="12914"/>
    <n v="4225"/>
    <n v="5278"/>
  </r>
  <r>
    <s v="Monthly-AE-June-2024.csv"/>
    <x v="8"/>
    <s v="RN7"/>
    <s v="NHS ENGLAND SOUTH EAST "/>
    <x v="171"/>
    <n v="11218"/>
    <n v="0"/>
    <n v="3758"/>
    <n v="0"/>
    <n v="0"/>
    <n v="0"/>
    <n v="3886"/>
    <n v="0"/>
    <n v="34"/>
    <n v="0"/>
    <n v="0"/>
    <n v="0"/>
    <n v="748"/>
    <n v="104"/>
    <n v="2921"/>
    <n v="0"/>
    <n v="0"/>
    <n v="464"/>
    <n v="14976"/>
    <n v="3920"/>
    <n v="3385"/>
  </r>
  <r>
    <s v="Monthly-AE-June-2024.csv"/>
    <x v="8"/>
    <s v="RP5"/>
    <s v="NHS ENGLAND NORTH EAST AND YORKSHIRE "/>
    <x v="145"/>
    <n v="13676"/>
    <n v="0"/>
    <n v="3799"/>
    <n v="0"/>
    <n v="0"/>
    <n v="0"/>
    <n v="4626"/>
    <n v="0"/>
    <n v="23"/>
    <n v="0"/>
    <n v="0"/>
    <n v="0"/>
    <n v="852"/>
    <n v="108"/>
    <n v="4062"/>
    <n v="0"/>
    <n v="477"/>
    <n v="1103"/>
    <n v="17475"/>
    <n v="4649"/>
    <n v="5642"/>
  </r>
  <r>
    <s v="Monthly-AE-June-2024.csv"/>
    <x v="8"/>
    <s v="RPA"/>
    <s v="NHS ENGLAND SOUTH EAST "/>
    <x v="146"/>
    <n v="9024"/>
    <n v="0"/>
    <n v="6884"/>
    <n v="323"/>
    <n v="0"/>
    <n v="972"/>
    <n v="2860"/>
    <n v="0"/>
    <n v="697"/>
    <n v="57"/>
    <n v="0"/>
    <n v="0"/>
    <n v="355"/>
    <n v="616"/>
    <n v="1957"/>
    <n v="0"/>
    <n v="0"/>
    <n v="781"/>
    <n v="15908"/>
    <n v="3557"/>
    <n v="2738"/>
  </r>
  <r>
    <s v="Monthly-AE-June-2024.csv"/>
    <x v="8"/>
    <s v="RQ3"/>
    <s v="NHS ENGLAND MIDLANDS "/>
    <x v="189"/>
    <n v="5243"/>
    <n v="0"/>
    <n v="0"/>
    <n v="0"/>
    <n v="0"/>
    <n v="0"/>
    <n v="1046"/>
    <n v="0"/>
    <n v="0"/>
    <n v="0"/>
    <n v="0"/>
    <n v="0"/>
    <n v="0"/>
    <n v="0"/>
    <n v="1027"/>
    <n v="0"/>
    <n v="0"/>
    <n v="204"/>
    <n v="5243"/>
    <n v="1046"/>
    <n v="1231"/>
  </r>
  <r>
    <s v="Monthly-AE-June-2024.csv"/>
    <x v="8"/>
    <s v="RQM"/>
    <s v="NHS ENGLAND LONDON"/>
    <x v="147"/>
    <n v="19566"/>
    <n v="0"/>
    <n v="6243"/>
    <n v="855"/>
    <n v="0"/>
    <n v="0"/>
    <n v="5077"/>
    <n v="0"/>
    <n v="116"/>
    <n v="0"/>
    <n v="0"/>
    <n v="0"/>
    <n v="827"/>
    <n v="63"/>
    <n v="2657"/>
    <n v="0"/>
    <n v="0"/>
    <n v="342"/>
    <n v="25809"/>
    <n v="5193"/>
    <n v="2999"/>
  </r>
  <r>
    <s v="Monthly-AE-June-2024.csv"/>
    <x v="8"/>
    <s v="RTF"/>
    <s v="NHS ENGLAND NORTH EAST AND YORKSHIRE "/>
    <x v="152"/>
    <n v="9433"/>
    <n v="0"/>
    <n v="12936"/>
    <n v="0"/>
    <n v="0"/>
    <n v="0"/>
    <n v="2536"/>
    <n v="0"/>
    <n v="9"/>
    <n v="0"/>
    <n v="0"/>
    <n v="0"/>
    <n v="28"/>
    <n v="1"/>
    <n v="4486"/>
    <n v="0"/>
    <n v="55"/>
    <n v="1193"/>
    <n v="22369"/>
    <n v="2545"/>
    <n v="5734"/>
  </r>
  <r>
    <s v="Monthly-AE-June-2024.csv"/>
    <x v="8"/>
    <s v="RTK"/>
    <s v="NHS ENGLAND SOUTH EAST "/>
    <x v="114"/>
    <n v="10146"/>
    <n v="0"/>
    <n v="0"/>
    <n v="0"/>
    <n v="0"/>
    <n v="0"/>
    <n v="3211"/>
    <n v="0"/>
    <n v="0"/>
    <n v="0"/>
    <n v="0"/>
    <n v="0"/>
    <n v="582"/>
    <n v="142"/>
    <n v="2939"/>
    <n v="0"/>
    <n v="0"/>
    <n v="556"/>
    <n v="10146"/>
    <n v="3211"/>
    <n v="3495"/>
  </r>
  <r>
    <s v="Monthly-AE-June-2024.csv"/>
    <x v="8"/>
    <s v="RTR"/>
    <s v="NHS ENGLAND NORTH EAST AND YORKSHIRE "/>
    <x v="153"/>
    <n v="7245"/>
    <n v="0"/>
    <n v="9317"/>
    <n v="0"/>
    <n v="0"/>
    <n v="1633"/>
    <n v="3748"/>
    <n v="0"/>
    <n v="787"/>
    <n v="0"/>
    <n v="0"/>
    <n v="137"/>
    <n v="353"/>
    <n v="24"/>
    <n v="2498"/>
    <n v="0"/>
    <n v="107"/>
    <n v="2149"/>
    <n v="16562"/>
    <n v="4535"/>
    <n v="4754"/>
  </r>
  <r>
    <s v="Monthly-AE-June-2024.csv"/>
    <x v="8"/>
    <s v="RWA"/>
    <s v="NHS ENGLAND NORTH EAST AND YORKSHIRE "/>
    <x v="116"/>
    <n v="9116"/>
    <n v="0"/>
    <n v="4454"/>
    <n v="0"/>
    <n v="0"/>
    <n v="0"/>
    <n v="4836"/>
    <n v="0"/>
    <n v="450"/>
    <n v="0"/>
    <n v="0"/>
    <n v="0"/>
    <n v="862"/>
    <n v="463"/>
    <n v="3445"/>
    <n v="0"/>
    <n v="0"/>
    <n v="1762"/>
    <n v="13570"/>
    <n v="5286"/>
    <n v="5207"/>
  </r>
  <r>
    <s v="Monthly-AE-June-2024.csv"/>
    <x v="8"/>
    <s v="RWW"/>
    <s v="NHS ENGLAND NORTH WEST "/>
    <x v="159"/>
    <n v="6731"/>
    <n v="0"/>
    <n v="3001"/>
    <n v="267"/>
    <n v="0"/>
    <n v="109"/>
    <n v="3210"/>
    <n v="0"/>
    <n v="92"/>
    <n v="94"/>
    <n v="0"/>
    <n v="4"/>
    <n v="641"/>
    <n v="633"/>
    <n v="1794"/>
    <n v="0"/>
    <n v="0"/>
    <n v="206"/>
    <n v="9732"/>
    <n v="3302"/>
    <n v="2000"/>
  </r>
  <r>
    <s v="Monthly-AE-June-2024.csv"/>
    <x v="8"/>
    <s v="RXF"/>
    <s v="NHS ENGLAND NORTH EAST AND YORKSHIRE "/>
    <x v="160"/>
    <n v="16962"/>
    <n v="142"/>
    <n v="6191"/>
    <n v="120"/>
    <n v="0"/>
    <n v="106"/>
    <n v="6404"/>
    <n v="0"/>
    <n v="333"/>
    <n v="11"/>
    <n v="0"/>
    <n v="1"/>
    <n v="2311"/>
    <n v="89"/>
    <n v="3532"/>
    <n v="0"/>
    <n v="180"/>
    <n v="925"/>
    <n v="23295"/>
    <n v="6737"/>
    <n v="4637"/>
  </r>
  <r>
    <s v="Monthly-AE-June-2024.csv"/>
    <x v="8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0"/>
    <n v="0"/>
    <n v="115"/>
  </r>
  <r>
    <s v="Monthly-AE-June-2024.csv"/>
    <x v="8"/>
    <s v="RYJ"/>
    <s v="NHS ENGLAND LONDON"/>
    <x v="163"/>
    <n v="11912"/>
    <n v="3960"/>
    <n v="7425"/>
    <n v="0"/>
    <n v="0"/>
    <n v="385"/>
    <n v="4742"/>
    <n v="112"/>
    <n v="357"/>
    <n v="0"/>
    <n v="0"/>
    <n v="0"/>
    <n v="614"/>
    <n v="109"/>
    <n v="3927"/>
    <n v="1"/>
    <n v="0"/>
    <n v="1079"/>
    <n v="23297"/>
    <n v="5211"/>
    <n v="5007"/>
  </r>
  <r>
    <s v="Monthly-AE-June-2024.csv"/>
    <x v="8"/>
    <s v="RDR"/>
    <s v="NHS ENGLAND SOUTH EAST "/>
    <x v="166"/>
    <n v="0"/>
    <n v="0"/>
    <n v="12076"/>
    <n v="0"/>
    <n v="0"/>
    <n v="0"/>
    <n v="0"/>
    <n v="0"/>
    <n v="85"/>
    <n v="0"/>
    <n v="0"/>
    <n v="0"/>
    <n v="0"/>
    <n v="0"/>
    <n v="0"/>
    <n v="0"/>
    <n v="0"/>
    <n v="0"/>
    <n v="12076"/>
    <n v="85"/>
    <n v="0"/>
  </r>
  <r>
    <s v="Monthly-AE-June-2024.csv"/>
    <x v="8"/>
    <s v="RGT"/>
    <s v="NHS ENGLAND EAST OF ENGLAND "/>
    <x v="107"/>
    <n v="10072"/>
    <n v="0"/>
    <n v="6096"/>
    <n v="592"/>
    <n v="0"/>
    <n v="429"/>
    <n v="4963"/>
    <n v="0"/>
    <n v="83"/>
    <n v="244"/>
    <n v="0"/>
    <n v="6"/>
    <n v="449"/>
    <n v="648"/>
    <n v="2535"/>
    <n v="0"/>
    <n v="31"/>
    <n v="432"/>
    <n v="16168"/>
    <n v="5046"/>
    <n v="2998"/>
  </r>
  <r>
    <s v="Monthly-AE-June-2024.csv"/>
    <x v="8"/>
    <s v="RHM"/>
    <s v="NHS ENGLAND SOUTH EAST "/>
    <x v="134"/>
    <n v="11461"/>
    <n v="1297"/>
    <n v="0"/>
    <n v="166"/>
    <n v="0"/>
    <n v="0"/>
    <n v="3783"/>
    <n v="77"/>
    <n v="0"/>
    <n v="55"/>
    <n v="0"/>
    <n v="0"/>
    <n v="305"/>
    <n v="9"/>
    <n v="3645"/>
    <n v="11"/>
    <n v="0"/>
    <n v="1430"/>
    <n v="12758"/>
    <n v="3860"/>
    <n v="5086"/>
  </r>
  <r>
    <s v="Monthly-AE-June-2024.csv"/>
    <x v="8"/>
    <s v="RM1"/>
    <s v="NHS ENGLAND EAST OF ENGLAND "/>
    <x v="142"/>
    <n v="12047"/>
    <n v="0"/>
    <n v="8517"/>
    <n v="315"/>
    <n v="0"/>
    <n v="1"/>
    <n v="3626"/>
    <n v="0"/>
    <n v="10"/>
    <n v="54"/>
    <n v="0"/>
    <n v="0"/>
    <n v="691"/>
    <n v="112"/>
    <n v="2591"/>
    <n v="0"/>
    <n v="0"/>
    <n v="1526"/>
    <n v="20564"/>
    <n v="3636"/>
    <n v="4117"/>
  </r>
  <r>
    <s v="Monthly-AE-June-2024.csv"/>
    <x v="8"/>
    <s v="RMC"/>
    <s v="NHS ENGLAND NORTH WEST "/>
    <x v="178"/>
    <n v="7628"/>
    <n v="0"/>
    <n v="3462"/>
    <n v="78"/>
    <n v="0"/>
    <n v="83"/>
    <n v="3952"/>
    <n v="0"/>
    <n v="295"/>
    <n v="40"/>
    <n v="0"/>
    <n v="7"/>
    <n v="497"/>
    <n v="607"/>
    <n v="2120"/>
    <n v="0"/>
    <n v="47"/>
    <n v="712"/>
    <n v="11090"/>
    <n v="4247"/>
    <n v="2879"/>
  </r>
  <r>
    <s v="Monthly-AE-June-2024.csv"/>
    <x v="8"/>
    <s v="RTE"/>
    <s v="NHS ENGLAND SOUTH WEST "/>
    <x v="151"/>
    <n v="12603"/>
    <n v="0"/>
    <n v="0"/>
    <n v="252"/>
    <n v="0"/>
    <n v="0"/>
    <n v="5233"/>
    <n v="0"/>
    <n v="0"/>
    <n v="92"/>
    <n v="0"/>
    <n v="0"/>
    <n v="276"/>
    <n v="676"/>
    <n v="2500"/>
    <n v="0"/>
    <n v="0"/>
    <n v="1880"/>
    <n v="12603"/>
    <n v="5233"/>
    <n v="4380"/>
  </r>
  <r>
    <s v="Monthly-AE-June-2024.csv"/>
    <x v="8"/>
    <s v="RWG"/>
    <s v="NHS ENGLAND EAST OF ENGLAND "/>
    <x v="47"/>
    <n v="8128"/>
    <n v="0"/>
    <n v="8198"/>
    <n v="0"/>
    <n v="0"/>
    <n v="822"/>
    <n v="2609"/>
    <n v="0"/>
    <n v="371"/>
    <n v="0"/>
    <n v="0"/>
    <n v="0"/>
    <n v="486"/>
    <n v="4"/>
    <n v="4027"/>
    <n v="0"/>
    <n v="0"/>
    <n v="629"/>
    <n v="16326"/>
    <n v="2980"/>
    <n v="4656"/>
  </r>
  <r>
    <s v="Monthly-AE-June-2024.csv"/>
    <x v="8"/>
    <s v="RWJ"/>
    <s v="NHS ENGLAND NORTH WEST "/>
    <x v="158"/>
    <n v="7762"/>
    <n v="0"/>
    <n v="1012"/>
    <n v="449"/>
    <n v="0"/>
    <n v="100"/>
    <n v="3031"/>
    <n v="0"/>
    <n v="22"/>
    <n v="150"/>
    <n v="0"/>
    <n v="2"/>
    <n v="716"/>
    <n v="270"/>
    <n v="2492"/>
    <n v="0"/>
    <n v="77"/>
    <n v="678"/>
    <n v="8774"/>
    <n v="3053"/>
    <n v="3247"/>
  </r>
  <r>
    <s v="Monthly-AE-June-2024.csv"/>
    <x v="8"/>
    <s v="RWX"/>
    <s v="NHS ENGLAND SOUTH EAST "/>
    <x v="173"/>
    <n v="0"/>
    <n v="0"/>
    <n v="1629"/>
    <n v="0"/>
    <n v="0"/>
    <n v="0"/>
    <n v="0"/>
    <n v="0"/>
    <n v="19"/>
    <n v="0"/>
    <n v="0"/>
    <n v="0"/>
    <n v="0"/>
    <n v="0"/>
    <n v="0"/>
    <n v="0"/>
    <n v="35"/>
    <n v="0"/>
    <n v="1629"/>
    <n v="19"/>
    <n v="35"/>
  </r>
  <r>
    <s v="Monthly-AE-June-2024.csv"/>
    <x v="8"/>
    <s v="RY2"/>
    <s v="NHS ENGLAND NORTH WEST "/>
    <x v="73"/>
    <n v="0"/>
    <n v="0"/>
    <n v="3173"/>
    <n v="0"/>
    <n v="0"/>
    <n v="161"/>
    <n v="0"/>
    <n v="0"/>
    <n v="19"/>
    <n v="0"/>
    <n v="0"/>
    <n v="0"/>
    <n v="0"/>
    <n v="0"/>
    <n v="0"/>
    <n v="0"/>
    <n v="0"/>
    <n v="0"/>
    <n v="3173"/>
    <n v="19"/>
    <n v="0"/>
  </r>
  <r>
    <s v="Monthly-AE-June-2024.csv"/>
    <x v="8"/>
    <s v="RBD"/>
    <s v="NHS ENGLAND SOUTH WEST "/>
    <x v="101"/>
    <n v="4311"/>
    <n v="0"/>
    <n v="0"/>
    <n v="344"/>
    <n v="0"/>
    <n v="4200"/>
    <n v="1826"/>
    <n v="0"/>
    <n v="0"/>
    <n v="106"/>
    <n v="0"/>
    <n v="6"/>
    <n v="234"/>
    <n v="71"/>
    <n v="1727"/>
    <n v="0"/>
    <n v="0"/>
    <n v="549"/>
    <n v="4311"/>
    <n v="1826"/>
    <n v="2276"/>
  </r>
  <r>
    <s v="Monthly-AE-June-2024.csv"/>
    <x v="8"/>
    <s v="RDU"/>
    <s v="NHS ENGLAND SOUTH EAST "/>
    <x v="82"/>
    <n v="22963"/>
    <n v="941"/>
    <n v="11866"/>
    <n v="0"/>
    <n v="0"/>
    <n v="0"/>
    <n v="9744"/>
    <n v="0"/>
    <n v="156"/>
    <n v="0"/>
    <n v="0"/>
    <n v="0"/>
    <n v="2059"/>
    <n v="376"/>
    <n v="5823"/>
    <n v="0"/>
    <n v="0"/>
    <n v="314"/>
    <n v="35770"/>
    <n v="9900"/>
    <n v="6137"/>
  </r>
  <r>
    <s v="Monthly-AE-June-2024.csv"/>
    <x v="8"/>
    <s v="RM3"/>
    <s v="NHS ENGLAND NORTH WEST "/>
    <x v="193"/>
    <n v="25044"/>
    <n v="0"/>
    <n v="8709"/>
    <n v="0"/>
    <n v="0"/>
    <n v="0"/>
    <n v="10980"/>
    <n v="0"/>
    <n v="305"/>
    <n v="0"/>
    <n v="0"/>
    <n v="0"/>
    <n v="1265"/>
    <n v="1066"/>
    <n v="6873"/>
    <n v="0"/>
    <n v="363"/>
    <n v="1567"/>
    <n v="33753"/>
    <n v="11285"/>
    <n v="8803"/>
  </r>
  <r>
    <s v="Monthly-AE-June-2024.csv"/>
    <x v="8"/>
    <s v="RVR"/>
    <s v="NHS ENGLAND LONDON"/>
    <x v="154"/>
    <n v="11286"/>
    <n v="305"/>
    <n v="1565"/>
    <n v="350"/>
    <n v="0"/>
    <n v="21"/>
    <n v="2902"/>
    <n v="0"/>
    <n v="51"/>
    <n v="38"/>
    <n v="0"/>
    <n v="1"/>
    <n v="241"/>
    <n v="668"/>
    <n v="1848"/>
    <n v="1"/>
    <n v="0"/>
    <n v="134"/>
    <n v="13156"/>
    <n v="2953"/>
    <n v="1983"/>
  </r>
  <r>
    <s v="Monthly-AE-June-2024.csv"/>
    <x v="8"/>
    <s v="RJR"/>
    <s v="NHS ENGLAND NORTH WEST "/>
    <x v="108"/>
    <n v="5098"/>
    <n v="0"/>
    <n v="1971"/>
    <n v="0"/>
    <n v="0"/>
    <n v="0"/>
    <n v="2763"/>
    <n v="0"/>
    <n v="180"/>
    <n v="0"/>
    <n v="0"/>
    <n v="0"/>
    <n v="300"/>
    <n v="597"/>
    <n v="1470"/>
    <n v="0"/>
    <n v="0"/>
    <n v="1202"/>
    <n v="7069"/>
    <n v="2943"/>
    <n v="2672"/>
  </r>
  <r>
    <s v="Monthly-AE-June-2024.csv"/>
    <x v="8"/>
    <s v="RXP"/>
    <s v="NHS ENGLAND NORTH EAST AND YORKSHIRE "/>
    <x v="161"/>
    <n v="12780"/>
    <n v="0"/>
    <n v="4447"/>
    <n v="0"/>
    <n v="0"/>
    <n v="7151"/>
    <n v="5547"/>
    <n v="0"/>
    <n v="0"/>
    <n v="0"/>
    <n v="0"/>
    <n v="0"/>
    <n v="1936"/>
    <n v="26"/>
    <n v="4262"/>
    <n v="0"/>
    <n v="0"/>
    <n v="742"/>
    <n v="17227"/>
    <n v="5547"/>
    <n v="5004"/>
  </r>
  <r>
    <s v="Monthly-AE-June-2024.csv"/>
    <x v="8"/>
    <s v="RYX"/>
    <s v="NHS ENGLAND LONDON"/>
    <x v="75"/>
    <n v="0"/>
    <n v="0"/>
    <n v="11180"/>
    <n v="0"/>
    <n v="0"/>
    <n v="391"/>
    <n v="0"/>
    <n v="0"/>
    <n v="261"/>
    <n v="0"/>
    <n v="0"/>
    <n v="29"/>
    <n v="0"/>
    <n v="0"/>
    <n v="0"/>
    <n v="0"/>
    <n v="0"/>
    <n v="0"/>
    <n v="11180"/>
    <n v="261"/>
    <n v="0"/>
  </r>
  <r>
    <s v="Monthly-AE-June-2024.csv"/>
    <x v="8"/>
    <s v="RAL"/>
    <s v="NHS ENGLAND LONDON"/>
    <x v="99"/>
    <n v="17990"/>
    <n v="0"/>
    <n v="8392"/>
    <n v="0"/>
    <n v="0"/>
    <n v="0"/>
    <n v="6667"/>
    <n v="0"/>
    <n v="188"/>
    <n v="0"/>
    <n v="0"/>
    <n v="0"/>
    <n v="1040"/>
    <n v="560"/>
    <n v="3834"/>
    <n v="0"/>
    <n v="0"/>
    <n v="567"/>
    <n v="26382"/>
    <n v="6855"/>
    <n v="4401"/>
  </r>
  <r>
    <s v="Monthly-AE-June-2024.csv"/>
    <x v="8"/>
    <s v="RBL"/>
    <s v="NHS ENGLAND NORTH WEST "/>
    <x v="183"/>
    <n v="7780"/>
    <n v="0"/>
    <n v="2781"/>
    <n v="185"/>
    <n v="0"/>
    <n v="166"/>
    <n v="4534"/>
    <n v="0"/>
    <n v="20"/>
    <n v="68"/>
    <n v="0"/>
    <n v="1"/>
    <n v="751"/>
    <n v="534"/>
    <n v="2143"/>
    <n v="0"/>
    <n v="0"/>
    <n v="1584"/>
    <n v="10561"/>
    <n v="4554"/>
    <n v="3727"/>
  </r>
  <r>
    <s v="Monthly-AE-June-2024.csv"/>
    <x v="8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0"/>
    <n v="0"/>
    <n v="32"/>
  </r>
  <r>
    <s v="Monthly-AE-June-2024.csv"/>
    <x v="8"/>
    <s v="RTH"/>
    <s v="NHS ENGLAND SOUTH EAST "/>
    <x v="196"/>
    <n v="12092"/>
    <n v="1819"/>
    <n v="1922"/>
    <n v="1529"/>
    <n v="0"/>
    <n v="111"/>
    <n v="4110"/>
    <n v="0"/>
    <n v="2"/>
    <n v="435"/>
    <n v="0"/>
    <n v="1"/>
    <n v="635"/>
    <n v="0"/>
    <n v="4127"/>
    <n v="133"/>
    <n v="19"/>
    <n v="4523"/>
    <n v="15833"/>
    <n v="4112"/>
    <n v="8802"/>
  </r>
  <r>
    <s v="Monthly-AE-June-2024.csv"/>
    <x v="8"/>
    <s v="RWH"/>
    <s v="NHS ENGLAND EAST OF ENGLAND "/>
    <x v="157"/>
    <n v="9180"/>
    <n v="0"/>
    <n v="7282"/>
    <n v="5"/>
    <n v="0"/>
    <n v="15"/>
    <n v="4559"/>
    <n v="0"/>
    <n v="267"/>
    <n v="2"/>
    <n v="0"/>
    <n v="0"/>
    <n v="141"/>
    <n v="23"/>
    <n v="3469"/>
    <n v="0"/>
    <n v="79"/>
    <n v="267"/>
    <n v="16462"/>
    <n v="4826"/>
    <n v="3815"/>
  </r>
  <r>
    <s v="Monthly-AE-June-2024.csv"/>
    <x v="8"/>
    <s v="RJ6"/>
    <s v="NHS ENGLAND LONDON"/>
    <x v="136"/>
    <n v="13337"/>
    <n v="0"/>
    <n v="4958"/>
    <n v="1"/>
    <n v="0"/>
    <n v="0"/>
    <n v="4748"/>
    <n v="0"/>
    <n v="0"/>
    <n v="0"/>
    <n v="0"/>
    <n v="0"/>
    <n v="404"/>
    <n v="649"/>
    <n v="1335"/>
    <n v="0"/>
    <n v="0"/>
    <n v="116"/>
    <n v="18295"/>
    <n v="4748"/>
    <n v="1451"/>
  </r>
  <r>
    <s v="Monthly-AE-June-2024.csv"/>
    <x v="8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73"/>
    <n v="0"/>
    <n v="0"/>
    <n v="173"/>
  </r>
  <r>
    <s v="Monthly-AE-June-2024.csv"/>
    <x v="8"/>
    <s v="Y02532"/>
    <s v="NHS ENGLAND NORTH WEST "/>
    <x v="15"/>
    <n v="0"/>
    <n v="0"/>
    <n v="1627"/>
    <n v="0"/>
    <n v="0"/>
    <n v="0"/>
    <n v="0"/>
    <n v="0"/>
    <n v="4"/>
    <n v="0"/>
    <n v="0"/>
    <n v="0"/>
    <n v="0"/>
    <n v="0"/>
    <n v="0"/>
    <n v="0"/>
    <n v="0"/>
    <n v="0"/>
    <n v="1627"/>
    <n v="4"/>
    <n v="0"/>
  </r>
  <r>
    <s v="Monthly-AE-June-2024.csv"/>
    <x v="8"/>
    <s v="RHU"/>
    <s v="NHS ENGLAND SOUTH EAST "/>
    <x v="194"/>
    <n v="9788"/>
    <n v="742"/>
    <n v="3055"/>
    <n v="1398"/>
    <n v="0"/>
    <n v="725"/>
    <n v="5307"/>
    <n v="3"/>
    <n v="27"/>
    <n v="0"/>
    <n v="0"/>
    <n v="0"/>
    <n v="1380"/>
    <n v="33"/>
    <n v="3525"/>
    <n v="0"/>
    <n v="0"/>
    <n v="2461"/>
    <n v="13585"/>
    <n v="5337"/>
    <n v="5986"/>
  </r>
  <r>
    <s v="Monthly-AE-June-2024.csv"/>
    <x v="8"/>
    <s v="RBN"/>
    <s v="NHS ENGLAND NORTH WEST "/>
    <x v="174"/>
    <n v="16606"/>
    <n v="0"/>
    <n v="7186"/>
    <n v="387"/>
    <n v="0"/>
    <n v="0"/>
    <n v="6364"/>
    <n v="0"/>
    <n v="206"/>
    <n v="47"/>
    <n v="0"/>
    <n v="0"/>
    <n v="589"/>
    <n v="311"/>
    <n v="6800"/>
    <n v="0"/>
    <n v="0"/>
    <n v="632"/>
    <n v="23792"/>
    <n v="6570"/>
    <n v="7432"/>
  </r>
  <r>
    <s v="Monthly-AE-June-2024.csv"/>
    <x v="8"/>
    <s v="RJ1"/>
    <s v="NHS ENGLAND LONDON"/>
    <x v="135"/>
    <n v="10382"/>
    <n v="739"/>
    <n v="6688"/>
    <n v="0"/>
    <n v="0"/>
    <n v="0"/>
    <n v="4003"/>
    <n v="0"/>
    <n v="264"/>
    <n v="0"/>
    <n v="0"/>
    <n v="0"/>
    <n v="96"/>
    <n v="72"/>
    <n v="2114"/>
    <n v="0"/>
    <n v="0"/>
    <n v="194"/>
    <n v="17809"/>
    <n v="4267"/>
    <n v="2308"/>
  </r>
  <r>
    <s v="Monthly-AE-June-2024.csv"/>
    <x v="3"/>
    <s v="TOTAL"/>
    <s v="TOTAL"/>
    <x v="199"/>
    <n v="1374917"/>
    <n v="48707"/>
    <n v="792016"/>
    <n v="30741"/>
    <n v="675"/>
    <n v="47009"/>
    <n v="547250"/>
    <n v="1841"/>
    <n v="25423"/>
    <n v="7803"/>
    <n v="13"/>
    <n v="626"/>
    <n v="90008"/>
    <n v="38106"/>
    <n v="396204"/>
    <n v="1406"/>
    <n v="4445"/>
    <n v="134829"/>
    <n v="2215640"/>
    <n v="574514"/>
    <n v="536884"/>
  </r>
  <r>
    <s v="Monthly-AE-March-2025.csv"/>
    <x v="9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0"/>
    <n v="0"/>
    <n v="27"/>
  </r>
  <r>
    <s v="Monthly-AE-March-2025.csv"/>
    <x v="9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16"/>
    <n v="74"/>
    <n v="0"/>
    <n v="0"/>
    <n v="90"/>
  </r>
  <r>
    <s v="Monthly-AE-March-2025.csv"/>
    <x v="9"/>
    <s v="RYY"/>
    <s v="NHS ENGLAND SOUTH EAST "/>
    <x v="48"/>
    <n v="0"/>
    <n v="0"/>
    <n v="9690"/>
    <n v="0"/>
    <n v="0"/>
    <n v="0"/>
    <n v="0"/>
    <n v="0"/>
    <n v="32"/>
    <n v="0"/>
    <n v="0"/>
    <n v="0"/>
    <n v="0"/>
    <n v="0"/>
    <n v="0"/>
    <n v="0"/>
    <n v="0"/>
    <n v="0"/>
    <n v="9690"/>
    <n v="32"/>
    <n v="0"/>
  </r>
  <r>
    <s v="Monthly-AE-March-2025.csv"/>
    <x v="9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March-2025.csv"/>
    <x v="9"/>
    <s v="Y02676"/>
    <s v="NHS ENGLAND SOUTH EAST "/>
    <x v="37"/>
    <n v="0"/>
    <n v="0"/>
    <n v="2040"/>
    <n v="0"/>
    <n v="0"/>
    <n v="0"/>
    <n v="0"/>
    <n v="0"/>
    <n v="0"/>
    <n v="0"/>
    <n v="0"/>
    <n v="0"/>
    <n v="0"/>
    <n v="0"/>
    <n v="0"/>
    <n v="0"/>
    <n v="0"/>
    <n v="0"/>
    <n v="2040"/>
    <n v="0"/>
    <n v="0"/>
  </r>
  <r>
    <s v="Monthly-AE-March-2025.csv"/>
    <x v="9"/>
    <s v="8J094"/>
    <s v="NHS ENGLAND MIDLANDS "/>
    <x v="2"/>
    <n v="0"/>
    <n v="0"/>
    <n v="0"/>
    <n v="0"/>
    <n v="0"/>
    <n v="1438"/>
    <n v="0"/>
    <n v="0"/>
    <n v="0"/>
    <n v="0"/>
    <n v="0"/>
    <n v="0"/>
    <n v="0"/>
    <n v="0"/>
    <n v="0"/>
    <n v="0"/>
    <n v="0"/>
    <n v="0"/>
    <n v="0"/>
    <n v="0"/>
    <n v="0"/>
  </r>
  <r>
    <s v="Monthly-AE-March-2025.csv"/>
    <x v="9"/>
    <s v="C82009"/>
    <s v="NHS ENGLAND MIDLANDS "/>
    <x v="123"/>
    <n v="0"/>
    <n v="0"/>
    <n v="315"/>
    <n v="0"/>
    <n v="0"/>
    <n v="0"/>
    <n v="0"/>
    <n v="0"/>
    <n v="0"/>
    <n v="0"/>
    <n v="0"/>
    <n v="0"/>
    <n v="0"/>
    <n v="0"/>
    <n v="0"/>
    <n v="0"/>
    <n v="0"/>
    <n v="0"/>
    <n v="315"/>
    <n v="0"/>
    <n v="0"/>
  </r>
  <r>
    <s v="Monthly-AE-March-2025.csv"/>
    <x v="9"/>
    <s v="C82038"/>
    <s v="NHS ENGLAND MIDLANDS "/>
    <x v="31"/>
    <n v="0"/>
    <n v="0"/>
    <n v="350"/>
    <n v="0"/>
    <n v="0"/>
    <n v="0"/>
    <n v="0"/>
    <n v="0"/>
    <n v="0"/>
    <n v="0"/>
    <n v="0"/>
    <n v="0"/>
    <n v="0"/>
    <n v="0"/>
    <n v="0"/>
    <n v="0"/>
    <n v="0"/>
    <n v="0"/>
    <n v="350"/>
    <n v="0"/>
    <n v="0"/>
  </r>
  <r>
    <s v="Monthly-AE-March-2025.csv"/>
    <x v="9"/>
    <s v="NDJ"/>
    <s v="NHS ENGLAND SOUTH EAST "/>
    <x v="51"/>
    <n v="0"/>
    <n v="0"/>
    <n v="2464"/>
    <n v="0"/>
    <n v="0"/>
    <n v="0"/>
    <n v="0"/>
    <n v="0"/>
    <n v="0"/>
    <n v="0"/>
    <n v="0"/>
    <n v="0"/>
    <n v="0"/>
    <n v="0"/>
    <n v="0"/>
    <n v="0"/>
    <n v="0"/>
    <n v="0"/>
    <n v="2464"/>
    <n v="0"/>
    <n v="0"/>
  </r>
  <r>
    <s v="Monthly-AE-March-2025.csv"/>
    <x v="9"/>
    <s v="NL7"/>
    <s v="NHS ENGLAND MIDLANDS "/>
    <x v="95"/>
    <n v="0"/>
    <n v="0"/>
    <n v="3164"/>
    <n v="0"/>
    <n v="0"/>
    <n v="0"/>
    <n v="0"/>
    <n v="0"/>
    <n v="0"/>
    <n v="0"/>
    <n v="0"/>
    <n v="0"/>
    <n v="0"/>
    <n v="0"/>
    <n v="0"/>
    <n v="0"/>
    <n v="0"/>
    <n v="0"/>
    <n v="3164"/>
    <n v="0"/>
    <n v="0"/>
  </r>
  <r>
    <s v="Monthly-AE-March-2025.csv"/>
    <x v="9"/>
    <s v="NQT51"/>
    <s v="NHS ENGLAND SOUTH EAST "/>
    <x v="39"/>
    <n v="0"/>
    <n v="0"/>
    <n v="1024"/>
    <n v="0"/>
    <n v="0"/>
    <n v="0"/>
    <n v="0"/>
    <n v="0"/>
    <n v="0"/>
    <n v="0"/>
    <n v="0"/>
    <n v="0"/>
    <n v="0"/>
    <n v="0"/>
    <n v="0"/>
    <n v="0"/>
    <n v="0"/>
    <n v="0"/>
    <n v="1024"/>
    <n v="0"/>
    <n v="0"/>
  </r>
  <r>
    <s v="Monthly-AE-March-2025.csv"/>
    <x v="9"/>
    <s v="NQTE4"/>
    <s v="NHS ENGLAND MIDLANDS "/>
    <x v="6"/>
    <n v="0"/>
    <n v="0"/>
    <n v="3151"/>
    <n v="0"/>
    <n v="0"/>
    <n v="0"/>
    <n v="0"/>
    <n v="0"/>
    <n v="0"/>
    <n v="0"/>
    <n v="0"/>
    <n v="0"/>
    <n v="0"/>
    <n v="0"/>
    <n v="0"/>
    <n v="0"/>
    <n v="0"/>
    <n v="0"/>
    <n v="3151"/>
    <n v="0"/>
    <n v="0"/>
  </r>
  <r>
    <s v="Monthly-AE-March-2025.csv"/>
    <x v="9"/>
    <s v="NTV0B"/>
    <s v="NHS ENGLAND SOUTH EAST "/>
    <x v="23"/>
    <n v="0"/>
    <n v="0"/>
    <n v="2374"/>
    <n v="0"/>
    <n v="0"/>
    <n v="0"/>
    <n v="0"/>
    <n v="0"/>
    <n v="23"/>
    <n v="0"/>
    <n v="0"/>
    <n v="0"/>
    <n v="0"/>
    <n v="0"/>
    <n v="0"/>
    <n v="0"/>
    <n v="0"/>
    <n v="0"/>
    <n v="2374"/>
    <n v="23"/>
    <n v="0"/>
  </r>
  <r>
    <s v="Monthly-AE-March-2025.csv"/>
    <x v="9"/>
    <s v="NTV0W"/>
    <s v="NHS ENGLAND SOUTH EAST "/>
    <x v="24"/>
    <n v="0"/>
    <n v="0"/>
    <n v="2683"/>
    <n v="0"/>
    <n v="0"/>
    <n v="0"/>
    <n v="0"/>
    <n v="0"/>
    <n v="12"/>
    <n v="0"/>
    <n v="0"/>
    <n v="0"/>
    <n v="0"/>
    <n v="0"/>
    <n v="0"/>
    <n v="0"/>
    <n v="0"/>
    <n v="0"/>
    <n v="2683"/>
    <n v="12"/>
    <n v="0"/>
  </r>
  <r>
    <s v="Monthly-AE-March-2025.csv"/>
    <x v="9"/>
    <s v="RA9"/>
    <s v="NHS ENGLAND SOUTH WEST "/>
    <x v="7"/>
    <n v="6650"/>
    <n v="0"/>
    <n v="3358"/>
    <n v="405"/>
    <n v="0"/>
    <n v="154"/>
    <n v="2977"/>
    <n v="0"/>
    <n v="47"/>
    <n v="160"/>
    <n v="0"/>
    <n v="3"/>
    <n v="285"/>
    <n v="45"/>
    <n v="2305"/>
    <n v="0"/>
    <n v="0"/>
    <n v="1183"/>
    <n v="10008"/>
    <n v="3024"/>
    <n v="3488"/>
  </r>
  <r>
    <s v="Monthly-AE-March-2025.csv"/>
    <x v="9"/>
    <s v="RFF"/>
    <s v="NHS ENGLAND NORTH EAST AND YORKSHIRE "/>
    <x v="26"/>
    <n v="9281"/>
    <n v="0"/>
    <n v="0"/>
    <n v="12"/>
    <n v="0"/>
    <n v="0"/>
    <n v="1838"/>
    <n v="0"/>
    <n v="0"/>
    <n v="0"/>
    <n v="0"/>
    <n v="0"/>
    <n v="229"/>
    <n v="0"/>
    <n v="3249"/>
    <n v="0"/>
    <n v="0"/>
    <n v="530"/>
    <n v="9281"/>
    <n v="1838"/>
    <n v="3779"/>
  </r>
  <r>
    <s v="Monthly-AE-March-2025.csv"/>
    <x v="9"/>
    <s v="RNU"/>
    <s v="NHS ENGLAND SOUTH EAST "/>
    <x v="112"/>
    <n v="0"/>
    <n v="0"/>
    <n v="3656"/>
    <n v="0"/>
    <n v="0"/>
    <n v="0"/>
    <n v="0"/>
    <n v="0"/>
    <n v="419"/>
    <n v="0"/>
    <n v="0"/>
    <n v="0"/>
    <n v="0"/>
    <n v="0"/>
    <n v="0"/>
    <n v="0"/>
    <n v="0"/>
    <n v="0"/>
    <n v="3656"/>
    <n v="419"/>
    <n v="0"/>
  </r>
  <r>
    <s v="Monthly-AE-March-2025.csv"/>
    <x v="9"/>
    <s v="RWY"/>
    <s v="NHS ENGLAND NORTH EAST AND YORKSHIRE "/>
    <x v="10"/>
    <n v="16307"/>
    <n v="0"/>
    <n v="0"/>
    <n v="0"/>
    <n v="0"/>
    <n v="0"/>
    <n v="2976"/>
    <n v="0"/>
    <n v="0"/>
    <n v="0"/>
    <n v="0"/>
    <n v="0"/>
    <n v="885"/>
    <n v="20"/>
    <n v="2750"/>
    <n v="0"/>
    <n v="0"/>
    <n v="209"/>
    <n v="16307"/>
    <n v="2976"/>
    <n v="2959"/>
  </r>
  <r>
    <s v="Monthly-AE-March-2025.csv"/>
    <x v="9"/>
    <s v="Y02147"/>
    <s v="NHS ENGLAND LONDON"/>
    <x v="29"/>
    <n v="0"/>
    <n v="0"/>
    <n v="8224"/>
    <n v="0"/>
    <n v="0"/>
    <n v="419"/>
    <n v="0"/>
    <n v="0"/>
    <n v="184"/>
    <n v="0"/>
    <n v="0"/>
    <n v="0"/>
    <n v="0"/>
    <n v="0"/>
    <n v="0"/>
    <n v="0"/>
    <n v="0"/>
    <n v="0"/>
    <n v="8224"/>
    <n v="184"/>
    <n v="0"/>
  </r>
  <r>
    <s v="Monthly-AE-March-2025.csv"/>
    <x v="9"/>
    <s v="Y02532"/>
    <s v="NHS ENGLAND NORTH WEST "/>
    <x v="15"/>
    <n v="0"/>
    <n v="0"/>
    <n v="1709"/>
    <n v="0"/>
    <n v="0"/>
    <n v="0"/>
    <n v="0"/>
    <n v="0"/>
    <n v="0"/>
    <n v="0"/>
    <n v="0"/>
    <n v="0"/>
    <n v="0"/>
    <n v="0"/>
    <n v="0"/>
    <n v="0"/>
    <n v="0"/>
    <n v="0"/>
    <n v="1709"/>
    <n v="0"/>
    <n v="0"/>
  </r>
  <r>
    <s v="Monthly-AE-March-2025.csv"/>
    <x v="9"/>
    <s v="Y02615"/>
    <s v="NHS ENGLAND MIDLANDS "/>
    <x v="16"/>
    <n v="0"/>
    <n v="0"/>
    <n v="7113"/>
    <n v="0"/>
    <n v="0"/>
    <n v="0"/>
    <n v="0"/>
    <n v="0"/>
    <n v="0"/>
    <n v="0"/>
    <n v="0"/>
    <n v="0"/>
    <n v="0"/>
    <n v="0"/>
    <n v="0"/>
    <n v="0"/>
    <n v="0"/>
    <n v="0"/>
    <n v="7113"/>
    <n v="0"/>
    <n v="0"/>
  </r>
  <r>
    <s v="Monthly-AE-March-2025.csv"/>
    <x v="9"/>
    <s v="AAH"/>
    <s v="NHS ENGLAND SOUTH WEST "/>
    <x v="0"/>
    <n v="0"/>
    <n v="0"/>
    <n v="707"/>
    <n v="0"/>
    <n v="0"/>
    <n v="0"/>
    <n v="0"/>
    <n v="0"/>
    <n v="0"/>
    <n v="0"/>
    <n v="0"/>
    <n v="0"/>
    <n v="0"/>
    <n v="0"/>
    <n v="0"/>
    <n v="0"/>
    <n v="0"/>
    <n v="0"/>
    <n v="707"/>
    <n v="0"/>
    <n v="0"/>
  </r>
  <r>
    <s v="Monthly-AE-March-2025.csv"/>
    <x v="9"/>
    <s v="NV693"/>
    <s v="NHS ENGLAND NORTH WEST "/>
    <x v="76"/>
    <n v="0"/>
    <n v="0"/>
    <n v="1122"/>
    <n v="0"/>
    <n v="0"/>
    <n v="0"/>
    <n v="0"/>
    <n v="0"/>
    <n v="1"/>
    <n v="0"/>
    <n v="0"/>
    <n v="0"/>
    <n v="0"/>
    <n v="0"/>
    <n v="0"/>
    <n v="0"/>
    <n v="0"/>
    <n v="0"/>
    <n v="1122"/>
    <n v="1"/>
    <n v="0"/>
  </r>
  <r>
    <s v="Monthly-AE-March-2025.csv"/>
    <x v="9"/>
    <s v="RCD"/>
    <s v="NHS ENGLAND NORTH EAST AND YORKSHIRE "/>
    <x v="184"/>
    <n v="5137"/>
    <n v="0"/>
    <n v="993"/>
    <n v="354"/>
    <n v="0"/>
    <n v="21"/>
    <n v="1314"/>
    <n v="0"/>
    <n v="1"/>
    <n v="57"/>
    <n v="0"/>
    <n v="0"/>
    <n v="386"/>
    <n v="23"/>
    <n v="1150"/>
    <n v="0"/>
    <n v="0"/>
    <n v="315"/>
    <n v="6130"/>
    <n v="1315"/>
    <n v="1465"/>
  </r>
  <r>
    <s v="Monthly-AE-March-2025.csv"/>
    <x v="9"/>
    <s v="RTP"/>
    <s v="NHS ENGLAND SOUTH EAST "/>
    <x v="66"/>
    <n v="10472"/>
    <n v="0"/>
    <n v="0"/>
    <n v="0"/>
    <n v="0"/>
    <n v="0"/>
    <n v="3739"/>
    <n v="0"/>
    <n v="0"/>
    <n v="0"/>
    <n v="0"/>
    <n v="0"/>
    <n v="487"/>
    <n v="688"/>
    <n v="3223"/>
    <n v="0"/>
    <n v="0"/>
    <n v="923"/>
    <n v="10472"/>
    <n v="3739"/>
    <n v="4146"/>
  </r>
  <r>
    <s v="Monthly-AE-March-2025.csv"/>
    <x v="9"/>
    <s v="RV9"/>
    <s v="NHS ENGLAND NORTH EAST AND YORKSHIRE "/>
    <x v="67"/>
    <n v="0"/>
    <n v="0"/>
    <n v="1048"/>
    <n v="0"/>
    <n v="0"/>
    <n v="28"/>
    <n v="0"/>
    <n v="0"/>
    <n v="10"/>
    <n v="0"/>
    <n v="0"/>
    <n v="0"/>
    <n v="0"/>
    <n v="0"/>
    <n v="0"/>
    <n v="0"/>
    <n v="0"/>
    <n v="0"/>
    <n v="1048"/>
    <n v="10"/>
    <n v="0"/>
  </r>
  <r>
    <s v="Monthly-AE-March-2025.csv"/>
    <x v="9"/>
    <s v="RXR"/>
    <s v="NHS ENGLAND NORTH WEST "/>
    <x v="92"/>
    <n v="13340"/>
    <n v="0"/>
    <n v="11173"/>
    <n v="0"/>
    <n v="0"/>
    <n v="0"/>
    <n v="4452"/>
    <n v="0"/>
    <n v="527"/>
    <n v="0"/>
    <n v="0"/>
    <n v="0"/>
    <n v="524"/>
    <n v="1105"/>
    <n v="3876"/>
    <n v="0"/>
    <n v="101"/>
    <n v="1664"/>
    <n v="24513"/>
    <n v="4979"/>
    <n v="5641"/>
  </r>
  <r>
    <s v="Monthly-AE-March-2025.csv"/>
    <x v="9"/>
    <s v="RY7"/>
    <s v="NHS ENGLAND NORTH WEST "/>
    <x v="12"/>
    <n v="0"/>
    <n v="0"/>
    <n v="4551"/>
    <n v="0"/>
    <n v="0"/>
    <n v="0"/>
    <n v="0"/>
    <n v="0"/>
    <n v="402"/>
    <n v="0"/>
    <n v="0"/>
    <n v="0"/>
    <n v="0"/>
    <n v="0"/>
    <n v="0"/>
    <n v="0"/>
    <n v="0"/>
    <n v="0"/>
    <n v="4551"/>
    <n v="402"/>
    <n v="0"/>
  </r>
  <r>
    <s v="Monthly-AE-March-2025.csv"/>
    <x v="9"/>
    <s v="Y02428"/>
    <s v="NHS ENGLAND EAST OF ENGLAND "/>
    <x v="49"/>
    <n v="0"/>
    <n v="0"/>
    <n v="3139"/>
    <n v="0"/>
    <n v="0"/>
    <n v="0"/>
    <n v="0"/>
    <n v="0"/>
    <n v="0"/>
    <n v="0"/>
    <n v="0"/>
    <n v="0"/>
    <n v="0"/>
    <n v="0"/>
    <n v="0"/>
    <n v="0"/>
    <n v="0"/>
    <n v="0"/>
    <n v="3139"/>
    <n v="0"/>
    <n v="0"/>
  </r>
  <r>
    <s v="Monthly-AE-March-2025.csv"/>
    <x v="9"/>
    <s v="Y03007"/>
    <s v="NHS ENGLAND MIDLANDS "/>
    <x v="17"/>
    <n v="0"/>
    <n v="0"/>
    <n v="0"/>
    <n v="0"/>
    <n v="0"/>
    <n v="1942"/>
    <n v="0"/>
    <n v="0"/>
    <n v="0"/>
    <n v="0"/>
    <n v="0"/>
    <n v="0"/>
    <n v="0"/>
    <n v="0"/>
    <n v="0"/>
    <n v="0"/>
    <n v="0"/>
    <n v="0"/>
    <n v="0"/>
    <n v="0"/>
    <n v="0"/>
  </r>
  <r>
    <s v="Monthly-AE-March-2025.csv"/>
    <x v="9"/>
    <s v="AQN04"/>
    <s v="NHS ENGLAND SOUTH EAST "/>
    <x v="4"/>
    <n v="0"/>
    <n v="0"/>
    <n v="3105"/>
    <n v="0"/>
    <n v="0"/>
    <n v="24"/>
    <n v="0"/>
    <n v="0"/>
    <n v="16"/>
    <n v="0"/>
    <n v="0"/>
    <n v="0"/>
    <n v="0"/>
    <n v="0"/>
    <n v="0"/>
    <n v="0"/>
    <n v="0"/>
    <n v="0"/>
    <n v="3105"/>
    <n v="16"/>
    <n v="0"/>
  </r>
  <r>
    <s v="Monthly-AE-March-2025.csv"/>
    <x v="9"/>
    <s v="DT301"/>
    <s v="NHS ENGLAND EAST OF ENGLAND "/>
    <x v="19"/>
    <n v="0"/>
    <n v="0"/>
    <n v="2413"/>
    <n v="0"/>
    <n v="0"/>
    <n v="0"/>
    <n v="0"/>
    <n v="0"/>
    <n v="124"/>
    <n v="0"/>
    <n v="0"/>
    <n v="0"/>
    <n v="0"/>
    <n v="0"/>
    <n v="0"/>
    <n v="0"/>
    <n v="0"/>
    <n v="0"/>
    <n v="2413"/>
    <n v="124"/>
    <n v="0"/>
  </r>
  <r>
    <s v="Monthly-AE-March-2025.csv"/>
    <x v="9"/>
    <s v="R0B"/>
    <s v="NHS ENGLAND NORTH EAST AND YORKSHIRE "/>
    <x v="44"/>
    <n v="11463"/>
    <n v="1338"/>
    <n v="6275"/>
    <n v="786"/>
    <n v="0"/>
    <n v="1488"/>
    <n v="4812"/>
    <n v="25"/>
    <n v="239"/>
    <n v="347"/>
    <n v="0"/>
    <n v="64"/>
    <n v="316"/>
    <n v="2"/>
    <n v="4487"/>
    <n v="12"/>
    <n v="0"/>
    <n v="1547"/>
    <n v="19076"/>
    <n v="5076"/>
    <n v="6046"/>
  </r>
  <r>
    <s v="Monthly-AE-March-2025.csv"/>
    <x v="9"/>
    <s v="RDE"/>
    <s v="NHS ENGLAND EAST OF ENGLAND "/>
    <x v="132"/>
    <n v="11802"/>
    <n v="0"/>
    <n v="14870"/>
    <n v="1315"/>
    <n v="0"/>
    <n v="693"/>
    <n v="5648"/>
    <n v="0"/>
    <n v="555"/>
    <n v="0"/>
    <n v="0"/>
    <n v="0"/>
    <n v="976"/>
    <n v="733"/>
    <n v="6306"/>
    <n v="0"/>
    <n v="386"/>
    <n v="1212"/>
    <n v="26672"/>
    <n v="6203"/>
    <n v="7904"/>
  </r>
  <r>
    <s v="Monthly-AE-March-2025.csv"/>
    <x v="9"/>
    <s v="RQX"/>
    <s v="NHS ENGLAND LONDON"/>
    <x v="36"/>
    <n v="11231"/>
    <n v="0"/>
    <n v="0"/>
    <n v="0"/>
    <n v="0"/>
    <n v="0"/>
    <n v="1927"/>
    <n v="0"/>
    <n v="0"/>
    <n v="0"/>
    <n v="0"/>
    <n v="0"/>
    <n v="206"/>
    <n v="22"/>
    <n v="1842"/>
    <n v="0"/>
    <n v="0"/>
    <n v="349"/>
    <n v="11231"/>
    <n v="1927"/>
    <n v="2191"/>
  </r>
  <r>
    <s v="Monthly-AE-March-2025.csv"/>
    <x v="9"/>
    <s v="RTK"/>
    <s v="NHS ENGLAND SOUTH EAST "/>
    <x v="114"/>
    <n v="10757"/>
    <n v="0"/>
    <n v="0"/>
    <n v="0"/>
    <n v="0"/>
    <n v="0"/>
    <n v="3695"/>
    <n v="0"/>
    <n v="0"/>
    <n v="0"/>
    <n v="0"/>
    <n v="0"/>
    <n v="528"/>
    <n v="231"/>
    <n v="2884"/>
    <n v="0"/>
    <n v="0"/>
    <n v="678"/>
    <n v="10757"/>
    <n v="3695"/>
    <n v="3562"/>
  </r>
  <r>
    <s v="Monthly-AE-March-2025.csv"/>
    <x v="9"/>
    <s v="RY5"/>
    <s v="NHS ENGLAND MIDLANDS "/>
    <x v="121"/>
    <n v="0"/>
    <n v="0"/>
    <n v="8775"/>
    <n v="0"/>
    <n v="0"/>
    <n v="0"/>
    <n v="0"/>
    <n v="0"/>
    <n v="250"/>
    <n v="0"/>
    <n v="0"/>
    <n v="0"/>
    <n v="0"/>
    <n v="0"/>
    <n v="0"/>
    <n v="0"/>
    <n v="0"/>
    <n v="0"/>
    <n v="8775"/>
    <n v="250"/>
    <n v="0"/>
  </r>
  <r>
    <s v="Monthly-AE-March-2025.csv"/>
    <x v="9"/>
    <s v="G0Q0L"/>
    <s v="NHS ENGLAND LONDON"/>
    <x v="32"/>
    <n v="0"/>
    <n v="0"/>
    <n v="2910"/>
    <n v="0"/>
    <n v="0"/>
    <n v="0"/>
    <n v="0"/>
    <n v="0"/>
    <n v="30"/>
    <n v="0"/>
    <n v="0"/>
    <n v="0"/>
    <n v="0"/>
    <n v="0"/>
    <n v="0"/>
    <n v="0"/>
    <n v="0"/>
    <n v="0"/>
    <n v="2910"/>
    <n v="30"/>
    <n v="0"/>
  </r>
  <r>
    <s v="Monthly-AE-March-2025.csv"/>
    <x v="9"/>
    <s v="K6K0R"/>
    <s v="NHS ENGLAND LONDON"/>
    <x v="33"/>
    <n v="0"/>
    <n v="0"/>
    <n v="2364"/>
    <n v="0"/>
    <n v="0"/>
    <n v="0"/>
    <n v="0"/>
    <n v="0"/>
    <n v="5"/>
    <n v="0"/>
    <n v="0"/>
    <n v="0"/>
    <n v="0"/>
    <n v="0"/>
    <n v="0"/>
    <n v="0"/>
    <n v="0"/>
    <n v="0"/>
    <n v="2364"/>
    <n v="5"/>
    <n v="0"/>
  </r>
  <r>
    <s v="Monthly-AE-March-2025.csv"/>
    <x v="9"/>
    <s v="NTP11"/>
    <s v="NHS ENGLAND SOUTH EAST "/>
    <x v="34"/>
    <n v="0"/>
    <n v="0"/>
    <n v="5772"/>
    <n v="0"/>
    <n v="0"/>
    <n v="0"/>
    <n v="0"/>
    <n v="0"/>
    <n v="350"/>
    <n v="0"/>
    <n v="0"/>
    <n v="0"/>
    <n v="0"/>
    <n v="0"/>
    <n v="0"/>
    <n v="0"/>
    <n v="0"/>
    <n v="0"/>
    <n v="5772"/>
    <n v="350"/>
    <n v="0"/>
  </r>
  <r>
    <s v="Monthly-AE-March-2025.csv"/>
    <x v="9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</r>
  <r>
    <s v="Monthly-AE-March-2025.csv"/>
    <x v="9"/>
    <s v="RY8"/>
    <s v="NHS ENGLAND MIDLANDS "/>
    <x v="13"/>
    <n v="0"/>
    <n v="0"/>
    <n v="7172"/>
    <n v="0"/>
    <n v="0"/>
    <n v="2435"/>
    <n v="0"/>
    <n v="0"/>
    <n v="122"/>
    <n v="0"/>
    <n v="0"/>
    <n v="7"/>
    <n v="0"/>
    <n v="0"/>
    <n v="0"/>
    <n v="0"/>
    <n v="0"/>
    <n v="0"/>
    <n v="7172"/>
    <n v="122"/>
    <n v="0"/>
  </r>
  <r>
    <s v="Monthly-AE-March-2025.csv"/>
    <x v="9"/>
    <s v="Y07709"/>
    <s v="NHS ENGLAND SOUTH EAST "/>
    <x v="38"/>
    <n v="0"/>
    <n v="0"/>
    <n v="2020"/>
    <n v="0"/>
    <n v="0"/>
    <n v="0"/>
    <n v="0"/>
    <n v="0"/>
    <n v="0"/>
    <n v="0"/>
    <n v="0"/>
    <n v="0"/>
    <n v="0"/>
    <n v="0"/>
    <n v="0"/>
    <n v="0"/>
    <n v="0"/>
    <n v="0"/>
    <n v="2020"/>
    <n v="0"/>
    <n v="0"/>
  </r>
  <r>
    <s v="Monthly-AE-March-2025.csv"/>
    <x v="9"/>
    <s v="AJN"/>
    <s v="NHS ENGLAND NORTH EAST AND YORKSHIRE "/>
    <x v="94"/>
    <n v="0"/>
    <n v="0"/>
    <n v="336"/>
    <n v="0"/>
    <n v="0"/>
    <n v="0"/>
    <n v="0"/>
    <n v="0"/>
    <n v="0"/>
    <n v="0"/>
    <n v="0"/>
    <n v="0"/>
    <n v="0"/>
    <n v="0"/>
    <n v="0"/>
    <n v="0"/>
    <n v="0"/>
    <n v="0"/>
    <n v="336"/>
    <n v="0"/>
    <n v="0"/>
  </r>
  <r>
    <s v="Monthly-AE-March-2025.csv"/>
    <x v="9"/>
    <s v="NQT5F"/>
    <s v="NHS ENGLAND NORTH WEST "/>
    <x v="20"/>
    <n v="0"/>
    <n v="0"/>
    <n v="1730"/>
    <n v="0"/>
    <n v="0"/>
    <n v="0"/>
    <n v="0"/>
    <n v="0"/>
    <n v="6"/>
    <n v="0"/>
    <n v="0"/>
    <n v="0"/>
    <n v="0"/>
    <n v="0"/>
    <n v="0"/>
    <n v="0"/>
    <n v="0"/>
    <n v="0"/>
    <n v="1730"/>
    <n v="6"/>
    <n v="0"/>
  </r>
  <r>
    <s v="Monthly-AE-March-2025.csv"/>
    <x v="9"/>
    <s v="NQT5H"/>
    <s v="NHS ENGLAND SOUTH WEST "/>
    <x v="21"/>
    <n v="0"/>
    <n v="0"/>
    <n v="913"/>
    <n v="0"/>
    <n v="0"/>
    <n v="0"/>
    <n v="0"/>
    <n v="0"/>
    <n v="5"/>
    <n v="0"/>
    <n v="0"/>
    <n v="0"/>
    <n v="0"/>
    <n v="0"/>
    <n v="0"/>
    <n v="0"/>
    <n v="0"/>
    <n v="0"/>
    <n v="913"/>
    <n v="5"/>
    <n v="0"/>
  </r>
  <r>
    <s v="Monthly-AE-March-2025.csv"/>
    <x v="9"/>
    <s v="RAX"/>
    <s v="NHS ENGLAND LONDON"/>
    <x v="201"/>
    <n v="7332"/>
    <n v="0"/>
    <n v="8910"/>
    <n v="0"/>
    <n v="0"/>
    <n v="0"/>
    <n v="3271"/>
    <n v="0"/>
    <n v="273"/>
    <n v="0"/>
    <n v="0"/>
    <n v="0"/>
    <n v="273"/>
    <n v="406"/>
    <n v="2435"/>
    <n v="0"/>
    <n v="278"/>
    <n v="322"/>
    <n v="16242"/>
    <n v="3544"/>
    <n v="3035"/>
  </r>
  <r>
    <s v="Monthly-AE-March-2025.csv"/>
    <x v="9"/>
    <s v="RBT"/>
    <s v="NHS ENGLAND NORTH WEST "/>
    <x v="130"/>
    <n v="7136"/>
    <n v="0"/>
    <n v="3238"/>
    <n v="0"/>
    <n v="0"/>
    <n v="93"/>
    <n v="4139"/>
    <n v="0"/>
    <n v="64"/>
    <n v="0"/>
    <n v="0"/>
    <n v="5"/>
    <n v="604"/>
    <n v="541"/>
    <n v="2236"/>
    <n v="0"/>
    <n v="0"/>
    <n v="1348"/>
    <n v="10374"/>
    <n v="4203"/>
    <n v="3584"/>
  </r>
  <r>
    <s v="Monthly-AE-March-2025.csv"/>
    <x v="9"/>
    <s v="RJZ"/>
    <s v="NHS ENGLAND LONDON"/>
    <x v="62"/>
    <n v="15710"/>
    <n v="0"/>
    <n v="9620"/>
    <n v="60"/>
    <n v="0"/>
    <n v="1100"/>
    <n v="6788"/>
    <n v="0"/>
    <n v="563"/>
    <n v="15"/>
    <n v="0"/>
    <n v="0"/>
    <n v="1441"/>
    <n v="926"/>
    <n v="3585"/>
    <n v="0"/>
    <n v="0"/>
    <n v="366"/>
    <n v="25330"/>
    <n v="7351"/>
    <n v="3951"/>
  </r>
  <r>
    <s v="Monthly-AE-March-2025.csv"/>
    <x v="9"/>
    <s v="RLQ"/>
    <s v="NHS ENGLAND MIDLANDS "/>
    <x v="86"/>
    <n v="6143"/>
    <n v="1157"/>
    <n v="158"/>
    <n v="165"/>
    <n v="0"/>
    <n v="0"/>
    <n v="2759"/>
    <n v="0"/>
    <n v="0"/>
    <n v="44"/>
    <n v="0"/>
    <n v="0"/>
    <n v="415"/>
    <n v="293"/>
    <n v="1461"/>
    <n v="0"/>
    <n v="0"/>
    <n v="151"/>
    <n v="7458"/>
    <n v="2759"/>
    <n v="1612"/>
  </r>
  <r>
    <s v="Monthly-AE-March-2025.csv"/>
    <x v="9"/>
    <s v="RQW"/>
    <s v="NHS ENGLAND EAST OF ENGLAND "/>
    <x v="148"/>
    <n v="8544"/>
    <n v="0"/>
    <n v="2131"/>
    <n v="0"/>
    <n v="0"/>
    <n v="665"/>
    <n v="3474"/>
    <n v="0"/>
    <n v="0"/>
    <n v="0"/>
    <n v="0"/>
    <n v="0"/>
    <n v="401"/>
    <n v="89"/>
    <n v="1795"/>
    <n v="0"/>
    <n v="0"/>
    <n v="277"/>
    <n v="10675"/>
    <n v="3474"/>
    <n v="2072"/>
  </r>
  <r>
    <s v="Monthly-AE-March-2025.csv"/>
    <x v="9"/>
    <s v="RWP"/>
    <s v="NHS ENGLAND MIDLANDS "/>
    <x v="68"/>
    <n v="13805"/>
    <n v="0"/>
    <n v="6203"/>
    <n v="0"/>
    <n v="0"/>
    <n v="0"/>
    <n v="6738"/>
    <n v="0"/>
    <n v="71"/>
    <n v="0"/>
    <n v="0"/>
    <n v="0"/>
    <n v="925"/>
    <n v="731"/>
    <n v="2693"/>
    <n v="0"/>
    <n v="0"/>
    <n v="861"/>
    <n v="20008"/>
    <n v="6809"/>
    <n v="3554"/>
  </r>
  <r>
    <s v="Monthly-AE-March-2025.csv"/>
    <x v="9"/>
    <s v="RXL"/>
    <s v="NHS ENGLAND NORTH WEST "/>
    <x v="72"/>
    <n v="8950"/>
    <n v="0"/>
    <n v="11021"/>
    <n v="432"/>
    <n v="0"/>
    <n v="363"/>
    <n v="4016"/>
    <n v="0"/>
    <n v="71"/>
    <n v="148"/>
    <n v="0"/>
    <n v="0"/>
    <n v="499"/>
    <n v="549"/>
    <n v="2743"/>
    <n v="0"/>
    <n v="0"/>
    <n v="1747"/>
    <n v="19971"/>
    <n v="4087"/>
    <n v="4490"/>
  </r>
  <r>
    <s v="Monthly-AE-March-2025.csv"/>
    <x v="9"/>
    <s v="Y03218"/>
    <s v="NHS ENGLAND LONDON"/>
    <x v="18"/>
    <n v="0"/>
    <n v="0"/>
    <n v="603"/>
    <n v="0"/>
    <n v="0"/>
    <n v="0"/>
    <n v="0"/>
    <n v="0"/>
    <n v="0"/>
    <n v="0"/>
    <n v="0"/>
    <n v="0"/>
    <n v="0"/>
    <n v="0"/>
    <n v="0"/>
    <n v="0"/>
    <n v="0"/>
    <n v="0"/>
    <n v="603"/>
    <n v="0"/>
    <n v="0"/>
  </r>
  <r>
    <s v="Monthly-AE-March-2025.csv"/>
    <x v="9"/>
    <s v="NLX"/>
    <s v="NHS ENGLAND SOUTH WEST "/>
    <x v="195"/>
    <n v="0"/>
    <n v="0"/>
    <n v="9372"/>
    <n v="0"/>
    <n v="0"/>
    <n v="357"/>
    <n v="0"/>
    <n v="0"/>
    <n v="393"/>
    <n v="0"/>
    <n v="0"/>
    <n v="41"/>
    <n v="0"/>
    <n v="0"/>
    <n v="0"/>
    <n v="0"/>
    <n v="0"/>
    <n v="0"/>
    <n v="9372"/>
    <n v="393"/>
    <n v="0"/>
  </r>
  <r>
    <s v="Monthly-AE-March-2025.csv"/>
    <x v="9"/>
    <s v="NR3"/>
    <s v="NHS ENGLAND MIDLANDS "/>
    <x v="57"/>
    <n v="0"/>
    <n v="0"/>
    <n v="5780"/>
    <n v="0"/>
    <n v="0"/>
    <n v="287"/>
    <n v="0"/>
    <n v="0"/>
    <n v="721"/>
    <n v="0"/>
    <n v="0"/>
    <n v="0"/>
    <n v="0"/>
    <n v="0"/>
    <n v="0"/>
    <n v="0"/>
    <n v="0"/>
    <n v="0"/>
    <n v="5780"/>
    <n v="721"/>
    <n v="0"/>
  </r>
  <r>
    <s v="Monthly-AE-March-2025.csv"/>
    <x v="9"/>
    <s v="NTPAD"/>
    <s v="NHS ENGLAND SOUTH EAST "/>
    <x v="22"/>
    <n v="0"/>
    <n v="0"/>
    <n v="5679"/>
    <n v="0"/>
    <n v="0"/>
    <n v="271"/>
    <n v="0"/>
    <n v="0"/>
    <n v="146"/>
    <n v="0"/>
    <n v="0"/>
    <n v="1"/>
    <n v="0"/>
    <n v="0"/>
    <n v="0"/>
    <n v="0"/>
    <n v="0"/>
    <n v="0"/>
    <n v="5679"/>
    <n v="146"/>
    <n v="0"/>
  </r>
  <r>
    <s v="Monthly-AE-March-2025.csv"/>
    <x v="9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70"/>
    <n v="0"/>
    <n v="0"/>
    <n v="170"/>
  </r>
  <r>
    <s v="Monthly-AE-March-2025.csv"/>
    <x v="9"/>
    <s v="REF"/>
    <s v="NHS ENGLAND SOUTH WEST "/>
    <x v="60"/>
    <n v="6629"/>
    <n v="0"/>
    <n v="12512"/>
    <n v="0"/>
    <n v="0"/>
    <n v="0"/>
    <n v="3494"/>
    <n v="0"/>
    <n v="709"/>
    <n v="0"/>
    <n v="0"/>
    <n v="0"/>
    <n v="754"/>
    <n v="423"/>
    <n v="2613"/>
    <n v="0"/>
    <n v="51"/>
    <n v="1130"/>
    <n v="19141"/>
    <n v="4203"/>
    <n v="3794"/>
  </r>
  <r>
    <s v="Monthly-AE-March-2025.csv"/>
    <x v="9"/>
    <s v="RGP"/>
    <s v="NHS ENGLAND EAST OF ENGLAND "/>
    <x v="61"/>
    <n v="7416"/>
    <n v="0"/>
    <n v="1608"/>
    <n v="0"/>
    <n v="0"/>
    <n v="0"/>
    <n v="3330"/>
    <n v="0"/>
    <n v="0"/>
    <n v="0"/>
    <n v="0"/>
    <n v="0"/>
    <n v="582"/>
    <n v="457"/>
    <n v="1676"/>
    <n v="0"/>
    <n v="0"/>
    <n v="504"/>
    <n v="9024"/>
    <n v="3330"/>
    <n v="2180"/>
  </r>
  <r>
    <s v="Monthly-AE-March-2025.csv"/>
    <x v="9"/>
    <s v="RGR"/>
    <s v="NHS ENGLAND EAST OF ENGLAND "/>
    <x v="192"/>
    <n v="8165"/>
    <n v="0"/>
    <n v="798"/>
    <n v="127"/>
    <n v="0"/>
    <n v="0"/>
    <n v="1055"/>
    <n v="0"/>
    <n v="0"/>
    <n v="0"/>
    <n v="0"/>
    <n v="0"/>
    <n v="215"/>
    <n v="69"/>
    <n v="2117"/>
    <n v="0"/>
    <n v="0"/>
    <n v="300"/>
    <n v="8963"/>
    <n v="1055"/>
    <n v="2417"/>
  </r>
  <r>
    <s v="Monthly-AE-March-2025.csv"/>
    <x v="9"/>
    <s v="RJ6"/>
    <s v="NHS ENGLAND LONDON"/>
    <x v="136"/>
    <n v="13255"/>
    <n v="0"/>
    <n v="5119"/>
    <n v="0"/>
    <n v="0"/>
    <n v="0"/>
    <n v="3289"/>
    <n v="0"/>
    <n v="0"/>
    <n v="0"/>
    <n v="0"/>
    <n v="0"/>
    <n v="304"/>
    <n v="701"/>
    <n v="1214"/>
    <n v="0"/>
    <n v="0"/>
    <n v="118"/>
    <n v="18374"/>
    <n v="3289"/>
    <n v="1332"/>
  </r>
  <r>
    <s v="Monthly-AE-March-2025.csv"/>
    <x v="9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March-2025.csv"/>
    <x v="9"/>
    <s v="RL4"/>
    <s v="NHS ENGLAND MIDLANDS "/>
    <x v="85"/>
    <n v="12866"/>
    <n v="0"/>
    <n v="8567"/>
    <n v="189"/>
    <n v="0"/>
    <n v="914"/>
    <n v="3895"/>
    <n v="0"/>
    <n v="213"/>
    <n v="38"/>
    <n v="0"/>
    <n v="1"/>
    <n v="982"/>
    <n v="472"/>
    <n v="5766"/>
    <n v="0"/>
    <n v="0"/>
    <n v="1046"/>
    <n v="21433"/>
    <n v="4108"/>
    <n v="6812"/>
  </r>
  <r>
    <s v="Monthly-AE-March-2025.csv"/>
    <x v="9"/>
    <s v="RRV"/>
    <s v="NHS ENGLAND LONDON"/>
    <x v="28"/>
    <n v="13584"/>
    <n v="0"/>
    <n v="0"/>
    <n v="364"/>
    <n v="0"/>
    <n v="0"/>
    <n v="3789"/>
    <n v="0"/>
    <n v="0"/>
    <n v="0"/>
    <n v="0"/>
    <n v="0"/>
    <n v="385"/>
    <n v="80"/>
    <n v="1443"/>
    <n v="0"/>
    <n v="0"/>
    <n v="276"/>
    <n v="13584"/>
    <n v="3789"/>
    <n v="1719"/>
  </r>
  <r>
    <s v="Monthly-AE-March-2025.csv"/>
    <x v="9"/>
    <s v="RTR"/>
    <s v="NHS ENGLAND NORTH EAST AND YORKSHIRE "/>
    <x v="153"/>
    <n v="7561"/>
    <n v="0"/>
    <n v="9440"/>
    <n v="0"/>
    <n v="0"/>
    <n v="1728"/>
    <n v="3994"/>
    <n v="0"/>
    <n v="509"/>
    <n v="0"/>
    <n v="0"/>
    <n v="71"/>
    <n v="276"/>
    <n v="7"/>
    <n v="2678"/>
    <n v="0"/>
    <n v="127"/>
    <n v="2448"/>
    <n v="17001"/>
    <n v="4503"/>
    <n v="5253"/>
  </r>
  <r>
    <s v="Monthly-AE-March-2025.csv"/>
    <x v="9"/>
    <s v="RVV"/>
    <s v="NHS ENGLAND SOUTH EAST "/>
    <x v="155"/>
    <n v="12820"/>
    <n v="0"/>
    <n v="13288"/>
    <n v="0"/>
    <n v="0"/>
    <n v="0"/>
    <n v="6228"/>
    <n v="0"/>
    <n v="414"/>
    <n v="0"/>
    <n v="0"/>
    <n v="0"/>
    <n v="340"/>
    <n v="1326"/>
    <n v="2819"/>
    <n v="0"/>
    <n v="528"/>
    <n v="549"/>
    <n v="26108"/>
    <n v="6642"/>
    <n v="3896"/>
  </r>
  <r>
    <s v="Monthly-AE-March-2025.csv"/>
    <x v="9"/>
    <s v="RW1"/>
    <s v="NHS ENGLAND SOUTH EAST "/>
    <x v="200"/>
    <n v="0"/>
    <n v="0"/>
    <n v="3122"/>
    <n v="0"/>
    <n v="0"/>
    <n v="0"/>
    <n v="0"/>
    <n v="0"/>
    <n v="64"/>
    <n v="0"/>
    <n v="0"/>
    <n v="0"/>
    <n v="0"/>
    <n v="0"/>
    <n v="0"/>
    <n v="0"/>
    <n v="0"/>
    <n v="140"/>
    <n v="3122"/>
    <n v="64"/>
    <n v="140"/>
  </r>
  <r>
    <s v="Monthly-AE-March-2025.csv"/>
    <x v="9"/>
    <s v="RW4"/>
    <s v="NHS ENGLAND NORTH WEST "/>
    <x v="42"/>
    <n v="0"/>
    <n v="0"/>
    <n v="14217"/>
    <n v="0"/>
    <n v="0"/>
    <n v="0"/>
    <n v="0"/>
    <n v="0"/>
    <n v="405"/>
    <n v="0"/>
    <n v="0"/>
    <n v="0"/>
    <n v="0"/>
    <n v="0"/>
    <n v="0"/>
    <n v="0"/>
    <n v="0"/>
    <n v="44"/>
    <n v="14217"/>
    <n v="405"/>
    <n v="44"/>
  </r>
  <r>
    <s v="Monthly-AE-March-2025.csv"/>
    <x v="9"/>
    <s v="RWF"/>
    <s v="NHS ENGLAND SOUTH EAST "/>
    <x v="118"/>
    <n v="18303"/>
    <n v="0"/>
    <n v="2372"/>
    <n v="824"/>
    <n v="0"/>
    <n v="219"/>
    <n v="3116"/>
    <n v="0"/>
    <n v="26"/>
    <n v="91"/>
    <n v="0"/>
    <n v="0"/>
    <n v="793"/>
    <n v="25"/>
    <n v="5241"/>
    <n v="0"/>
    <n v="0"/>
    <n v="979"/>
    <n v="20675"/>
    <n v="3142"/>
    <n v="6220"/>
  </r>
  <r>
    <s v="Monthly-AE-March-2025.csv"/>
    <x v="9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31"/>
    <n v="0"/>
    <n v="0"/>
    <n v="131"/>
  </r>
  <r>
    <s v="Monthly-AE-March-2025.csv"/>
    <x v="9"/>
    <s v="RY2"/>
    <s v="NHS ENGLAND NORTH WEST "/>
    <x v="73"/>
    <n v="0"/>
    <n v="0"/>
    <n v="3040"/>
    <n v="0"/>
    <n v="0"/>
    <n v="170"/>
    <n v="0"/>
    <n v="0"/>
    <n v="100"/>
    <n v="0"/>
    <n v="0"/>
    <n v="6"/>
    <n v="0"/>
    <n v="0"/>
    <n v="0"/>
    <n v="0"/>
    <n v="0"/>
    <n v="0"/>
    <n v="3040"/>
    <n v="100"/>
    <n v="0"/>
  </r>
  <r>
    <s v="Monthly-AE-March-2025.csv"/>
    <x v="9"/>
    <s v="RYF"/>
    <s v="NHS ENGLAND SOUTH WEST "/>
    <x v="74"/>
    <n v="0"/>
    <n v="0"/>
    <n v="1927"/>
    <n v="0"/>
    <n v="0"/>
    <n v="12"/>
    <n v="0"/>
    <n v="0"/>
    <n v="16"/>
    <n v="0"/>
    <n v="0"/>
    <n v="0"/>
    <n v="0"/>
    <n v="0"/>
    <n v="0"/>
    <n v="0"/>
    <n v="0"/>
    <n v="0"/>
    <n v="1927"/>
    <n v="16"/>
    <n v="0"/>
  </r>
  <r>
    <s v="Monthly-AE-March-2025.csv"/>
    <x v="9"/>
    <s v="ACH01"/>
    <s v="NHS ENGLAND SOUTH EAST "/>
    <x v="50"/>
    <n v="0"/>
    <n v="0"/>
    <n v="5414"/>
    <n v="0"/>
    <n v="0"/>
    <n v="0"/>
    <n v="0"/>
    <n v="0"/>
    <n v="0"/>
    <n v="0"/>
    <n v="0"/>
    <n v="0"/>
    <n v="0"/>
    <n v="0"/>
    <n v="0"/>
    <n v="0"/>
    <n v="0"/>
    <n v="0"/>
    <n v="5414"/>
    <n v="0"/>
    <n v="0"/>
  </r>
  <r>
    <s v="Monthly-AE-March-2025.csv"/>
    <x v="9"/>
    <s v="C83023"/>
    <s v="NHS ENGLAND MIDLANDS "/>
    <x v="190"/>
    <n v="0"/>
    <n v="0"/>
    <n v="540"/>
    <n v="0"/>
    <n v="0"/>
    <n v="0"/>
    <n v="0"/>
    <n v="0"/>
    <n v="0"/>
    <n v="0"/>
    <n v="0"/>
    <n v="0"/>
    <n v="0"/>
    <n v="0"/>
    <n v="0"/>
    <n v="0"/>
    <n v="0"/>
    <n v="0"/>
    <n v="540"/>
    <n v="0"/>
    <n v="0"/>
  </r>
  <r>
    <s v="Monthly-AE-March-2025.csv"/>
    <x v="9"/>
    <s v="L83087"/>
    <s v="NHS ENGLAND SOUTH WEST "/>
    <x v="5"/>
    <n v="0"/>
    <n v="0"/>
    <n v="87"/>
    <n v="0"/>
    <n v="0"/>
    <n v="0"/>
    <n v="0"/>
    <n v="0"/>
    <n v="0"/>
    <n v="0"/>
    <n v="0"/>
    <n v="0"/>
    <n v="0"/>
    <n v="0"/>
    <n v="0"/>
    <n v="0"/>
    <n v="0"/>
    <n v="0"/>
    <n v="87"/>
    <n v="0"/>
    <n v="0"/>
  </r>
  <r>
    <s v="Monthly-AE-March-2025.csv"/>
    <x v="9"/>
    <s v="RA7"/>
    <s v="NHS ENGLAND SOUTH WEST "/>
    <x v="78"/>
    <n v="16099"/>
    <n v="2536"/>
    <n v="0"/>
    <n v="0"/>
    <n v="0"/>
    <n v="0"/>
    <n v="5748"/>
    <n v="207"/>
    <n v="0"/>
    <n v="0"/>
    <n v="0"/>
    <n v="0"/>
    <n v="1161"/>
    <n v="534"/>
    <n v="5388"/>
    <n v="5"/>
    <n v="0"/>
    <n v="1558"/>
    <n v="18635"/>
    <n v="5955"/>
    <n v="6951"/>
  </r>
  <r>
    <s v="Monthly-AE-March-2025.csv"/>
    <x v="9"/>
    <s v="RAT"/>
    <s v="NHS ENGLAND LONDON"/>
    <x v="203"/>
    <n v="0"/>
    <n v="0"/>
    <n v="2006"/>
    <n v="0"/>
    <n v="0"/>
    <n v="0"/>
    <n v="0"/>
    <n v="0"/>
    <n v="75"/>
    <n v="0"/>
    <n v="0"/>
    <n v="0"/>
    <n v="0"/>
    <n v="0"/>
    <n v="0"/>
    <n v="0"/>
    <n v="0"/>
    <n v="0"/>
    <n v="2006"/>
    <n v="75"/>
    <n v="0"/>
  </r>
  <r>
    <s v="Monthly-AE-March-2025.csv"/>
    <x v="9"/>
    <s v="RCF"/>
    <s v="NHS ENGLAND NORTH EAST AND YORKSHIRE "/>
    <x v="104"/>
    <n v="5892"/>
    <n v="232"/>
    <n v="0"/>
    <n v="541"/>
    <n v="0"/>
    <n v="0"/>
    <n v="2541"/>
    <n v="0"/>
    <n v="0"/>
    <n v="0"/>
    <n v="0"/>
    <n v="0"/>
    <n v="440"/>
    <n v="223"/>
    <n v="1521"/>
    <n v="0"/>
    <n v="0"/>
    <n v="521"/>
    <n v="6124"/>
    <n v="2541"/>
    <n v="2042"/>
  </r>
  <r>
    <s v="Monthly-AE-March-2025.csv"/>
    <x v="9"/>
    <s v="RCX"/>
    <s v="NHS ENGLAND EAST OF ENGLAND "/>
    <x v="185"/>
    <n v="6746"/>
    <n v="0"/>
    <n v="1246"/>
    <n v="0"/>
    <n v="0"/>
    <n v="0"/>
    <n v="3185"/>
    <n v="0"/>
    <n v="0"/>
    <n v="0"/>
    <n v="0"/>
    <n v="0"/>
    <n v="285"/>
    <n v="128"/>
    <n v="1909"/>
    <n v="0"/>
    <n v="0"/>
    <n v="373"/>
    <n v="7992"/>
    <n v="3185"/>
    <n v="2282"/>
  </r>
  <r>
    <s v="Monthly-AE-March-2025.csv"/>
    <x v="9"/>
    <s v="RD8"/>
    <s v="NHS ENGLAND EAST OF ENGLAND "/>
    <x v="105"/>
    <n v="8545"/>
    <n v="0"/>
    <n v="5344"/>
    <n v="706"/>
    <n v="0"/>
    <n v="144"/>
    <n v="3119"/>
    <n v="0"/>
    <n v="392"/>
    <n v="254"/>
    <n v="0"/>
    <n v="0"/>
    <n v="897"/>
    <n v="0"/>
    <n v="2260"/>
    <n v="0"/>
    <n v="0"/>
    <n v="446"/>
    <n v="13889"/>
    <n v="3511"/>
    <n v="2706"/>
  </r>
  <r>
    <s v="Monthly-AE-March-2025.csv"/>
    <x v="9"/>
    <s v="RDU"/>
    <s v="NHS ENGLAND SOUTH EAST "/>
    <x v="82"/>
    <n v="22632"/>
    <n v="945"/>
    <n v="13202"/>
    <n v="0"/>
    <n v="0"/>
    <n v="0"/>
    <n v="9616"/>
    <n v="1"/>
    <n v="306"/>
    <n v="0"/>
    <n v="0"/>
    <n v="0"/>
    <n v="1614"/>
    <n v="437"/>
    <n v="6243"/>
    <n v="0"/>
    <n v="0"/>
    <n v="120"/>
    <n v="36779"/>
    <n v="9923"/>
    <n v="6363"/>
  </r>
  <r>
    <s v="Monthly-AE-March-2025.csv"/>
    <x v="9"/>
    <s v="REP"/>
    <s v="NHS ENGLAND NORTH WEST "/>
    <x v="83"/>
    <n v="0"/>
    <n v="1520"/>
    <n v="0"/>
    <n v="0"/>
    <n v="112"/>
    <n v="0"/>
    <n v="0"/>
    <n v="176"/>
    <n v="0"/>
    <n v="0"/>
    <n v="0"/>
    <n v="0"/>
    <n v="0"/>
    <n v="0"/>
    <n v="0"/>
    <n v="118"/>
    <n v="0"/>
    <n v="14"/>
    <n v="1520"/>
    <n v="176"/>
    <n v="132"/>
  </r>
  <r>
    <s v="Monthly-AE-March-2025.csv"/>
    <x v="9"/>
    <s v="RFR"/>
    <s v="NHS ENGLAND NORTH EAST AND YORKSHIRE "/>
    <x v="45"/>
    <n v="9434"/>
    <n v="0"/>
    <n v="0"/>
    <n v="0"/>
    <n v="0"/>
    <n v="0"/>
    <n v="3256"/>
    <n v="0"/>
    <n v="0"/>
    <n v="0"/>
    <n v="0"/>
    <n v="0"/>
    <n v="649"/>
    <n v="35"/>
    <n v="1982"/>
    <n v="0"/>
    <n v="0"/>
    <n v="218"/>
    <n v="9434"/>
    <n v="3256"/>
    <n v="2200"/>
  </r>
  <r>
    <s v="Monthly-AE-March-2025.csv"/>
    <x v="9"/>
    <s v="RJE"/>
    <s v="NHS ENGLAND MIDLANDS "/>
    <x v="84"/>
    <n v="14701"/>
    <n v="541"/>
    <n v="8704"/>
    <n v="774"/>
    <n v="0"/>
    <n v="693"/>
    <n v="7899"/>
    <n v="0"/>
    <n v="683"/>
    <n v="390"/>
    <n v="0"/>
    <n v="29"/>
    <n v="1086"/>
    <n v="851"/>
    <n v="5761"/>
    <n v="0"/>
    <n v="0"/>
    <n v="2936"/>
    <n v="23946"/>
    <n v="8582"/>
    <n v="8697"/>
  </r>
  <r>
    <s v="Monthly-AE-March-2025.csv"/>
    <x v="9"/>
    <s v="RJR"/>
    <s v="NHS ENGLAND NORTH WEST "/>
    <x v="108"/>
    <n v="5250"/>
    <n v="0"/>
    <n v="2446"/>
    <n v="0"/>
    <n v="0"/>
    <n v="0"/>
    <n v="2764"/>
    <n v="0"/>
    <n v="358"/>
    <n v="0"/>
    <n v="0"/>
    <n v="0"/>
    <n v="253"/>
    <n v="650"/>
    <n v="1598"/>
    <n v="0"/>
    <n v="0"/>
    <n v="1288"/>
    <n v="7696"/>
    <n v="3122"/>
    <n v="2886"/>
  </r>
  <r>
    <s v="Monthly-AE-March-2025.csv"/>
    <x v="9"/>
    <s v="RKB"/>
    <s v="NHS ENGLAND MIDLANDS "/>
    <x v="140"/>
    <n v="12494"/>
    <n v="1602"/>
    <n v="6644"/>
    <n v="0"/>
    <n v="0"/>
    <n v="0"/>
    <n v="5333"/>
    <n v="133"/>
    <n v="297"/>
    <n v="0"/>
    <n v="0"/>
    <n v="0"/>
    <n v="96"/>
    <n v="14"/>
    <n v="1598"/>
    <n v="31"/>
    <n v="55"/>
    <n v="638"/>
    <n v="20740"/>
    <n v="5763"/>
    <n v="2322"/>
  </r>
  <r>
    <s v="Monthly-AE-March-2025.csv"/>
    <x v="9"/>
    <s v="RMC"/>
    <s v="NHS ENGLAND NORTH WEST "/>
    <x v="178"/>
    <n v="8326"/>
    <n v="0"/>
    <n v="3871"/>
    <n v="94"/>
    <n v="0"/>
    <n v="41"/>
    <n v="3310"/>
    <n v="0"/>
    <n v="130"/>
    <n v="32"/>
    <n v="0"/>
    <n v="1"/>
    <n v="555"/>
    <n v="272"/>
    <n v="2574"/>
    <n v="0"/>
    <n v="116"/>
    <n v="1023"/>
    <n v="12197"/>
    <n v="3440"/>
    <n v="3713"/>
  </r>
  <r>
    <s v="Monthly-AE-March-2025.csv"/>
    <x v="9"/>
    <s v="RMP"/>
    <s v="NHS ENGLAND NORTH WEST "/>
    <x v="143"/>
    <n v="8845"/>
    <n v="0"/>
    <n v="3037"/>
    <n v="359"/>
    <n v="0"/>
    <n v="75"/>
    <n v="3813"/>
    <n v="0"/>
    <n v="20"/>
    <n v="0"/>
    <n v="0"/>
    <n v="0"/>
    <n v="549"/>
    <n v="146"/>
    <n v="1654"/>
    <n v="0"/>
    <n v="0"/>
    <n v="253"/>
    <n v="11882"/>
    <n v="3833"/>
    <n v="1907"/>
  </r>
  <r>
    <s v="Monthly-AE-March-2025.csv"/>
    <x v="9"/>
    <s v="RP6"/>
    <s v="NHS ENGLAND LONDON"/>
    <x v="65"/>
    <n v="0"/>
    <n v="5789"/>
    <n v="0"/>
    <n v="0"/>
    <n v="0"/>
    <n v="0"/>
    <n v="0"/>
    <n v="92"/>
    <n v="0"/>
    <n v="0"/>
    <n v="0"/>
    <n v="0"/>
    <n v="0"/>
    <n v="0"/>
    <n v="0"/>
    <n v="6"/>
    <n v="0"/>
    <n v="202"/>
    <n v="5789"/>
    <n v="92"/>
    <n v="208"/>
  </r>
  <r>
    <s v="Monthly-AE-March-2025.csv"/>
    <x v="9"/>
    <s v="RPC"/>
    <s v="NHS ENGLAND SOUTH EAST "/>
    <x v="27"/>
    <n v="0"/>
    <n v="0"/>
    <n v="1400"/>
    <n v="0"/>
    <n v="0"/>
    <n v="0"/>
    <n v="0"/>
    <n v="0"/>
    <n v="6"/>
    <n v="0"/>
    <n v="0"/>
    <n v="0"/>
    <n v="0"/>
    <n v="0"/>
    <n v="0"/>
    <n v="0"/>
    <n v="3"/>
    <n v="493"/>
    <n v="1400"/>
    <n v="6"/>
    <n v="496"/>
  </r>
  <r>
    <s v="Monthly-AE-March-2025.csv"/>
    <x v="9"/>
    <s v="RR7"/>
    <s v="NHS ENGLAND NORTH EAST AND YORKSHIRE "/>
    <x v="113"/>
    <n v="5879"/>
    <n v="0"/>
    <n v="3998"/>
    <n v="24"/>
    <n v="0"/>
    <n v="2"/>
    <n v="2479"/>
    <n v="0"/>
    <n v="32"/>
    <n v="10"/>
    <n v="0"/>
    <n v="0"/>
    <n v="837"/>
    <n v="2"/>
    <n v="1598"/>
    <n v="0"/>
    <n v="0"/>
    <n v="52"/>
    <n v="9877"/>
    <n v="2511"/>
    <n v="1650"/>
  </r>
  <r>
    <s v="Monthly-AE-March-2025.csv"/>
    <x v="9"/>
    <s v="RTG"/>
    <s v="NHS ENGLAND MIDLANDS "/>
    <x v="88"/>
    <n v="19603"/>
    <n v="0"/>
    <n v="9942"/>
    <n v="1762"/>
    <n v="0"/>
    <n v="36"/>
    <n v="8775"/>
    <n v="0"/>
    <n v="3"/>
    <n v="414"/>
    <n v="0"/>
    <n v="0"/>
    <n v="1047"/>
    <n v="704"/>
    <n v="4191"/>
    <n v="0"/>
    <n v="3"/>
    <n v="1939"/>
    <n v="29545"/>
    <n v="8778"/>
    <n v="6133"/>
  </r>
  <r>
    <s v="Monthly-AE-March-2025.csv"/>
    <x v="9"/>
    <s v="RWE"/>
    <s v="NHS ENGLAND MIDLANDS "/>
    <x v="117"/>
    <n v="22642"/>
    <n v="2150"/>
    <n v="0"/>
    <n v="0"/>
    <n v="0"/>
    <n v="0"/>
    <n v="9943"/>
    <n v="237"/>
    <n v="0"/>
    <n v="0"/>
    <n v="0"/>
    <n v="0"/>
    <n v="1607"/>
    <n v="901"/>
    <n v="6467"/>
    <n v="3"/>
    <n v="0"/>
    <n v="3646"/>
    <n v="24792"/>
    <n v="10180"/>
    <n v="10116"/>
  </r>
  <r>
    <s v="Monthly-AE-March-2025.csv"/>
    <x v="9"/>
    <s v="RWG"/>
    <s v="NHS ENGLAND EAST OF ENGLAND "/>
    <x v="47"/>
    <n v="8729"/>
    <n v="0"/>
    <n v="7623"/>
    <n v="0"/>
    <n v="0"/>
    <n v="837"/>
    <n v="2928"/>
    <n v="0"/>
    <n v="187"/>
    <n v="0"/>
    <n v="0"/>
    <n v="0"/>
    <n v="819"/>
    <n v="28"/>
    <n v="4279"/>
    <n v="0"/>
    <n v="0"/>
    <n v="619"/>
    <n v="16352"/>
    <n v="3115"/>
    <n v="4898"/>
  </r>
  <r>
    <s v="Monthly-AE-March-2025.csv"/>
    <x v="9"/>
    <s v="RWW"/>
    <s v="NHS ENGLAND NORTH WEST "/>
    <x v="159"/>
    <n v="7025"/>
    <n v="0"/>
    <n v="3290"/>
    <n v="247"/>
    <n v="0"/>
    <n v="61"/>
    <n v="3560"/>
    <n v="0"/>
    <n v="158"/>
    <n v="95"/>
    <n v="0"/>
    <n v="2"/>
    <n v="728"/>
    <n v="680"/>
    <n v="1807"/>
    <n v="0"/>
    <n v="0"/>
    <n v="131"/>
    <n v="10315"/>
    <n v="3718"/>
    <n v="1938"/>
  </r>
  <r>
    <s v="Monthly-AE-March-2025.csv"/>
    <x v="9"/>
    <s v="RX1"/>
    <s v="NHS ENGLAND MIDLANDS "/>
    <x v="69"/>
    <n v="13574"/>
    <n v="1817"/>
    <n v="567"/>
    <n v="0"/>
    <n v="0"/>
    <n v="0"/>
    <n v="7275"/>
    <n v="82"/>
    <n v="141"/>
    <n v="0"/>
    <n v="0"/>
    <n v="0"/>
    <n v="210"/>
    <n v="533"/>
    <n v="4380"/>
    <n v="184"/>
    <n v="0"/>
    <n v="4583"/>
    <n v="15958"/>
    <n v="7498"/>
    <n v="9147"/>
  </r>
  <r>
    <s v="Monthly-AE-March-2025.csv"/>
    <x v="9"/>
    <s v="RXQ"/>
    <s v="NHS ENGLAND SOUTH EAST "/>
    <x v="11"/>
    <n v="11141"/>
    <n v="1232"/>
    <n v="3618"/>
    <n v="5"/>
    <n v="0"/>
    <n v="4"/>
    <n v="3293"/>
    <n v="0"/>
    <n v="89"/>
    <n v="0"/>
    <n v="0"/>
    <n v="0"/>
    <n v="245"/>
    <n v="260"/>
    <n v="4044"/>
    <n v="677"/>
    <n v="0"/>
    <n v="2216"/>
    <n v="15991"/>
    <n v="3382"/>
    <n v="6937"/>
  </r>
  <r>
    <s v="Monthly-AE-March-2025.csv"/>
    <x v="9"/>
    <s v="RY4"/>
    <s v="NHS ENGLAND EAST OF ENGLAND "/>
    <x v="93"/>
    <n v="0"/>
    <n v="0"/>
    <n v="1223"/>
    <n v="0"/>
    <n v="0"/>
    <n v="0"/>
    <n v="0"/>
    <n v="0"/>
    <n v="38"/>
    <n v="0"/>
    <n v="0"/>
    <n v="0"/>
    <n v="0"/>
    <n v="0"/>
    <n v="0"/>
    <n v="0"/>
    <n v="0"/>
    <n v="0"/>
    <n v="1223"/>
    <n v="38"/>
    <n v="0"/>
  </r>
  <r>
    <s v="Monthly-AE-March-2025.csv"/>
    <x v="9"/>
    <s v="RYR"/>
    <s v="NHS ENGLAND SOUTH EAST "/>
    <x v="122"/>
    <n v="26658"/>
    <n v="1483"/>
    <n v="2059"/>
    <n v="1774"/>
    <n v="0"/>
    <n v="645"/>
    <n v="10030"/>
    <n v="39"/>
    <n v="231"/>
    <n v="476"/>
    <n v="0"/>
    <n v="4"/>
    <n v="817"/>
    <n v="912"/>
    <n v="8684"/>
    <n v="23"/>
    <n v="89"/>
    <n v="1565"/>
    <n v="30200"/>
    <n v="10300"/>
    <n v="10361"/>
  </r>
  <r>
    <s v="Monthly-AE-March-2025.csv"/>
    <x v="9"/>
    <s v="AD913"/>
    <s v="NHS ENGLAND LONDON"/>
    <x v="3"/>
    <n v="0"/>
    <n v="0"/>
    <n v="3752"/>
    <n v="0"/>
    <n v="0"/>
    <n v="337"/>
    <n v="0"/>
    <n v="0"/>
    <n v="11"/>
    <n v="0"/>
    <n v="0"/>
    <n v="0"/>
    <n v="0"/>
    <n v="0"/>
    <n v="0"/>
    <n v="0"/>
    <n v="0"/>
    <n v="0"/>
    <n v="3752"/>
    <n v="11"/>
    <n v="0"/>
  </r>
  <r>
    <s v="Monthly-AE-March-2025.csv"/>
    <x v="9"/>
    <s v="ARN03"/>
    <s v="NHS ENGLAND NORTH EAST AND YORKSHIRE "/>
    <x v="164"/>
    <n v="0"/>
    <n v="0"/>
    <n v="2260"/>
    <n v="0"/>
    <n v="0"/>
    <n v="192"/>
    <n v="0"/>
    <n v="0"/>
    <n v="9"/>
    <n v="0"/>
    <n v="0"/>
    <n v="0"/>
    <n v="0"/>
    <n v="0"/>
    <n v="0"/>
    <n v="0"/>
    <n v="0"/>
    <n v="0"/>
    <n v="2260"/>
    <n v="9"/>
    <n v="0"/>
  </r>
  <r>
    <s v="Monthly-AE-March-2025.csv"/>
    <x v="9"/>
    <s v="NNF09"/>
    <s v="NHS ENGLAND NORTH EAST AND YORKSHIRE "/>
    <x v="124"/>
    <n v="0"/>
    <n v="0"/>
    <n v="3661"/>
    <n v="0"/>
    <n v="0"/>
    <n v="0"/>
    <n v="0"/>
    <n v="0"/>
    <n v="575"/>
    <n v="0"/>
    <n v="0"/>
    <n v="0"/>
    <n v="0"/>
    <n v="0"/>
    <n v="0"/>
    <n v="0"/>
    <n v="0"/>
    <n v="0"/>
    <n v="3661"/>
    <n v="575"/>
    <n v="0"/>
  </r>
  <r>
    <s v="Monthly-AE-March-2025.csv"/>
    <x v="9"/>
    <s v="NNF16"/>
    <s v="NHS ENGLAND NORTH EAST AND YORKSHIRE "/>
    <x v="198"/>
    <n v="0"/>
    <n v="0"/>
    <n v="1464"/>
    <n v="0"/>
    <n v="0"/>
    <n v="0"/>
    <n v="0"/>
    <n v="0"/>
    <n v="63"/>
    <n v="0"/>
    <n v="0"/>
    <n v="0"/>
    <n v="0"/>
    <n v="0"/>
    <n v="0"/>
    <n v="0"/>
    <n v="0"/>
    <n v="0"/>
    <n v="1464"/>
    <n v="63"/>
    <n v="0"/>
  </r>
  <r>
    <s v="Monthly-AE-March-2025.csv"/>
    <x v="9"/>
    <s v="NNF94"/>
    <s v="NHS ENGLAND NORTH EAST AND YORKSHIRE "/>
    <x v="125"/>
    <n v="0"/>
    <n v="0"/>
    <n v="2943"/>
    <n v="0"/>
    <n v="0"/>
    <n v="0"/>
    <n v="0"/>
    <n v="0"/>
    <n v="287"/>
    <n v="0"/>
    <n v="0"/>
    <n v="0"/>
    <n v="0"/>
    <n v="0"/>
    <n v="0"/>
    <n v="0"/>
    <n v="0"/>
    <n v="0"/>
    <n v="2943"/>
    <n v="287"/>
    <n v="0"/>
  </r>
  <r>
    <s v="Monthly-AE-March-2025.csv"/>
    <x v="9"/>
    <s v="NNFA7"/>
    <s v="NHS ENGLAND NORTH EAST AND YORKSHIRE "/>
    <x v="126"/>
    <n v="0"/>
    <n v="0"/>
    <n v="1680"/>
    <n v="0"/>
    <n v="0"/>
    <n v="0"/>
    <n v="0"/>
    <n v="0"/>
    <n v="20"/>
    <n v="0"/>
    <n v="0"/>
    <n v="0"/>
    <n v="0"/>
    <n v="0"/>
    <n v="0"/>
    <n v="0"/>
    <n v="0"/>
    <n v="0"/>
    <n v="1680"/>
    <n v="20"/>
    <n v="0"/>
  </r>
  <r>
    <s v="Monthly-AE-March-2025.csv"/>
    <x v="9"/>
    <s v="NNJ07"/>
    <s v="NHS ENGLAND MIDLANDS "/>
    <x v="52"/>
    <n v="0"/>
    <n v="0"/>
    <n v="5526"/>
    <n v="0"/>
    <n v="0"/>
    <n v="2646"/>
    <n v="0"/>
    <n v="0"/>
    <n v="24"/>
    <n v="0"/>
    <n v="0"/>
    <n v="4"/>
    <n v="0"/>
    <n v="0"/>
    <n v="0"/>
    <n v="0"/>
    <n v="0"/>
    <n v="0"/>
    <n v="5526"/>
    <n v="24"/>
    <n v="0"/>
  </r>
  <r>
    <s v="Monthly-AE-March-2025.csv"/>
    <x v="9"/>
    <s v="NNJ0H"/>
    <s v="NHS ENGLAND MIDLANDS "/>
    <x v="53"/>
    <n v="0"/>
    <n v="0"/>
    <n v="204"/>
    <n v="0"/>
    <n v="0"/>
    <n v="2208"/>
    <n v="0"/>
    <n v="0"/>
    <n v="0"/>
    <n v="0"/>
    <n v="0"/>
    <n v="0"/>
    <n v="0"/>
    <n v="0"/>
    <n v="0"/>
    <n v="0"/>
    <n v="0"/>
    <n v="0"/>
    <n v="204"/>
    <n v="0"/>
    <n v="0"/>
  </r>
  <r>
    <s v="Monthly-AE-March-2025.csv"/>
    <x v="9"/>
    <s v="NNJ12"/>
    <s v="NHS ENGLAND MIDLANDS "/>
    <x v="54"/>
    <n v="0"/>
    <n v="0"/>
    <n v="112"/>
    <n v="0"/>
    <n v="0"/>
    <n v="469"/>
    <n v="0"/>
    <n v="0"/>
    <n v="0"/>
    <n v="0"/>
    <n v="0"/>
    <n v="0"/>
    <n v="0"/>
    <n v="0"/>
    <n v="0"/>
    <n v="0"/>
    <n v="0"/>
    <n v="0"/>
    <n v="112"/>
    <n v="0"/>
    <n v="0"/>
  </r>
  <r>
    <s v="Monthly-AE-March-2025.csv"/>
    <x v="9"/>
    <s v="NNJ13"/>
    <s v="NHS ENGLAND MIDLANDS "/>
    <x v="55"/>
    <n v="0"/>
    <n v="0"/>
    <n v="53"/>
    <n v="0"/>
    <n v="0"/>
    <n v="398"/>
    <n v="0"/>
    <n v="0"/>
    <n v="0"/>
    <n v="0"/>
    <n v="0"/>
    <n v="0"/>
    <n v="0"/>
    <n v="0"/>
    <n v="0"/>
    <n v="0"/>
    <n v="0"/>
    <n v="0"/>
    <n v="53"/>
    <n v="0"/>
    <n v="0"/>
  </r>
  <r>
    <s v="Monthly-AE-March-2025.csv"/>
    <x v="9"/>
    <s v="NNJ14"/>
    <s v="NHS ENGLAND MIDLANDS "/>
    <x v="191"/>
    <n v="0"/>
    <n v="0"/>
    <n v="512"/>
    <n v="0"/>
    <n v="0"/>
    <n v="3338"/>
    <n v="0"/>
    <n v="0"/>
    <n v="0"/>
    <n v="0"/>
    <n v="0"/>
    <n v="0"/>
    <n v="0"/>
    <n v="0"/>
    <n v="0"/>
    <n v="0"/>
    <n v="0"/>
    <n v="0"/>
    <n v="512"/>
    <n v="0"/>
    <n v="0"/>
  </r>
  <r>
    <s v="Monthly-AE-March-2025.csv"/>
    <x v="9"/>
    <s v="NNJ15"/>
    <s v="NHS ENGLAND MIDLANDS "/>
    <x v="56"/>
    <n v="0"/>
    <n v="0"/>
    <n v="52"/>
    <n v="0"/>
    <n v="0"/>
    <n v="354"/>
    <n v="0"/>
    <n v="0"/>
    <n v="0"/>
    <n v="0"/>
    <n v="0"/>
    <n v="0"/>
    <n v="0"/>
    <n v="0"/>
    <n v="0"/>
    <n v="0"/>
    <n v="0"/>
    <n v="0"/>
    <n v="52"/>
    <n v="0"/>
    <n v="0"/>
  </r>
  <r>
    <s v="Monthly-AE-March-2025.csv"/>
    <x v="9"/>
    <s v="NNJ"/>
    <s v="NHS ENGLAND MIDLANDS "/>
    <x v="43"/>
    <n v="0"/>
    <n v="0"/>
    <n v="2055"/>
    <n v="0"/>
    <n v="0"/>
    <n v="0"/>
    <n v="0"/>
    <n v="0"/>
    <n v="0"/>
    <n v="0"/>
    <n v="0"/>
    <n v="0"/>
    <n v="0"/>
    <n v="0"/>
    <n v="0"/>
    <n v="0"/>
    <n v="0"/>
    <n v="0"/>
    <n v="2055"/>
    <n v="0"/>
    <n v="0"/>
  </r>
  <r>
    <s v="Monthly-AE-March-2025.csv"/>
    <x v="9"/>
    <s v="R0A"/>
    <s v="NHS ENGLAND NORTH WEST "/>
    <x v="181"/>
    <n v="25292"/>
    <n v="3094"/>
    <n v="11779"/>
    <n v="3692"/>
    <n v="448"/>
    <n v="1059"/>
    <n v="9920"/>
    <n v="129"/>
    <n v="496"/>
    <n v="1196"/>
    <n v="25"/>
    <n v="69"/>
    <n v="2871"/>
    <n v="101"/>
    <n v="5886"/>
    <n v="148"/>
    <n v="165"/>
    <n v="429"/>
    <n v="40165"/>
    <n v="10545"/>
    <n v="6628"/>
  </r>
  <r>
    <s v="Monthly-AE-March-2025.csv"/>
    <x v="9"/>
    <s v="R0D"/>
    <s v="NHS ENGLAND SOUTH WEST "/>
    <x v="77"/>
    <n v="13702"/>
    <n v="0"/>
    <n v="5527"/>
    <n v="0"/>
    <n v="0"/>
    <n v="0"/>
    <n v="5364"/>
    <n v="0"/>
    <n v="0"/>
    <n v="0"/>
    <n v="0"/>
    <n v="0"/>
    <n v="1086"/>
    <n v="288"/>
    <n v="4209"/>
    <n v="4"/>
    <n v="0"/>
    <n v="2508"/>
    <n v="19229"/>
    <n v="5364"/>
    <n v="6721"/>
  </r>
  <r>
    <s v="Monthly-AE-March-2025.csv"/>
    <x v="9"/>
    <s v="RA2"/>
    <s v="NHS ENGLAND SOUTH EAST "/>
    <x v="97"/>
    <n v="6924"/>
    <n v="0"/>
    <n v="1650"/>
    <n v="856"/>
    <n v="0"/>
    <n v="12"/>
    <n v="2088"/>
    <n v="0"/>
    <n v="1"/>
    <n v="192"/>
    <n v="0"/>
    <n v="0"/>
    <n v="267"/>
    <n v="2"/>
    <n v="2583"/>
    <n v="0"/>
    <n v="0"/>
    <n v="1108"/>
    <n v="8574"/>
    <n v="2089"/>
    <n v="3691"/>
  </r>
  <r>
    <s v="Monthly-AE-March-2025.csv"/>
    <x v="9"/>
    <s v="RAJ"/>
    <s v="NHS ENGLAND EAST OF ENGLAND "/>
    <x v="98"/>
    <n v="31792"/>
    <n v="0"/>
    <n v="3961"/>
    <n v="13"/>
    <n v="0"/>
    <n v="5"/>
    <n v="11578"/>
    <n v="0"/>
    <n v="311"/>
    <n v="4"/>
    <n v="0"/>
    <n v="0"/>
    <n v="2555"/>
    <n v="627"/>
    <n v="8531"/>
    <n v="0"/>
    <n v="174"/>
    <n v="1285"/>
    <n v="35753"/>
    <n v="11889"/>
    <n v="9990"/>
  </r>
  <r>
    <s v="Monthly-AE-March-2025.csv"/>
    <x v="9"/>
    <s v="RBD"/>
    <s v="NHS ENGLAND SOUTH WEST "/>
    <x v="101"/>
    <n v="4111"/>
    <n v="0"/>
    <n v="0"/>
    <n v="403"/>
    <n v="0"/>
    <n v="4529"/>
    <n v="1328"/>
    <n v="0"/>
    <n v="0"/>
    <n v="79"/>
    <n v="0"/>
    <n v="9"/>
    <n v="182"/>
    <n v="66"/>
    <n v="1881"/>
    <n v="0"/>
    <n v="0"/>
    <n v="610"/>
    <n v="4111"/>
    <n v="1328"/>
    <n v="2491"/>
  </r>
  <r>
    <s v="Monthly-AE-March-2025.csv"/>
    <x v="9"/>
    <s v="RBK"/>
    <s v="NHS ENGLAND MIDLANDS "/>
    <x v="102"/>
    <n v="9286"/>
    <n v="0"/>
    <n v="4564"/>
    <n v="53"/>
    <n v="0"/>
    <n v="147"/>
    <n v="3339"/>
    <n v="0"/>
    <n v="114"/>
    <n v="17"/>
    <n v="0"/>
    <n v="0"/>
    <n v="957"/>
    <n v="312"/>
    <n v="3856"/>
    <n v="0"/>
    <n v="0"/>
    <n v="817"/>
    <n v="13850"/>
    <n v="3453"/>
    <n v="4673"/>
  </r>
  <r>
    <s v="Monthly-AE-March-2025.csv"/>
    <x v="9"/>
    <s v="RCU"/>
    <s v="NHS ENGLAND NORTH EAST AND YORKSHIRE "/>
    <x v="81"/>
    <n v="4859"/>
    <n v="0"/>
    <n v="425"/>
    <n v="322"/>
    <n v="0"/>
    <n v="24"/>
    <n v="499"/>
    <n v="0"/>
    <n v="0"/>
    <n v="32"/>
    <n v="0"/>
    <n v="0"/>
    <n v="7"/>
    <n v="0"/>
    <n v="1106"/>
    <n v="0"/>
    <n v="0"/>
    <n v="75"/>
    <n v="5284"/>
    <n v="499"/>
    <n v="1181"/>
  </r>
  <r>
    <s v="Monthly-AE-March-2025.csv"/>
    <x v="9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82"/>
    <n v="0"/>
    <n v="0"/>
    <n v="182"/>
  </r>
  <r>
    <s v="Monthly-AE-March-2025.csv"/>
    <x v="9"/>
    <s v="RH5"/>
    <s v="NHS ENGLAND SOUTH WEST "/>
    <x v="175"/>
    <n v="13097"/>
    <n v="0"/>
    <n v="9956"/>
    <n v="0"/>
    <n v="0"/>
    <n v="0"/>
    <n v="6180"/>
    <n v="0"/>
    <n v="229"/>
    <n v="0"/>
    <n v="0"/>
    <n v="0"/>
    <n v="422"/>
    <n v="86"/>
    <n v="3118"/>
    <n v="0"/>
    <n v="0"/>
    <n v="1840"/>
    <n v="23053"/>
    <n v="6409"/>
    <n v="4958"/>
  </r>
  <r>
    <s v="Monthly-AE-March-2025.csv"/>
    <x v="9"/>
    <s v="RHQ"/>
    <s v="NHS ENGLAND NORTH EAST AND YORKSHIRE "/>
    <x v="168"/>
    <n v="9031"/>
    <n v="1210"/>
    <n v="7023"/>
    <n v="423"/>
    <n v="0"/>
    <n v="1322"/>
    <n v="4657"/>
    <n v="0"/>
    <n v="247"/>
    <n v="190"/>
    <n v="0"/>
    <n v="19"/>
    <n v="1002"/>
    <n v="5"/>
    <n v="3814"/>
    <n v="0"/>
    <n v="0"/>
    <n v="3186"/>
    <n v="17264"/>
    <n v="4904"/>
    <n v="7000"/>
  </r>
  <r>
    <s v="Monthly-AE-March-2025.csv"/>
    <x v="9"/>
    <s v="RJC"/>
    <s v="NHS ENGLAND MIDLANDS "/>
    <x v="138"/>
    <n v="8483"/>
    <n v="0"/>
    <n v="378"/>
    <n v="0"/>
    <n v="0"/>
    <n v="0"/>
    <n v="2732"/>
    <n v="0"/>
    <n v="0"/>
    <n v="0"/>
    <n v="0"/>
    <n v="0"/>
    <n v="474"/>
    <n v="47"/>
    <n v="2303"/>
    <n v="0"/>
    <n v="0"/>
    <n v="877"/>
    <n v="8861"/>
    <n v="2732"/>
    <n v="3180"/>
  </r>
  <r>
    <s v="Monthly-AE-March-2025.csv"/>
    <x v="9"/>
    <s v="RJL"/>
    <s v="NHS ENGLAND NORTH EAST AND YORKSHIRE "/>
    <x v="188"/>
    <n v="9197"/>
    <n v="0"/>
    <n v="7423"/>
    <n v="0"/>
    <n v="0"/>
    <n v="355"/>
    <n v="4766"/>
    <n v="0"/>
    <n v="66"/>
    <n v="0"/>
    <n v="0"/>
    <n v="4"/>
    <n v="676"/>
    <n v="653"/>
    <n v="5717"/>
    <n v="0"/>
    <n v="0"/>
    <n v="498"/>
    <n v="16620"/>
    <n v="4832"/>
    <n v="6215"/>
  </r>
  <r>
    <s v="Monthly-AE-March-2025.csv"/>
    <x v="9"/>
    <s v="RKE"/>
    <s v="NHS ENGLAND LONDON"/>
    <x v="170"/>
    <n v="9282"/>
    <n v="0"/>
    <n v="0"/>
    <n v="0"/>
    <n v="0"/>
    <n v="0"/>
    <n v="2600"/>
    <n v="0"/>
    <n v="0"/>
    <n v="0"/>
    <n v="0"/>
    <n v="0"/>
    <n v="268"/>
    <n v="71"/>
    <n v="1364"/>
    <n v="0"/>
    <n v="0"/>
    <n v="39"/>
    <n v="9282"/>
    <n v="2600"/>
    <n v="1403"/>
  </r>
  <r>
    <s v="Monthly-AE-March-2025.csv"/>
    <x v="9"/>
    <s v="RN3"/>
    <s v="NHS ENGLAND SOUTH WEST "/>
    <x v="179"/>
    <n v="5662"/>
    <n v="0"/>
    <n v="5652"/>
    <n v="0"/>
    <n v="0"/>
    <n v="0"/>
    <n v="2928"/>
    <n v="0"/>
    <n v="458"/>
    <n v="0"/>
    <n v="0"/>
    <n v="0"/>
    <n v="547"/>
    <n v="323"/>
    <n v="2450"/>
    <n v="0"/>
    <n v="0"/>
    <n v="1391"/>
    <n v="11314"/>
    <n v="3386"/>
    <n v="3841"/>
  </r>
  <r>
    <s v="Monthly-AE-March-2025.csv"/>
    <x v="9"/>
    <s v="RNA"/>
    <s v="NHS ENGLAND MIDLANDS "/>
    <x v="63"/>
    <n v="10115"/>
    <n v="0"/>
    <n v="4514"/>
    <n v="0"/>
    <n v="0"/>
    <n v="708"/>
    <n v="2893"/>
    <n v="0"/>
    <n v="99"/>
    <n v="0"/>
    <n v="0"/>
    <n v="0"/>
    <n v="1960"/>
    <n v="112"/>
    <n v="3716"/>
    <n v="0"/>
    <n v="0"/>
    <n v="2467"/>
    <n v="14629"/>
    <n v="2992"/>
    <n v="6183"/>
  </r>
  <r>
    <s v="Monthly-AE-March-2025.csv"/>
    <x v="9"/>
    <s v="RNN"/>
    <s v="NHS ENGLAND NORTH EAST AND YORKSHIRE "/>
    <x v="111"/>
    <n v="8917"/>
    <n v="0"/>
    <n v="1932"/>
    <n v="320"/>
    <n v="0"/>
    <n v="25"/>
    <n v="3886"/>
    <n v="0"/>
    <n v="25"/>
    <n v="81"/>
    <n v="0"/>
    <n v="0"/>
    <n v="589"/>
    <n v="482"/>
    <n v="2440"/>
    <n v="0"/>
    <n v="0"/>
    <n v="735"/>
    <n v="10849"/>
    <n v="3911"/>
    <n v="3175"/>
  </r>
  <r>
    <s v="Monthly-AE-March-2025.csv"/>
    <x v="9"/>
    <s v="RNQ"/>
    <s v="NHS ENGLAND MIDLANDS "/>
    <x v="64"/>
    <n v="10262"/>
    <n v="0"/>
    <n v="8943"/>
    <n v="342"/>
    <n v="0"/>
    <n v="0"/>
    <n v="3696"/>
    <n v="0"/>
    <n v="174"/>
    <n v="0"/>
    <n v="0"/>
    <n v="0"/>
    <n v="413"/>
    <n v="891"/>
    <n v="1799"/>
    <n v="0"/>
    <n v="0"/>
    <n v="294"/>
    <n v="19205"/>
    <n v="3870"/>
    <n v="2093"/>
  </r>
  <r>
    <s v="Monthly-AE-March-2025.csv"/>
    <x v="9"/>
    <s v="RNS"/>
    <s v="NHS ENGLAND MIDLANDS "/>
    <x v="41"/>
    <n v="9114"/>
    <n v="526"/>
    <n v="2305"/>
    <n v="1356"/>
    <n v="1"/>
    <n v="298"/>
    <n v="3851"/>
    <n v="15"/>
    <n v="235"/>
    <n v="521"/>
    <n v="0"/>
    <n v="33"/>
    <n v="662"/>
    <n v="674"/>
    <n v="2348"/>
    <n v="0"/>
    <n v="0"/>
    <n v="891"/>
    <n v="11945"/>
    <n v="4101"/>
    <n v="3239"/>
  </r>
  <r>
    <s v="Monthly-AE-March-2025.csv"/>
    <x v="9"/>
    <s v="RNZ"/>
    <s v="NHS ENGLAND SOUTH WEST "/>
    <x v="144"/>
    <n v="4750"/>
    <n v="312"/>
    <n v="1873"/>
    <n v="155"/>
    <n v="0"/>
    <n v="0"/>
    <n v="2002"/>
    <n v="0"/>
    <n v="0"/>
    <n v="55"/>
    <n v="0"/>
    <n v="0"/>
    <n v="467"/>
    <n v="43"/>
    <n v="1242"/>
    <n v="0"/>
    <n v="0"/>
    <n v="1090"/>
    <n v="6935"/>
    <n v="2002"/>
    <n v="2332"/>
  </r>
  <r>
    <s v="Monthly-AE-March-2025.csv"/>
    <x v="9"/>
    <s v="RQ3"/>
    <s v="NHS ENGLAND MIDLANDS "/>
    <x v="189"/>
    <n v="5330"/>
    <n v="0"/>
    <n v="0"/>
    <n v="0"/>
    <n v="0"/>
    <n v="0"/>
    <n v="656"/>
    <n v="0"/>
    <n v="0"/>
    <n v="0"/>
    <n v="0"/>
    <n v="0"/>
    <n v="0"/>
    <n v="7"/>
    <n v="1091"/>
    <n v="0"/>
    <n v="0"/>
    <n v="151"/>
    <n v="5330"/>
    <n v="656"/>
    <n v="1242"/>
  </r>
  <r>
    <s v="Monthly-AE-March-2025.csv"/>
    <x v="9"/>
    <s v="RR8"/>
    <s v="NHS ENGLAND NORTH EAST AND YORKSHIRE "/>
    <x v="149"/>
    <n v="18011"/>
    <n v="741"/>
    <n v="12762"/>
    <n v="12"/>
    <n v="0"/>
    <n v="60"/>
    <n v="6490"/>
    <n v="0"/>
    <n v="51"/>
    <n v="4"/>
    <n v="0"/>
    <n v="0"/>
    <n v="1716"/>
    <n v="299"/>
    <n v="3721"/>
    <n v="0"/>
    <n v="0"/>
    <n v="1180"/>
    <n v="31514"/>
    <n v="6541"/>
    <n v="4901"/>
  </r>
  <r>
    <s v="Monthly-AE-March-2025.csv"/>
    <x v="9"/>
    <s v="RRK"/>
    <s v="NHS ENGLAND MIDLANDS "/>
    <x v="87"/>
    <n v="34819"/>
    <n v="357"/>
    <n v="1914"/>
    <n v="0"/>
    <n v="0"/>
    <n v="212"/>
    <n v="13817"/>
    <n v="0"/>
    <n v="70"/>
    <n v="0"/>
    <n v="0"/>
    <n v="4"/>
    <n v="2859"/>
    <n v="1690"/>
    <n v="10425"/>
    <n v="0"/>
    <n v="0"/>
    <n v="7034"/>
    <n v="37090"/>
    <n v="13887"/>
    <n v="17459"/>
  </r>
  <r>
    <s v="Monthly-AE-March-2025.csv"/>
    <x v="9"/>
    <s v="RTF"/>
    <s v="NHS ENGLAND NORTH EAST AND YORKSHIRE "/>
    <x v="152"/>
    <n v="10277"/>
    <n v="0"/>
    <n v="13291"/>
    <n v="0"/>
    <n v="0"/>
    <n v="0"/>
    <n v="2532"/>
    <n v="0"/>
    <n v="6"/>
    <n v="0"/>
    <n v="0"/>
    <n v="0"/>
    <n v="35"/>
    <n v="0"/>
    <n v="4278"/>
    <n v="0"/>
    <n v="18"/>
    <n v="473"/>
    <n v="23568"/>
    <n v="2538"/>
    <n v="4769"/>
  </r>
  <r>
    <s v="Monthly-AE-March-2025.csv"/>
    <x v="9"/>
    <s v="RTH"/>
    <s v="NHS ENGLAND SOUTH EAST "/>
    <x v="196"/>
    <n v="12850"/>
    <n v="1830"/>
    <n v="2085"/>
    <n v="1708"/>
    <n v="0"/>
    <n v="114"/>
    <n v="5248"/>
    <n v="0"/>
    <n v="7"/>
    <n v="607"/>
    <n v="0"/>
    <n v="3"/>
    <n v="768"/>
    <n v="3"/>
    <n v="4670"/>
    <n v="109"/>
    <n v="10"/>
    <n v="4539"/>
    <n v="16765"/>
    <n v="5255"/>
    <n v="9328"/>
  </r>
  <r>
    <s v="Monthly-AE-March-2025.csv"/>
    <x v="9"/>
    <s v="RTX"/>
    <s v="NHS ENGLAND NORTH WEST "/>
    <x v="172"/>
    <n v="9464"/>
    <n v="0"/>
    <n v="2828"/>
    <n v="156"/>
    <n v="0"/>
    <n v="1709"/>
    <n v="3798"/>
    <n v="0"/>
    <n v="81"/>
    <n v="14"/>
    <n v="0"/>
    <n v="47"/>
    <n v="735"/>
    <n v="544"/>
    <n v="3127"/>
    <n v="0"/>
    <n v="28"/>
    <n v="1062"/>
    <n v="12292"/>
    <n v="3879"/>
    <n v="4217"/>
  </r>
  <r>
    <s v="Monthly-AE-March-2025.csv"/>
    <x v="9"/>
    <s v="RVW"/>
    <s v="NHS ENGLAND NORTH EAST AND YORKSHIRE "/>
    <x v="90"/>
    <n v="5014"/>
    <n v="0"/>
    <n v="11944"/>
    <n v="0"/>
    <n v="0"/>
    <n v="0"/>
    <n v="2394"/>
    <n v="0"/>
    <n v="47"/>
    <n v="0"/>
    <n v="0"/>
    <n v="0"/>
    <n v="164"/>
    <n v="8"/>
    <n v="1715"/>
    <n v="0"/>
    <n v="566"/>
    <n v="2543"/>
    <n v="16958"/>
    <n v="2441"/>
    <n v="4824"/>
  </r>
  <r>
    <s v="Monthly-AE-March-2025.csv"/>
    <x v="9"/>
    <s v="RWH"/>
    <s v="NHS ENGLAND EAST OF ENGLAND "/>
    <x v="157"/>
    <n v="9225"/>
    <n v="0"/>
    <n v="8769"/>
    <n v="0"/>
    <n v="0"/>
    <n v="0"/>
    <n v="4607"/>
    <n v="0"/>
    <n v="109"/>
    <n v="0"/>
    <n v="0"/>
    <n v="0"/>
    <n v="237"/>
    <n v="170"/>
    <n v="2849"/>
    <n v="0"/>
    <n v="3"/>
    <n v="228"/>
    <n v="17994"/>
    <n v="4716"/>
    <n v="3080"/>
  </r>
  <r>
    <s v="Monthly-AE-March-2025.csv"/>
    <x v="9"/>
    <s v="RXK"/>
    <s v="NHS ENGLAND MIDLANDS "/>
    <x v="119"/>
    <n v="11411"/>
    <n v="1150"/>
    <n v="8616"/>
    <n v="496"/>
    <n v="0"/>
    <n v="0"/>
    <n v="4749"/>
    <n v="133"/>
    <n v="328"/>
    <n v="206"/>
    <n v="0"/>
    <n v="0"/>
    <n v="819"/>
    <n v="231"/>
    <n v="2710"/>
    <n v="0"/>
    <n v="0"/>
    <n v="543"/>
    <n v="21177"/>
    <n v="5210"/>
    <n v="3253"/>
  </r>
  <r>
    <s v="Monthly-AE-March-2025.csv"/>
    <x v="9"/>
    <s v="RXP"/>
    <s v="NHS ENGLAND NORTH EAST AND YORKSHIRE "/>
    <x v="161"/>
    <n v="13515"/>
    <n v="0"/>
    <n v="4188"/>
    <n v="0"/>
    <n v="0"/>
    <n v="8045"/>
    <n v="5213"/>
    <n v="0"/>
    <n v="0"/>
    <n v="0"/>
    <n v="0"/>
    <n v="0"/>
    <n v="1831"/>
    <n v="13"/>
    <n v="4479"/>
    <n v="0"/>
    <n v="0"/>
    <n v="783"/>
    <n v="17703"/>
    <n v="5213"/>
    <n v="5262"/>
  </r>
  <r>
    <s v="Monthly-AE-March-2025.csv"/>
    <x v="9"/>
    <s v="RXW"/>
    <s v="NHS ENGLAND MIDLANDS "/>
    <x v="120"/>
    <n v="11111"/>
    <n v="0"/>
    <n v="2873"/>
    <n v="0"/>
    <n v="0"/>
    <n v="0"/>
    <n v="6350"/>
    <n v="0"/>
    <n v="295"/>
    <n v="0"/>
    <n v="0"/>
    <n v="0"/>
    <n v="440"/>
    <n v="1390"/>
    <n v="3147"/>
    <n v="0"/>
    <n v="220"/>
    <n v="2165"/>
    <n v="13984"/>
    <n v="6645"/>
    <n v="5532"/>
  </r>
  <r>
    <s v="Monthly-AE-March-2025.csv"/>
    <x v="9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3"/>
    <n v="71"/>
    <n v="0"/>
    <n v="0"/>
    <n v="74"/>
  </r>
  <r>
    <s v="Monthly-AE-March-2025.csv"/>
    <x v="9"/>
    <s v="A5D4Q"/>
    <s v="NHS ENGLAND MIDLANDS "/>
    <x v="204"/>
    <n v="0"/>
    <n v="0"/>
    <n v="3681"/>
    <n v="0"/>
    <n v="0"/>
    <n v="0"/>
    <n v="0"/>
    <n v="0"/>
    <n v="1464"/>
    <n v="0"/>
    <n v="0"/>
    <n v="0"/>
    <n v="0"/>
    <n v="0"/>
    <n v="0"/>
    <n v="0"/>
    <n v="0"/>
    <n v="0"/>
    <n v="3681"/>
    <n v="1464"/>
    <n v="0"/>
  </r>
  <r>
    <s v="Monthly-AE-March-2025.csv"/>
    <x v="9"/>
    <s v="R1D"/>
    <s v="NHS ENGLAND MIDLANDS "/>
    <x v="58"/>
    <n v="0"/>
    <n v="0"/>
    <n v="3251"/>
    <n v="0"/>
    <n v="0"/>
    <n v="0"/>
    <n v="0"/>
    <n v="0"/>
    <n v="6"/>
    <n v="0"/>
    <n v="0"/>
    <n v="0"/>
    <n v="0"/>
    <n v="0"/>
    <n v="0"/>
    <n v="0"/>
    <n v="0"/>
    <n v="0"/>
    <n v="3251"/>
    <n v="6"/>
    <n v="0"/>
  </r>
  <r>
    <s v="Monthly-AE-March-2025.csv"/>
    <x v="9"/>
    <s v="R1K"/>
    <s v="NHS ENGLAND LONDON"/>
    <x v="128"/>
    <n v="14125"/>
    <n v="0"/>
    <n v="15651"/>
    <n v="0"/>
    <n v="0"/>
    <n v="0"/>
    <n v="6324"/>
    <n v="0"/>
    <n v="194"/>
    <n v="0"/>
    <n v="0"/>
    <n v="0"/>
    <n v="634"/>
    <n v="367"/>
    <n v="6751"/>
    <n v="0"/>
    <n v="0"/>
    <n v="336"/>
    <n v="29776"/>
    <n v="6518"/>
    <n v="7087"/>
  </r>
  <r>
    <s v="Monthly-AE-March-2025.csv"/>
    <x v="9"/>
    <s v="RAE"/>
    <s v="NHS ENGLAND NORTH EAST AND YORKSHIRE "/>
    <x v="79"/>
    <n v="9248"/>
    <n v="1045"/>
    <n v="3252"/>
    <n v="0"/>
    <n v="0"/>
    <n v="0"/>
    <n v="2305"/>
    <n v="0"/>
    <n v="3"/>
    <n v="0"/>
    <n v="0"/>
    <n v="0"/>
    <n v="687"/>
    <n v="97"/>
    <n v="2612"/>
    <n v="0"/>
    <n v="35"/>
    <n v="1429"/>
    <n v="13545"/>
    <n v="2308"/>
    <n v="4076"/>
  </r>
  <r>
    <s v="Monthly-AE-March-2025.csv"/>
    <x v="9"/>
    <s v="RAL"/>
    <s v="NHS ENGLAND LONDON"/>
    <x v="99"/>
    <n v="25381"/>
    <n v="537"/>
    <n v="16637"/>
    <n v="186"/>
    <n v="4"/>
    <n v="231"/>
    <n v="9755"/>
    <n v="6"/>
    <n v="942"/>
    <n v="97"/>
    <n v="0"/>
    <n v="30"/>
    <n v="1202"/>
    <n v="1838"/>
    <n v="4698"/>
    <n v="0"/>
    <n v="51"/>
    <n v="779"/>
    <n v="42555"/>
    <n v="10703"/>
    <n v="5528"/>
  </r>
  <r>
    <s v="Monthly-AE-March-2025.csv"/>
    <x v="9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821"/>
    <n v="0"/>
    <n v="0"/>
    <n v="821"/>
  </r>
  <r>
    <s v="Monthly-AE-March-2025.csv"/>
    <x v="9"/>
    <s v="RC9"/>
    <s v="NHS ENGLAND EAST OF ENGLAND "/>
    <x v="131"/>
    <n v="17026"/>
    <n v="0"/>
    <n v="8548"/>
    <n v="0"/>
    <n v="0"/>
    <n v="1051"/>
    <n v="7473"/>
    <n v="0"/>
    <n v="0"/>
    <n v="0"/>
    <n v="0"/>
    <n v="0"/>
    <n v="0"/>
    <n v="9"/>
    <n v="4678"/>
    <n v="0"/>
    <n v="0"/>
    <n v="2325"/>
    <n v="25574"/>
    <n v="7473"/>
    <n v="7003"/>
  </r>
  <r>
    <s v="Monthly-AE-March-2025.csv"/>
    <x v="9"/>
    <s v="RCB"/>
    <s v="NHS ENGLAND NORTH EAST AND YORKSHIRE "/>
    <x v="103"/>
    <n v="10854"/>
    <n v="333"/>
    <n v="7214"/>
    <n v="0"/>
    <n v="0"/>
    <n v="0"/>
    <n v="6123"/>
    <n v="0"/>
    <n v="302"/>
    <n v="0"/>
    <n v="0"/>
    <n v="0"/>
    <n v="816"/>
    <n v="539"/>
    <n v="4796"/>
    <n v="0"/>
    <n v="0"/>
    <n v="1599"/>
    <n v="18401"/>
    <n v="6425"/>
    <n v="6395"/>
  </r>
  <r>
    <s v="Monthly-AE-March-2025.csv"/>
    <x v="9"/>
    <s v="REM"/>
    <s v="NHS ENGLAND NORTH WEST "/>
    <x v="35"/>
    <n v="15869"/>
    <n v="1842"/>
    <n v="8129"/>
    <n v="407"/>
    <n v="0"/>
    <n v="0"/>
    <n v="8008"/>
    <n v="120"/>
    <n v="335"/>
    <n v="60"/>
    <n v="0"/>
    <n v="0"/>
    <n v="1975"/>
    <n v="982"/>
    <n v="4562"/>
    <n v="0"/>
    <n v="0"/>
    <n v="2461"/>
    <n v="25840"/>
    <n v="8463"/>
    <n v="7023"/>
  </r>
  <r>
    <s v="Monthly-AE-March-2025.csv"/>
    <x v="9"/>
    <s v="RFS"/>
    <s v="NHS ENGLAND MIDLANDS "/>
    <x v="133"/>
    <n v="6919"/>
    <n v="0"/>
    <n v="6764"/>
    <n v="503"/>
    <n v="0"/>
    <n v="149"/>
    <n v="3582"/>
    <n v="0"/>
    <n v="403"/>
    <n v="179"/>
    <n v="0"/>
    <n v="20"/>
    <n v="823"/>
    <n v="167"/>
    <n v="2725"/>
    <n v="0"/>
    <n v="289"/>
    <n v="696"/>
    <n v="13683"/>
    <n v="3985"/>
    <n v="3710"/>
  </r>
  <r>
    <s v="Monthly-AE-March-2025.csv"/>
    <x v="9"/>
    <s v="RGN"/>
    <s v="NHS ENGLAND EAST OF ENGLAND "/>
    <x v="106"/>
    <n v="14928"/>
    <n v="0"/>
    <n v="4678"/>
    <n v="360"/>
    <n v="0"/>
    <n v="463"/>
    <n v="6416"/>
    <n v="0"/>
    <n v="197"/>
    <n v="96"/>
    <n v="0"/>
    <n v="14"/>
    <n v="482"/>
    <n v="889"/>
    <n v="3714"/>
    <n v="0"/>
    <n v="32"/>
    <n v="1592"/>
    <n v="19606"/>
    <n v="6613"/>
    <n v="5338"/>
  </r>
  <r>
    <s v="Monthly-AE-March-2025.csv"/>
    <x v="9"/>
    <s v="RGT"/>
    <s v="NHS ENGLAND EAST OF ENGLAND "/>
    <x v="107"/>
    <n v="10973"/>
    <n v="0"/>
    <n v="6235"/>
    <n v="309"/>
    <n v="0"/>
    <n v="300"/>
    <n v="4869"/>
    <n v="0"/>
    <n v="123"/>
    <n v="88"/>
    <n v="0"/>
    <n v="12"/>
    <n v="613"/>
    <n v="417"/>
    <n v="2764"/>
    <n v="0"/>
    <n v="35"/>
    <n v="436"/>
    <n v="17208"/>
    <n v="4992"/>
    <n v="3235"/>
  </r>
  <r>
    <s v="Monthly-AE-March-2025.csv"/>
    <x v="9"/>
    <s v="RHM"/>
    <s v="NHS ENGLAND SOUTH EAST "/>
    <x v="134"/>
    <n v="11829"/>
    <n v="1243"/>
    <n v="0"/>
    <n v="138"/>
    <n v="0"/>
    <n v="0"/>
    <n v="5075"/>
    <n v="144"/>
    <n v="0"/>
    <n v="46"/>
    <n v="0"/>
    <n v="0"/>
    <n v="628"/>
    <n v="10"/>
    <n v="3886"/>
    <n v="9"/>
    <n v="0"/>
    <n v="1645"/>
    <n v="13072"/>
    <n v="5219"/>
    <n v="5540"/>
  </r>
  <r>
    <s v="Monthly-AE-March-2025.csv"/>
    <x v="9"/>
    <s v="RHW"/>
    <s v="NHS ENGLAND SOUTH EAST "/>
    <x v="187"/>
    <n v="12163"/>
    <n v="2341"/>
    <n v="2157"/>
    <n v="1038"/>
    <n v="26"/>
    <n v="0"/>
    <n v="4873"/>
    <n v="21"/>
    <n v="0"/>
    <n v="342"/>
    <n v="0"/>
    <n v="0"/>
    <n v="730"/>
    <n v="33"/>
    <n v="2255"/>
    <n v="2"/>
    <n v="0"/>
    <n v="423"/>
    <n v="16661"/>
    <n v="4894"/>
    <n v="2680"/>
  </r>
  <r>
    <s v="Monthly-AE-March-2025.csv"/>
    <x v="9"/>
    <s v="RJ2"/>
    <s v="NHS ENGLAND LONDON"/>
    <x v="169"/>
    <n v="15526"/>
    <n v="0"/>
    <n v="10605"/>
    <n v="0"/>
    <n v="0"/>
    <n v="0"/>
    <n v="8134"/>
    <n v="0"/>
    <n v="817"/>
    <n v="0"/>
    <n v="0"/>
    <n v="0"/>
    <n v="1318"/>
    <n v="854"/>
    <n v="5027"/>
    <n v="0"/>
    <n v="0"/>
    <n v="1262"/>
    <n v="26131"/>
    <n v="8951"/>
    <n v="6289"/>
  </r>
  <r>
    <s v="Monthly-AE-March-2025.csv"/>
    <x v="9"/>
    <s v="RJ7"/>
    <s v="NHS ENGLAND LONDON"/>
    <x v="137"/>
    <n v="9283"/>
    <n v="0"/>
    <n v="3515"/>
    <n v="558"/>
    <n v="0"/>
    <n v="0"/>
    <n v="2117"/>
    <n v="0"/>
    <n v="0"/>
    <n v="68"/>
    <n v="0"/>
    <n v="0"/>
    <n v="401"/>
    <n v="780"/>
    <n v="2738"/>
    <n v="0"/>
    <n v="0"/>
    <n v="793"/>
    <n v="12798"/>
    <n v="2117"/>
    <n v="3531"/>
  </r>
  <r>
    <s v="Monthly-AE-March-2025.csv"/>
    <x v="9"/>
    <s v="RJN"/>
    <s v="NHS ENGLAND NORTH WEST "/>
    <x v="40"/>
    <n v="4450"/>
    <n v="0"/>
    <n v="0"/>
    <n v="74"/>
    <n v="0"/>
    <n v="60"/>
    <n v="2223"/>
    <n v="0"/>
    <n v="0"/>
    <n v="0"/>
    <n v="0"/>
    <n v="0"/>
    <n v="132"/>
    <n v="470"/>
    <n v="754"/>
    <n v="0"/>
    <n v="0"/>
    <n v="205"/>
    <n v="4450"/>
    <n v="2223"/>
    <n v="959"/>
  </r>
  <r>
    <s v="Monthly-AE-March-2025.csv"/>
    <x v="9"/>
    <s v="RK5"/>
    <s v="NHS ENGLAND MIDLANDS "/>
    <x v="109"/>
    <n v="11381"/>
    <n v="0"/>
    <n v="6091"/>
    <n v="396"/>
    <n v="0"/>
    <n v="169"/>
    <n v="3800"/>
    <n v="0"/>
    <n v="538"/>
    <n v="138"/>
    <n v="0"/>
    <n v="2"/>
    <n v="479"/>
    <n v="63"/>
    <n v="3904"/>
    <n v="0"/>
    <n v="2"/>
    <n v="303"/>
    <n v="17472"/>
    <n v="4338"/>
    <n v="4209"/>
  </r>
  <r>
    <s v="Monthly-AE-March-2025.csv"/>
    <x v="9"/>
    <s v="RK9"/>
    <s v="NHS ENGLAND SOUTH WEST "/>
    <x v="139"/>
    <n v="9353"/>
    <n v="130"/>
    <n v="5705"/>
    <n v="0"/>
    <n v="0"/>
    <n v="0"/>
    <n v="5004"/>
    <n v="0"/>
    <n v="193"/>
    <n v="0"/>
    <n v="0"/>
    <n v="0"/>
    <n v="411"/>
    <n v="735"/>
    <n v="2827"/>
    <n v="0"/>
    <n v="0"/>
    <n v="1502"/>
    <n v="15188"/>
    <n v="5197"/>
    <n v="4329"/>
  </r>
  <r>
    <s v="Monthly-AE-March-2025.csv"/>
    <x v="9"/>
    <s v="RLT"/>
    <s v="NHS ENGLAND MIDLANDS "/>
    <x v="141"/>
    <n v="7182"/>
    <n v="0"/>
    <n v="1690"/>
    <n v="0"/>
    <n v="0"/>
    <n v="0"/>
    <n v="2920"/>
    <n v="0"/>
    <n v="65"/>
    <n v="0"/>
    <n v="0"/>
    <n v="0"/>
    <n v="453"/>
    <n v="338"/>
    <n v="1093"/>
    <n v="0"/>
    <n v="0"/>
    <n v="1"/>
    <n v="8872"/>
    <n v="2985"/>
    <n v="1094"/>
  </r>
  <r>
    <s v="Monthly-AE-March-2025.csv"/>
    <x v="9"/>
    <s v="RM1"/>
    <s v="NHS ENGLAND EAST OF ENGLAND "/>
    <x v="142"/>
    <n v="12804"/>
    <n v="0"/>
    <n v="8381"/>
    <n v="0"/>
    <n v="0"/>
    <n v="0"/>
    <n v="3867"/>
    <n v="0"/>
    <n v="0"/>
    <n v="0"/>
    <n v="0"/>
    <n v="0"/>
    <n v="914"/>
    <n v="255"/>
    <n v="2482"/>
    <n v="0"/>
    <n v="0"/>
    <n v="1599"/>
    <n v="21185"/>
    <n v="3867"/>
    <n v="4081"/>
  </r>
  <r>
    <s v="Monthly-AE-March-2025.csv"/>
    <x v="9"/>
    <s v="RM3"/>
    <s v="NHS ENGLAND NORTH WEST "/>
    <x v="193"/>
    <n v="25828"/>
    <n v="0"/>
    <n v="8886"/>
    <n v="0"/>
    <n v="0"/>
    <n v="0"/>
    <n v="10445"/>
    <n v="0"/>
    <n v="401"/>
    <n v="0"/>
    <n v="0"/>
    <n v="0"/>
    <n v="1061"/>
    <n v="1306"/>
    <n v="7203"/>
    <n v="0"/>
    <n v="298"/>
    <n v="2067"/>
    <n v="34714"/>
    <n v="10846"/>
    <n v="9568"/>
  </r>
  <r>
    <s v="Monthly-AE-March-2025.csv"/>
    <x v="9"/>
    <s v="RN5"/>
    <s v="NHS ENGLAND SOUTH EAST "/>
    <x v="110"/>
    <n v="11387"/>
    <n v="73"/>
    <n v="3523"/>
    <n v="0"/>
    <n v="0"/>
    <n v="107"/>
    <n v="4962"/>
    <n v="0"/>
    <n v="150"/>
    <n v="0"/>
    <n v="0"/>
    <n v="0"/>
    <n v="299"/>
    <n v="52"/>
    <n v="4215"/>
    <n v="9"/>
    <n v="36"/>
    <n v="1388"/>
    <n v="14983"/>
    <n v="5112"/>
    <n v="5648"/>
  </r>
  <r>
    <s v="Monthly-AE-March-2025.csv"/>
    <x v="9"/>
    <s v="RN7"/>
    <s v="NHS ENGLAND SOUTH EAST "/>
    <x v="171"/>
    <n v="11705"/>
    <n v="0"/>
    <n v="4168"/>
    <n v="0"/>
    <n v="0"/>
    <n v="0"/>
    <n v="3694"/>
    <n v="0"/>
    <n v="17"/>
    <n v="0"/>
    <n v="0"/>
    <n v="0"/>
    <n v="546"/>
    <n v="407"/>
    <n v="3244"/>
    <n v="0"/>
    <n v="0"/>
    <n v="458"/>
    <n v="15873"/>
    <n v="3711"/>
    <n v="3702"/>
  </r>
  <r>
    <s v="Monthly-AE-March-2025.csv"/>
    <x v="9"/>
    <s v="RP5"/>
    <s v="NHS ENGLAND NORTH EAST AND YORKSHIRE "/>
    <x v="145"/>
    <n v="14073"/>
    <n v="0"/>
    <n v="4384"/>
    <n v="0"/>
    <n v="0"/>
    <n v="0"/>
    <n v="4642"/>
    <n v="0"/>
    <n v="21"/>
    <n v="0"/>
    <n v="0"/>
    <n v="0"/>
    <n v="965"/>
    <n v="118"/>
    <n v="3831"/>
    <n v="0"/>
    <n v="429"/>
    <n v="1055"/>
    <n v="18457"/>
    <n v="4663"/>
    <n v="5315"/>
  </r>
  <r>
    <s v="Monthly-AE-March-2025.csv"/>
    <x v="9"/>
    <s v="RQM"/>
    <s v="NHS ENGLAND LONDON"/>
    <x v="147"/>
    <n v="20043"/>
    <n v="0"/>
    <n v="6486"/>
    <n v="626"/>
    <n v="0"/>
    <n v="0"/>
    <n v="5353"/>
    <n v="0"/>
    <n v="102"/>
    <n v="0"/>
    <n v="0"/>
    <n v="0"/>
    <n v="933"/>
    <n v="55"/>
    <n v="2869"/>
    <n v="0"/>
    <n v="0"/>
    <n v="307"/>
    <n v="26529"/>
    <n v="5455"/>
    <n v="3176"/>
  </r>
  <r>
    <s v="Monthly-AE-March-2025.csv"/>
    <x v="9"/>
    <s v="RTD"/>
    <s v="NHS ENGLAND NORTH EAST AND YORKSHIRE "/>
    <x v="180"/>
    <n v="12877"/>
    <n v="1781"/>
    <n v="5416"/>
    <n v="0"/>
    <n v="0"/>
    <n v="1188"/>
    <n v="4559"/>
    <n v="215"/>
    <n v="1"/>
    <n v="0"/>
    <n v="0"/>
    <n v="0"/>
    <n v="525"/>
    <n v="37"/>
    <n v="3769"/>
    <n v="22"/>
    <n v="0"/>
    <n v="2861"/>
    <n v="20074"/>
    <n v="4775"/>
    <n v="6652"/>
  </r>
  <r>
    <s v="Monthly-AE-March-2025.csv"/>
    <x v="9"/>
    <s v="RTE"/>
    <s v="NHS ENGLAND SOUTH WEST "/>
    <x v="151"/>
    <n v="13604"/>
    <n v="0"/>
    <n v="0"/>
    <n v="165"/>
    <n v="0"/>
    <n v="0"/>
    <n v="5355"/>
    <n v="0"/>
    <n v="0"/>
    <n v="51"/>
    <n v="0"/>
    <n v="0"/>
    <n v="377"/>
    <n v="459"/>
    <n v="2713"/>
    <n v="0"/>
    <n v="0"/>
    <n v="2398"/>
    <n v="13604"/>
    <n v="5355"/>
    <n v="5111"/>
  </r>
  <r>
    <s v="Monthly-AE-March-2025.csv"/>
    <x v="9"/>
    <s v="RTQ"/>
    <s v="NHS ENGLAND SOUTH WEST "/>
    <x v="115"/>
    <n v="0"/>
    <n v="0"/>
    <n v="8527"/>
    <n v="0"/>
    <n v="0"/>
    <n v="0"/>
    <n v="0"/>
    <n v="0"/>
    <n v="126"/>
    <n v="0"/>
    <n v="0"/>
    <n v="0"/>
    <n v="0"/>
    <n v="0"/>
    <n v="0"/>
    <n v="0"/>
    <n v="0"/>
    <n v="32"/>
    <n v="8527"/>
    <n v="126"/>
    <n v="32"/>
  </r>
  <r>
    <s v="Monthly-AE-March-2025.csv"/>
    <x v="9"/>
    <s v="RVJ"/>
    <s v="NHS ENGLAND SOUTH WEST "/>
    <x v="89"/>
    <n v="9208"/>
    <n v="0"/>
    <n v="0"/>
    <n v="7"/>
    <n v="0"/>
    <n v="0"/>
    <n v="3568"/>
    <n v="0"/>
    <n v="0"/>
    <n v="0"/>
    <n v="0"/>
    <n v="0"/>
    <n v="538"/>
    <n v="407"/>
    <n v="2661"/>
    <n v="0"/>
    <n v="0"/>
    <n v="2225"/>
    <n v="9208"/>
    <n v="3568"/>
    <n v="4886"/>
  </r>
  <r>
    <s v="Monthly-AE-March-2025.csv"/>
    <x v="9"/>
    <s v="RWA"/>
    <s v="NHS ENGLAND NORTH EAST AND YORKSHIRE "/>
    <x v="116"/>
    <n v="9198"/>
    <n v="0"/>
    <n v="5279"/>
    <n v="0"/>
    <n v="0"/>
    <n v="0"/>
    <n v="5401"/>
    <n v="0"/>
    <n v="606"/>
    <n v="0"/>
    <n v="0"/>
    <n v="0"/>
    <n v="1010"/>
    <n v="536"/>
    <n v="3486"/>
    <n v="0"/>
    <n v="0"/>
    <n v="2346"/>
    <n v="14477"/>
    <n v="6007"/>
    <n v="5832"/>
  </r>
  <r>
    <s v="Monthly-AE-March-2025.csv"/>
    <x v="9"/>
    <s v="RWD"/>
    <s v="NHS ENGLAND MIDLANDS "/>
    <x v="202"/>
    <n v="16558"/>
    <n v="0"/>
    <n v="3931"/>
    <n v="0"/>
    <n v="0"/>
    <n v="0"/>
    <n v="5812"/>
    <n v="0"/>
    <n v="417"/>
    <n v="0"/>
    <n v="0"/>
    <n v="0"/>
    <n v="1074"/>
    <n v="573"/>
    <n v="4894"/>
    <n v="0"/>
    <n v="0"/>
    <n v="1137"/>
    <n v="20489"/>
    <n v="6229"/>
    <n v="6031"/>
  </r>
  <r>
    <s v="Monthly-AE-March-2025.csv"/>
    <x v="9"/>
    <s v="RXC"/>
    <s v="NHS ENGLAND SOUTH EAST "/>
    <x v="70"/>
    <n v="8795"/>
    <n v="0"/>
    <n v="2736"/>
    <n v="1486"/>
    <n v="0"/>
    <n v="1857"/>
    <n v="4198"/>
    <n v="0"/>
    <n v="100"/>
    <n v="0"/>
    <n v="0"/>
    <n v="0"/>
    <n v="188"/>
    <n v="92"/>
    <n v="3004"/>
    <n v="0"/>
    <n v="0"/>
    <n v="501"/>
    <n v="11531"/>
    <n v="4298"/>
    <n v="3505"/>
  </r>
  <r>
    <s v="Monthly-AE-March-2025.csv"/>
    <x v="9"/>
    <s v="RXF"/>
    <s v="NHS ENGLAND NORTH EAST AND YORKSHIRE "/>
    <x v="160"/>
    <n v="17104"/>
    <n v="154"/>
    <n v="6184"/>
    <n v="124"/>
    <n v="0"/>
    <n v="84"/>
    <n v="6472"/>
    <n v="0"/>
    <n v="508"/>
    <n v="3"/>
    <n v="0"/>
    <n v="2"/>
    <n v="2036"/>
    <n v="277"/>
    <n v="3671"/>
    <n v="0"/>
    <n v="179"/>
    <n v="909"/>
    <n v="23442"/>
    <n v="6980"/>
    <n v="4759"/>
  </r>
  <r>
    <s v="Monthly-AE-March-2025.csv"/>
    <x v="9"/>
    <s v="RXN"/>
    <s v="NHS ENGLAND NORTH WEST "/>
    <x v="91"/>
    <n v="12058"/>
    <n v="0"/>
    <n v="3351"/>
    <n v="279"/>
    <n v="0"/>
    <n v="90"/>
    <n v="4668"/>
    <n v="0"/>
    <n v="164"/>
    <n v="47"/>
    <n v="0"/>
    <n v="1"/>
    <n v="1015"/>
    <n v="418"/>
    <n v="2420"/>
    <n v="0"/>
    <n v="92"/>
    <n v="1119"/>
    <n v="15409"/>
    <n v="4832"/>
    <n v="3631"/>
  </r>
  <r>
    <s v="Monthly-AE-March-2025.csv"/>
    <x v="9"/>
    <s v="RYJ"/>
    <s v="NHS ENGLAND LONDON"/>
    <x v="163"/>
    <n v="12089"/>
    <n v="3928"/>
    <n v="7269"/>
    <n v="0"/>
    <n v="0"/>
    <n v="437"/>
    <n v="5333"/>
    <n v="45"/>
    <n v="349"/>
    <n v="0"/>
    <n v="0"/>
    <n v="0"/>
    <n v="650"/>
    <n v="387"/>
    <n v="3707"/>
    <n v="1"/>
    <n v="0"/>
    <n v="1110"/>
    <n v="23286"/>
    <n v="5727"/>
    <n v="4818"/>
  </r>
  <r>
    <s v="Monthly-AE-March-2025.csv"/>
    <x v="9"/>
    <s v="RYX"/>
    <s v="NHS ENGLAND LONDON"/>
    <x v="75"/>
    <n v="0"/>
    <n v="0"/>
    <n v="12768"/>
    <n v="0"/>
    <n v="0"/>
    <n v="581"/>
    <n v="0"/>
    <n v="0"/>
    <n v="404"/>
    <n v="0"/>
    <n v="0"/>
    <n v="12"/>
    <n v="0"/>
    <n v="0"/>
    <n v="0"/>
    <n v="0"/>
    <n v="0"/>
    <n v="0"/>
    <n v="12768"/>
    <n v="404"/>
    <n v="0"/>
  </r>
  <r>
    <s v="Monthly-AE-March-2025.csv"/>
    <x v="9"/>
    <s v="R1F"/>
    <s v="NHS ENGLAND SOUTH EAST "/>
    <x v="127"/>
    <n v="4266"/>
    <n v="329"/>
    <n v="1425"/>
    <n v="24"/>
    <n v="0"/>
    <n v="13"/>
    <n v="1979"/>
    <n v="0"/>
    <n v="0"/>
    <n v="4"/>
    <n v="0"/>
    <n v="0"/>
    <n v="302"/>
    <n v="186"/>
    <n v="1287"/>
    <n v="0"/>
    <n v="0"/>
    <n v="88"/>
    <n v="6020"/>
    <n v="1979"/>
    <n v="1375"/>
  </r>
  <r>
    <s v="Monthly-AE-March-2025.csv"/>
    <x v="9"/>
    <s v="R1H"/>
    <s v="NHS ENGLAND LONDON"/>
    <x v="96"/>
    <n v="25830"/>
    <n v="973"/>
    <n v="18069"/>
    <n v="0"/>
    <n v="0"/>
    <n v="0"/>
    <n v="11735"/>
    <n v="53"/>
    <n v="1279"/>
    <n v="0"/>
    <n v="0"/>
    <n v="0"/>
    <n v="1242"/>
    <n v="990"/>
    <n v="4556"/>
    <n v="0"/>
    <n v="46"/>
    <n v="1117"/>
    <n v="44872"/>
    <n v="13067"/>
    <n v="5719"/>
  </r>
  <r>
    <s v="Monthly-AE-March-2025.csv"/>
    <x v="9"/>
    <s v="RBL"/>
    <s v="NHS ENGLAND NORTH WEST "/>
    <x v="183"/>
    <n v="7845"/>
    <n v="0"/>
    <n v="3322"/>
    <n v="0"/>
    <n v="0"/>
    <n v="188"/>
    <n v="4141"/>
    <n v="0"/>
    <n v="149"/>
    <n v="0"/>
    <n v="0"/>
    <n v="9"/>
    <n v="412"/>
    <n v="893"/>
    <n v="2155"/>
    <n v="0"/>
    <n v="0"/>
    <n v="1605"/>
    <n v="11167"/>
    <n v="4290"/>
    <n v="3760"/>
  </r>
  <r>
    <s v="Monthly-AE-March-2025.csv"/>
    <x v="9"/>
    <s v="RBN"/>
    <s v="NHS ENGLAND NORTH WEST "/>
    <x v="174"/>
    <n v="17832"/>
    <n v="0"/>
    <n v="7558"/>
    <n v="478"/>
    <n v="0"/>
    <n v="0"/>
    <n v="6436"/>
    <n v="0"/>
    <n v="147"/>
    <n v="70"/>
    <n v="0"/>
    <n v="0"/>
    <n v="652"/>
    <n v="363"/>
    <n v="8282"/>
    <n v="0"/>
    <n v="0"/>
    <n v="679"/>
    <n v="25390"/>
    <n v="6583"/>
    <n v="8961"/>
  </r>
  <r>
    <s v="Monthly-AE-March-2025.csv"/>
    <x v="9"/>
    <s v="RBS"/>
    <s v="NHS ENGLAND NORTH WEST "/>
    <x v="80"/>
    <n v="6446"/>
    <n v="0"/>
    <n v="0"/>
    <n v="0"/>
    <n v="0"/>
    <n v="0"/>
    <n v="1301"/>
    <n v="0"/>
    <n v="0"/>
    <n v="0"/>
    <n v="0"/>
    <n v="0"/>
    <n v="4"/>
    <n v="0"/>
    <n v="831"/>
    <n v="0"/>
    <n v="0"/>
    <n v="297"/>
    <n v="6446"/>
    <n v="1301"/>
    <n v="1128"/>
  </r>
  <r>
    <s v="Monthly-AE-March-2025.csv"/>
    <x v="9"/>
    <s v="RD1"/>
    <s v="NHS ENGLAND SOUTH WEST "/>
    <x v="165"/>
    <n v="8762"/>
    <n v="0"/>
    <n v="0"/>
    <n v="0"/>
    <n v="0"/>
    <n v="0"/>
    <n v="3632"/>
    <n v="0"/>
    <n v="0"/>
    <n v="0"/>
    <n v="0"/>
    <n v="0"/>
    <n v="829"/>
    <n v="163"/>
    <n v="2580"/>
    <n v="0"/>
    <n v="3"/>
    <n v="1844"/>
    <n v="8762"/>
    <n v="3632"/>
    <n v="4427"/>
  </r>
  <r>
    <s v="Monthly-AE-March-2025.csv"/>
    <x v="9"/>
    <s v="RDR"/>
    <s v="NHS ENGLAND SOUTH EAST "/>
    <x v="166"/>
    <n v="0"/>
    <n v="0"/>
    <n v="12570"/>
    <n v="0"/>
    <n v="0"/>
    <n v="0"/>
    <n v="0"/>
    <n v="0"/>
    <n v="121"/>
    <n v="0"/>
    <n v="0"/>
    <n v="0"/>
    <n v="0"/>
    <n v="0"/>
    <n v="0"/>
    <n v="0"/>
    <n v="0"/>
    <n v="0"/>
    <n v="12570"/>
    <n v="121"/>
    <n v="0"/>
  </r>
  <r>
    <s v="Monthly-AE-March-2025.csv"/>
    <x v="9"/>
    <s v="RF4"/>
    <s v="NHS ENGLAND LONDON"/>
    <x v="167"/>
    <n v="13687"/>
    <n v="2482"/>
    <n v="15017"/>
    <n v="0"/>
    <n v="0"/>
    <n v="0"/>
    <n v="6204"/>
    <n v="385"/>
    <n v="151"/>
    <n v="0"/>
    <n v="0"/>
    <n v="0"/>
    <n v="695"/>
    <n v="928"/>
    <n v="8016"/>
    <n v="0"/>
    <n v="0"/>
    <n v="415"/>
    <n v="31186"/>
    <n v="6740"/>
    <n v="8431"/>
  </r>
  <r>
    <s v="Monthly-AE-March-2025.csv"/>
    <x v="9"/>
    <s v="RH8"/>
    <s v="NHS ENGLAND SOUTH WEST "/>
    <x v="186"/>
    <n v="12632"/>
    <n v="0"/>
    <n v="4261"/>
    <n v="1327"/>
    <n v="0"/>
    <n v="72"/>
    <n v="5510"/>
    <n v="0"/>
    <n v="23"/>
    <n v="540"/>
    <n v="0"/>
    <n v="2"/>
    <n v="1473"/>
    <n v="215"/>
    <n v="3437"/>
    <n v="0"/>
    <n v="0"/>
    <n v="1943"/>
    <n v="16893"/>
    <n v="5533"/>
    <n v="5380"/>
  </r>
  <r>
    <s v="Monthly-AE-March-2025.csv"/>
    <x v="9"/>
    <s v="RHU"/>
    <s v="NHS ENGLAND SOUTH EAST "/>
    <x v="194"/>
    <n v="11155"/>
    <n v="838"/>
    <n v="3281"/>
    <n v="1309"/>
    <n v="0"/>
    <n v="816"/>
    <n v="4645"/>
    <n v="13"/>
    <n v="71"/>
    <n v="485"/>
    <n v="0"/>
    <n v="10"/>
    <n v="1316"/>
    <n v="348"/>
    <n v="3172"/>
    <n v="0"/>
    <n v="0"/>
    <n v="2611"/>
    <n v="15274"/>
    <n v="4729"/>
    <n v="5783"/>
  </r>
  <r>
    <s v="Monthly-AE-March-2025.csv"/>
    <x v="9"/>
    <s v="RPA"/>
    <s v="NHS ENGLAND SOUTH EAST "/>
    <x v="146"/>
    <n v="9157"/>
    <n v="0"/>
    <n v="6942"/>
    <n v="262"/>
    <n v="0"/>
    <n v="1214"/>
    <n v="3152"/>
    <n v="0"/>
    <n v="747"/>
    <n v="68"/>
    <n v="0"/>
    <n v="0"/>
    <n v="351"/>
    <n v="688"/>
    <n v="1903"/>
    <n v="0"/>
    <n v="0"/>
    <n v="493"/>
    <n v="16099"/>
    <n v="3899"/>
    <n v="2396"/>
  </r>
  <r>
    <s v="Monthly-AE-March-2025.csv"/>
    <x v="9"/>
    <s v="RRF"/>
    <s v="NHS ENGLAND NORTH WEST "/>
    <x v="150"/>
    <n v="6924"/>
    <n v="0"/>
    <n v="5866"/>
    <n v="0"/>
    <n v="0"/>
    <n v="0"/>
    <n v="3509"/>
    <n v="0"/>
    <n v="109"/>
    <n v="0"/>
    <n v="0"/>
    <n v="0"/>
    <n v="1146"/>
    <n v="475"/>
    <n v="2391"/>
    <n v="0"/>
    <n v="0"/>
    <n v="661"/>
    <n v="12790"/>
    <n v="3618"/>
    <n v="3052"/>
  </r>
  <r>
    <s v="Monthly-AE-March-2025.csv"/>
    <x v="9"/>
    <s v="RVR"/>
    <s v="NHS ENGLAND LONDON"/>
    <x v="154"/>
    <n v="11405"/>
    <n v="328"/>
    <n v="1497"/>
    <n v="455"/>
    <n v="0"/>
    <n v="33"/>
    <n v="3371"/>
    <n v="0"/>
    <n v="108"/>
    <n v="69"/>
    <n v="0"/>
    <n v="1"/>
    <n v="253"/>
    <n v="706"/>
    <n v="1911"/>
    <n v="3"/>
    <n v="0"/>
    <n v="188"/>
    <n v="13230"/>
    <n v="3479"/>
    <n v="2102"/>
  </r>
  <r>
    <s v="Monthly-AE-March-2025.csv"/>
    <x v="9"/>
    <s v="RWJ"/>
    <s v="NHS ENGLAND NORTH WEST "/>
    <x v="158"/>
    <n v="8213"/>
    <n v="0"/>
    <n v="1240"/>
    <n v="314"/>
    <n v="0"/>
    <n v="1334"/>
    <n v="3239"/>
    <n v="0"/>
    <n v="81"/>
    <n v="119"/>
    <n v="0"/>
    <n v="4"/>
    <n v="801"/>
    <n v="292"/>
    <n v="2843"/>
    <n v="0"/>
    <n v="82"/>
    <n v="956"/>
    <n v="9453"/>
    <n v="3320"/>
    <n v="3881"/>
  </r>
  <r>
    <s v="Monthly-AE-March-2025.csv"/>
    <x v="9"/>
    <s v="RWX"/>
    <s v="NHS ENGLAND SOUTH EAST "/>
    <x v="173"/>
    <n v="0"/>
    <n v="0"/>
    <n v="1479"/>
    <n v="0"/>
    <n v="0"/>
    <n v="0"/>
    <n v="0"/>
    <n v="0"/>
    <n v="8"/>
    <n v="0"/>
    <n v="0"/>
    <n v="0"/>
    <n v="0"/>
    <n v="0"/>
    <n v="0"/>
    <n v="0"/>
    <n v="19"/>
    <n v="0"/>
    <n v="1479"/>
    <n v="8"/>
    <n v="19"/>
  </r>
  <r>
    <s v="Monthly-AE-March-2025.csv"/>
    <x v="9"/>
    <s v="RAS"/>
    <s v="NHS ENGLAND LONDON"/>
    <x v="182"/>
    <n v="6236"/>
    <n v="0"/>
    <n v="6892"/>
    <n v="0"/>
    <n v="0"/>
    <n v="0"/>
    <n v="3123"/>
    <n v="0"/>
    <n v="56"/>
    <n v="0"/>
    <n v="0"/>
    <n v="0"/>
    <n v="766"/>
    <n v="69"/>
    <n v="1883"/>
    <n v="0"/>
    <n v="0"/>
    <n v="57"/>
    <n v="13128"/>
    <n v="3179"/>
    <n v="1940"/>
  </r>
  <r>
    <s v="Monthly-AE-March-2025.csv"/>
    <x v="9"/>
    <s v="RJ1"/>
    <s v="NHS ENGLAND LONDON"/>
    <x v="135"/>
    <n v="10247"/>
    <n v="727"/>
    <n v="7130"/>
    <n v="0"/>
    <n v="0"/>
    <n v="0"/>
    <n v="3568"/>
    <n v="12"/>
    <n v="199"/>
    <n v="0"/>
    <n v="0"/>
    <n v="0"/>
    <n v="119"/>
    <n v="71"/>
    <n v="2054"/>
    <n v="0"/>
    <n v="0"/>
    <n v="220"/>
    <n v="18104"/>
    <n v="3779"/>
    <n v="2274"/>
  </r>
  <r>
    <s v="Monthly-AE-March-2025.csv"/>
    <x v="3"/>
    <s v="TOTAL"/>
    <s v="TOTAL"/>
    <x v="199"/>
    <n v="1418235"/>
    <n v="50646"/>
    <n v="830779"/>
    <n v="32451"/>
    <n v="591"/>
    <n v="56362"/>
    <n v="558656"/>
    <n v="2283"/>
    <n v="27899"/>
    <n v="8339"/>
    <n v="25"/>
    <n v="546"/>
    <n v="87191"/>
    <n v="46766"/>
    <n v="404354"/>
    <n v="1366"/>
    <n v="4569"/>
    <n v="140840"/>
    <n v="2299660"/>
    <n v="588838"/>
    <n v="551129"/>
  </r>
  <r>
    <s v="Monthly-AE-May-2024.csv"/>
    <x v="10"/>
    <s v="AAH"/>
    <s v="NHS ENGLAND SOUTH WEST "/>
    <x v="0"/>
    <n v="0"/>
    <n v="0"/>
    <n v="620"/>
    <n v="0"/>
    <n v="0"/>
    <n v="0"/>
    <n v="0"/>
    <n v="0"/>
    <n v="0"/>
    <n v="0"/>
    <n v="0"/>
    <n v="0"/>
    <n v="0"/>
    <n v="0"/>
    <n v="0"/>
    <n v="0"/>
    <n v="0"/>
    <n v="0"/>
    <n v="620"/>
    <n v="0"/>
    <n v="0"/>
  </r>
  <r>
    <s v="Monthly-AE-May-2024.csv"/>
    <x v="10"/>
    <s v="NTV0B"/>
    <s v="NHS ENGLAND SOUTH EAST "/>
    <x v="23"/>
    <n v="0"/>
    <n v="0"/>
    <n v="2435"/>
    <n v="0"/>
    <n v="0"/>
    <n v="0"/>
    <n v="0"/>
    <n v="0"/>
    <n v="171"/>
    <n v="0"/>
    <n v="0"/>
    <n v="0"/>
    <n v="0"/>
    <n v="0"/>
    <n v="0"/>
    <n v="0"/>
    <n v="0"/>
    <n v="0"/>
    <n v="2435"/>
    <n v="171"/>
    <n v="0"/>
  </r>
  <r>
    <s v="Monthly-AE-May-2024.csv"/>
    <x v="10"/>
    <s v="NTV0W"/>
    <s v="NHS ENGLAND SOUTH EAST "/>
    <x v="24"/>
    <n v="0"/>
    <n v="0"/>
    <n v="2505"/>
    <n v="0"/>
    <n v="0"/>
    <n v="0"/>
    <n v="0"/>
    <n v="0"/>
    <n v="90"/>
    <n v="0"/>
    <n v="0"/>
    <n v="0"/>
    <n v="0"/>
    <n v="0"/>
    <n v="0"/>
    <n v="0"/>
    <n v="0"/>
    <n v="0"/>
    <n v="2505"/>
    <n v="90"/>
    <n v="0"/>
  </r>
  <r>
    <s v="Monthly-AE-May-2024.csv"/>
    <x v="10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n v="42"/>
  </r>
  <r>
    <s v="Monthly-AE-May-2024.csv"/>
    <x v="10"/>
    <s v="RK9"/>
    <s v="NHS ENGLAND SOUTH WEST "/>
    <x v="139"/>
    <n v="9272"/>
    <n v="138"/>
    <n v="5335"/>
    <n v="0"/>
    <n v="0"/>
    <n v="0"/>
    <n v="5108"/>
    <n v="0"/>
    <n v="245"/>
    <n v="0"/>
    <n v="0"/>
    <n v="0"/>
    <n v="697"/>
    <n v="603"/>
    <n v="2960"/>
    <n v="0"/>
    <n v="0"/>
    <n v="1243"/>
    <n v="14745"/>
    <n v="5353"/>
    <n v="4203"/>
  </r>
  <r>
    <s v="Monthly-AE-May-2024.csv"/>
    <x v="10"/>
    <s v="RY5"/>
    <s v="NHS ENGLAND MIDLANDS "/>
    <x v="121"/>
    <n v="0"/>
    <n v="0"/>
    <n v="8846"/>
    <n v="0"/>
    <n v="0"/>
    <n v="0"/>
    <n v="0"/>
    <n v="0"/>
    <n v="351"/>
    <n v="0"/>
    <n v="0"/>
    <n v="0"/>
    <n v="0"/>
    <n v="0"/>
    <n v="0"/>
    <n v="0"/>
    <n v="0"/>
    <n v="0"/>
    <n v="8846"/>
    <n v="351"/>
    <n v="0"/>
  </r>
  <r>
    <s v="Monthly-AE-May-2024.csv"/>
    <x v="10"/>
    <s v="RYF"/>
    <s v="NHS ENGLAND SOUTH WEST "/>
    <x v="74"/>
    <n v="0"/>
    <n v="0"/>
    <n v="1784"/>
    <n v="0"/>
    <n v="0"/>
    <n v="10"/>
    <n v="0"/>
    <n v="0"/>
    <n v="145"/>
    <n v="0"/>
    <n v="0"/>
    <n v="0"/>
    <n v="0"/>
    <n v="0"/>
    <n v="0"/>
    <n v="0"/>
    <n v="0"/>
    <n v="0"/>
    <n v="1784"/>
    <n v="145"/>
    <n v="0"/>
  </r>
  <r>
    <s v="Monthly-AE-May-2024.csv"/>
    <x v="10"/>
    <s v="Y02428"/>
    <s v="NHS ENGLAND EAST OF ENGLAND "/>
    <x v="49"/>
    <n v="0"/>
    <n v="0"/>
    <n v="3181"/>
    <n v="0"/>
    <n v="0"/>
    <n v="0"/>
    <n v="0"/>
    <n v="0"/>
    <n v="0"/>
    <n v="0"/>
    <n v="0"/>
    <n v="0"/>
    <n v="0"/>
    <n v="0"/>
    <n v="0"/>
    <n v="0"/>
    <n v="0"/>
    <n v="0"/>
    <n v="3181"/>
    <n v="0"/>
    <n v="0"/>
  </r>
  <r>
    <s v="Monthly-AE-May-2024.csv"/>
    <x v="10"/>
    <s v="Y02615"/>
    <s v="NHS ENGLAND MIDLANDS "/>
    <x v="16"/>
    <n v="0"/>
    <n v="0"/>
    <n v="6835"/>
    <n v="0"/>
    <n v="0"/>
    <n v="0"/>
    <n v="0"/>
    <n v="0"/>
    <n v="0"/>
    <n v="0"/>
    <n v="0"/>
    <n v="0"/>
    <n v="0"/>
    <n v="0"/>
    <n v="0"/>
    <n v="0"/>
    <n v="0"/>
    <n v="0"/>
    <n v="6835"/>
    <n v="0"/>
    <n v="0"/>
  </r>
  <r>
    <s v="Monthly-AE-May-2024.csv"/>
    <x v="10"/>
    <s v="ACH01"/>
    <s v="NHS ENGLAND SOUTH EAST "/>
    <x v="50"/>
    <n v="0"/>
    <n v="0"/>
    <n v="4668"/>
    <n v="0"/>
    <n v="0"/>
    <n v="0"/>
    <n v="0"/>
    <n v="0"/>
    <n v="0"/>
    <n v="0"/>
    <n v="0"/>
    <n v="0"/>
    <n v="0"/>
    <n v="0"/>
    <n v="0"/>
    <n v="0"/>
    <n v="0"/>
    <n v="0"/>
    <n v="4668"/>
    <n v="0"/>
    <n v="0"/>
  </r>
  <r>
    <s v="Monthly-AE-May-2024.csv"/>
    <x v="10"/>
    <s v="AD913"/>
    <s v="NHS ENGLAND LONDON"/>
    <x v="3"/>
    <n v="0"/>
    <n v="0"/>
    <n v="3999"/>
    <n v="0"/>
    <n v="0"/>
    <n v="187"/>
    <n v="0"/>
    <n v="0"/>
    <n v="34"/>
    <n v="0"/>
    <n v="0"/>
    <n v="0"/>
    <n v="0"/>
    <n v="0"/>
    <n v="0"/>
    <n v="0"/>
    <n v="0"/>
    <n v="0"/>
    <n v="3999"/>
    <n v="34"/>
    <n v="0"/>
  </r>
  <r>
    <s v="Monthly-AE-May-2024.csv"/>
    <x v="10"/>
    <s v="AQN04"/>
    <s v="NHS ENGLAND SOUTH EAST "/>
    <x v="4"/>
    <n v="0"/>
    <n v="0"/>
    <n v="3021"/>
    <n v="0"/>
    <n v="0"/>
    <n v="20"/>
    <n v="0"/>
    <n v="0"/>
    <n v="13"/>
    <n v="0"/>
    <n v="0"/>
    <n v="0"/>
    <n v="0"/>
    <n v="0"/>
    <n v="0"/>
    <n v="0"/>
    <n v="0"/>
    <n v="0"/>
    <n v="3021"/>
    <n v="13"/>
    <n v="0"/>
  </r>
  <r>
    <s v="Monthly-AE-May-2024.csv"/>
    <x v="10"/>
    <s v="AXG"/>
    <s v="NHS ENGLAND SOUTH WEST "/>
    <x v="30"/>
    <n v="0"/>
    <n v="0"/>
    <n v="2691"/>
    <n v="0"/>
    <n v="0"/>
    <n v="0"/>
    <n v="0"/>
    <n v="0"/>
    <n v="63"/>
    <n v="0"/>
    <n v="0"/>
    <n v="0"/>
    <n v="0"/>
    <n v="0"/>
    <n v="0"/>
    <n v="0"/>
    <n v="0"/>
    <n v="0"/>
    <n v="2691"/>
    <n v="63"/>
    <n v="0"/>
  </r>
  <r>
    <s v="Monthly-AE-May-2024.csv"/>
    <x v="10"/>
    <s v="C82038"/>
    <s v="NHS ENGLAND MIDLANDS "/>
    <x v="31"/>
    <n v="0"/>
    <n v="0"/>
    <n v="335"/>
    <n v="0"/>
    <n v="0"/>
    <n v="0"/>
    <n v="0"/>
    <n v="0"/>
    <n v="0"/>
    <n v="0"/>
    <n v="0"/>
    <n v="0"/>
    <n v="0"/>
    <n v="0"/>
    <n v="0"/>
    <n v="0"/>
    <n v="0"/>
    <n v="0"/>
    <n v="335"/>
    <n v="0"/>
    <n v="0"/>
  </r>
  <r>
    <s v="Monthly-AE-May-2024.csv"/>
    <x v="10"/>
    <s v="G0Q0L"/>
    <s v="NHS ENGLAND LONDON"/>
    <x v="32"/>
    <n v="0"/>
    <n v="0"/>
    <n v="2969"/>
    <n v="0"/>
    <n v="0"/>
    <n v="0"/>
    <n v="0"/>
    <n v="0"/>
    <n v="16"/>
    <n v="0"/>
    <n v="0"/>
    <n v="0"/>
    <n v="0"/>
    <n v="0"/>
    <n v="0"/>
    <n v="0"/>
    <n v="0"/>
    <n v="0"/>
    <n v="2969"/>
    <n v="16"/>
    <n v="0"/>
  </r>
  <r>
    <s v="Monthly-AE-May-2024.csv"/>
    <x v="10"/>
    <s v="K6K0R"/>
    <s v="NHS ENGLAND LONDON"/>
    <x v="33"/>
    <n v="0"/>
    <n v="0"/>
    <n v="3114"/>
    <n v="0"/>
    <n v="0"/>
    <n v="0"/>
    <n v="0"/>
    <n v="0"/>
    <n v="11"/>
    <n v="0"/>
    <n v="0"/>
    <n v="0"/>
    <n v="0"/>
    <n v="0"/>
    <n v="0"/>
    <n v="0"/>
    <n v="0"/>
    <n v="0"/>
    <n v="3114"/>
    <n v="11"/>
    <n v="0"/>
  </r>
  <r>
    <s v="Monthly-AE-May-2024.csv"/>
    <x v="10"/>
    <s v="L83087"/>
    <s v="NHS ENGLAND SOUTH WEST "/>
    <x v="5"/>
    <n v="0"/>
    <n v="0"/>
    <n v="76"/>
    <n v="0"/>
    <n v="0"/>
    <n v="0"/>
    <n v="0"/>
    <n v="0"/>
    <n v="0"/>
    <n v="0"/>
    <n v="0"/>
    <n v="0"/>
    <n v="0"/>
    <n v="0"/>
    <n v="0"/>
    <n v="0"/>
    <n v="0"/>
    <n v="0"/>
    <n v="76"/>
    <n v="0"/>
    <n v="0"/>
  </r>
  <r>
    <s v="Monthly-AE-May-2024.csv"/>
    <x v="10"/>
    <s v="NLX"/>
    <s v="NHS ENGLAND SOUTH WEST "/>
    <x v="195"/>
    <n v="0"/>
    <n v="0"/>
    <n v="8802"/>
    <n v="0"/>
    <n v="0"/>
    <n v="234"/>
    <n v="0"/>
    <n v="0"/>
    <n v="671"/>
    <n v="0"/>
    <n v="0"/>
    <n v="58"/>
    <n v="0"/>
    <n v="0"/>
    <n v="0"/>
    <n v="0"/>
    <n v="0"/>
    <n v="0"/>
    <n v="8802"/>
    <n v="671"/>
    <n v="0"/>
  </r>
  <r>
    <s v="Monthly-AE-May-2024.csv"/>
    <x v="10"/>
    <s v="NQT5F"/>
    <s v="NHS ENGLAND NORTH WEST "/>
    <x v="20"/>
    <n v="0"/>
    <n v="0"/>
    <n v="1952"/>
    <n v="0"/>
    <n v="0"/>
    <n v="0"/>
    <n v="0"/>
    <n v="0"/>
    <n v="6"/>
    <n v="0"/>
    <n v="0"/>
    <n v="0"/>
    <n v="0"/>
    <n v="0"/>
    <n v="0"/>
    <n v="0"/>
    <n v="0"/>
    <n v="0"/>
    <n v="1952"/>
    <n v="6"/>
    <n v="0"/>
  </r>
  <r>
    <s v="Monthly-AE-May-2024.csv"/>
    <x v="10"/>
    <s v="NQT5H"/>
    <s v="NHS ENGLAND SOUTH WEST "/>
    <x v="21"/>
    <n v="0"/>
    <n v="0"/>
    <n v="1032"/>
    <n v="0"/>
    <n v="0"/>
    <n v="0"/>
    <n v="0"/>
    <n v="0"/>
    <n v="10"/>
    <n v="0"/>
    <n v="0"/>
    <n v="0"/>
    <n v="0"/>
    <n v="0"/>
    <n v="0"/>
    <n v="0"/>
    <n v="0"/>
    <n v="0"/>
    <n v="1032"/>
    <n v="10"/>
    <n v="0"/>
  </r>
  <r>
    <s v="Monthly-AE-May-2024.csv"/>
    <x v="10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5"/>
  </r>
  <r>
    <s v="Monthly-AE-May-2024.csv"/>
    <x v="10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9"/>
    <n v="51"/>
    <n v="0"/>
    <n v="0"/>
    <n v="60"/>
  </r>
  <r>
    <s v="Monthly-AE-May-2024.csv"/>
    <x v="10"/>
    <s v="RLQ"/>
    <s v="NHS ENGLAND MIDLANDS "/>
    <x v="86"/>
    <n v="6533"/>
    <n v="1179"/>
    <n v="0"/>
    <n v="167"/>
    <n v="0"/>
    <n v="0"/>
    <n v="2484"/>
    <n v="0"/>
    <n v="0"/>
    <n v="31"/>
    <n v="0"/>
    <n v="0"/>
    <n v="465"/>
    <n v="318"/>
    <n v="2035"/>
    <n v="0"/>
    <n v="0"/>
    <n v="690"/>
    <n v="7712"/>
    <n v="2484"/>
    <n v="2725"/>
  </r>
  <r>
    <s v="Monthly-AE-May-2024.csv"/>
    <x v="10"/>
    <s v="RQ3"/>
    <s v="NHS ENGLAND MIDLANDS "/>
    <x v="189"/>
    <n v="5569"/>
    <n v="0"/>
    <n v="0"/>
    <n v="0"/>
    <n v="0"/>
    <n v="0"/>
    <n v="1208"/>
    <n v="0"/>
    <n v="0"/>
    <n v="0"/>
    <n v="0"/>
    <n v="0"/>
    <n v="0"/>
    <n v="6"/>
    <n v="1079"/>
    <n v="0"/>
    <n v="0"/>
    <n v="212"/>
    <n v="5569"/>
    <n v="1208"/>
    <n v="1291"/>
  </r>
  <r>
    <s v="Monthly-AE-May-2024.csv"/>
    <x v="10"/>
    <s v="RW1"/>
    <s v="NHS ENGLAND SOUTH EAST "/>
    <x v="46"/>
    <n v="0"/>
    <n v="0"/>
    <n v="3163"/>
    <n v="0"/>
    <n v="0"/>
    <n v="0"/>
    <n v="0"/>
    <n v="0"/>
    <n v="93"/>
    <n v="0"/>
    <n v="0"/>
    <n v="0"/>
    <n v="0"/>
    <n v="0"/>
    <n v="0"/>
    <n v="0"/>
    <n v="0"/>
    <n v="136"/>
    <n v="3163"/>
    <n v="93"/>
    <n v="136"/>
  </r>
  <r>
    <s v="Monthly-AE-May-2024.csv"/>
    <x v="10"/>
    <s v="RWY"/>
    <s v="NHS ENGLAND NORTH EAST AND YORKSHIRE "/>
    <x v="10"/>
    <n v="16416"/>
    <n v="0"/>
    <n v="0"/>
    <n v="0"/>
    <n v="0"/>
    <n v="0"/>
    <n v="5090"/>
    <n v="0"/>
    <n v="0"/>
    <n v="0"/>
    <n v="0"/>
    <n v="0"/>
    <n v="1143"/>
    <n v="1"/>
    <n v="2999"/>
    <n v="0"/>
    <n v="0"/>
    <n v="313"/>
    <n v="16416"/>
    <n v="5090"/>
    <n v="3312"/>
  </r>
  <r>
    <s v="Monthly-AE-May-2024.csv"/>
    <x v="10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0"/>
    <n v="135"/>
  </r>
  <r>
    <s v="Monthly-AE-May-2024.csv"/>
    <x v="10"/>
    <s v="RXL"/>
    <s v="NHS ENGLAND NORTH WEST "/>
    <x v="72"/>
    <n v="9230"/>
    <n v="0"/>
    <n v="10889"/>
    <n v="302"/>
    <n v="0"/>
    <n v="317"/>
    <n v="4047"/>
    <n v="0"/>
    <n v="67"/>
    <n v="96"/>
    <n v="0"/>
    <n v="0"/>
    <n v="398"/>
    <n v="707"/>
    <n v="2570"/>
    <n v="0"/>
    <n v="0"/>
    <n v="1638"/>
    <n v="20119"/>
    <n v="4114"/>
    <n v="4208"/>
  </r>
  <r>
    <s v="Monthly-AE-May-2024.csv"/>
    <x v="10"/>
    <s v="DT301"/>
    <s v="NHS ENGLAND EAST OF ENGLAND "/>
    <x v="19"/>
    <n v="0"/>
    <n v="0"/>
    <n v="2489"/>
    <n v="0"/>
    <n v="0"/>
    <n v="0"/>
    <n v="0"/>
    <n v="0"/>
    <n v="68"/>
    <n v="0"/>
    <n v="0"/>
    <n v="0"/>
    <n v="0"/>
    <n v="0"/>
    <n v="0"/>
    <n v="0"/>
    <n v="0"/>
    <n v="0"/>
    <n v="2489"/>
    <n v="68"/>
    <n v="0"/>
  </r>
  <r>
    <s v="Monthly-AE-May-2024.csv"/>
    <x v="10"/>
    <s v="NL7"/>
    <s v="NHS ENGLAND MIDLANDS "/>
    <x v="95"/>
    <n v="0"/>
    <n v="0"/>
    <n v="4727"/>
    <n v="0"/>
    <n v="0"/>
    <n v="0"/>
    <n v="0"/>
    <n v="0"/>
    <n v="0"/>
    <n v="0"/>
    <n v="0"/>
    <n v="0"/>
    <n v="0"/>
    <n v="0"/>
    <n v="0"/>
    <n v="0"/>
    <n v="0"/>
    <n v="0"/>
    <n v="4727"/>
    <n v="0"/>
    <n v="0"/>
  </r>
  <r>
    <s v="Monthly-AE-May-2024.csv"/>
    <x v="10"/>
    <s v="NQTE4"/>
    <s v="NHS ENGLAND MIDLANDS "/>
    <x v="6"/>
    <n v="0"/>
    <n v="0"/>
    <n v="3478"/>
    <n v="0"/>
    <n v="0"/>
    <n v="0"/>
    <n v="0"/>
    <n v="0"/>
    <n v="0"/>
    <n v="0"/>
    <n v="0"/>
    <n v="0"/>
    <n v="0"/>
    <n v="0"/>
    <n v="0"/>
    <n v="0"/>
    <n v="0"/>
    <n v="0"/>
    <n v="3478"/>
    <n v="0"/>
    <n v="0"/>
  </r>
  <r>
    <s v="Monthly-AE-May-2024.csv"/>
    <x v="10"/>
    <s v="RAX"/>
    <s v="NHS ENGLAND LONDON"/>
    <x v="100"/>
    <n v="7329"/>
    <n v="0"/>
    <n v="8787"/>
    <n v="0"/>
    <n v="0"/>
    <n v="0"/>
    <n v="3590"/>
    <n v="0"/>
    <n v="331"/>
    <n v="0"/>
    <n v="0"/>
    <n v="0"/>
    <n v="143"/>
    <n v="486"/>
    <n v="1996"/>
    <n v="0"/>
    <n v="209"/>
    <n v="677"/>
    <n v="16116"/>
    <n v="3921"/>
    <n v="2882"/>
  </r>
  <r>
    <s v="Monthly-AE-May-2024.csv"/>
    <x v="10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65"/>
    <n v="0"/>
    <n v="0"/>
    <n v="165"/>
  </r>
  <r>
    <s v="Monthly-AE-May-2024.csv"/>
    <x v="10"/>
    <s v="RNU"/>
    <s v="NHS ENGLAND SOUTH EAST "/>
    <x v="112"/>
    <n v="0"/>
    <n v="0"/>
    <n v="4484"/>
    <n v="0"/>
    <n v="0"/>
    <n v="0"/>
    <n v="0"/>
    <n v="0"/>
    <n v="464"/>
    <n v="0"/>
    <n v="0"/>
    <n v="0"/>
    <n v="0"/>
    <n v="0"/>
    <n v="0"/>
    <n v="0"/>
    <n v="0"/>
    <n v="0"/>
    <n v="4484"/>
    <n v="464"/>
    <n v="0"/>
  </r>
  <r>
    <s v="Monthly-AE-May-2024.csv"/>
    <x v="10"/>
    <s v="RPC"/>
    <s v="NHS ENGLAND SOUTH EAST "/>
    <x v="27"/>
    <n v="0"/>
    <n v="0"/>
    <n v="1618"/>
    <n v="0"/>
    <n v="0"/>
    <n v="0"/>
    <n v="0"/>
    <n v="0"/>
    <n v="17"/>
    <n v="0"/>
    <n v="0"/>
    <n v="0"/>
    <n v="0"/>
    <n v="0"/>
    <n v="0"/>
    <n v="0"/>
    <n v="5"/>
    <n v="630"/>
    <n v="1618"/>
    <n v="17"/>
    <n v="635"/>
  </r>
  <r>
    <s v="Monthly-AE-May-2024.csv"/>
    <x v="10"/>
    <s v="RWA"/>
    <s v="NHS ENGLAND NORTH EAST AND YORKSHIRE "/>
    <x v="116"/>
    <n v="9392"/>
    <n v="0"/>
    <n v="5089"/>
    <n v="0"/>
    <n v="0"/>
    <n v="0"/>
    <n v="4986"/>
    <n v="0"/>
    <n v="643"/>
    <n v="0"/>
    <n v="0"/>
    <n v="0"/>
    <n v="1046"/>
    <n v="360"/>
    <n v="3462"/>
    <n v="0"/>
    <n v="0"/>
    <n v="1839"/>
    <n v="14481"/>
    <n v="5629"/>
    <n v="5301"/>
  </r>
  <r>
    <s v="Monthly-AE-May-2024.csv"/>
    <x v="10"/>
    <s v="C83023"/>
    <s v="NHS ENGLAND MIDLANDS "/>
    <x v="190"/>
    <n v="0"/>
    <n v="0"/>
    <n v="605"/>
    <n v="0"/>
    <n v="0"/>
    <n v="0"/>
    <n v="0"/>
    <n v="0"/>
    <n v="0"/>
    <n v="0"/>
    <n v="0"/>
    <n v="0"/>
    <n v="0"/>
    <n v="0"/>
    <n v="0"/>
    <n v="0"/>
    <n v="0"/>
    <n v="18"/>
    <n v="605"/>
    <n v="0"/>
    <n v="18"/>
  </r>
  <r>
    <s v="Monthly-AE-May-2024.csv"/>
    <x v="10"/>
    <s v="RC9"/>
    <s v="NHS ENGLAND EAST OF ENGLAND "/>
    <x v="131"/>
    <n v="16836"/>
    <n v="0"/>
    <n v="8529"/>
    <n v="0"/>
    <n v="0"/>
    <n v="1115"/>
    <n v="6466"/>
    <n v="0"/>
    <n v="0"/>
    <n v="0"/>
    <n v="0"/>
    <n v="0"/>
    <n v="82"/>
    <n v="27"/>
    <n v="4730"/>
    <n v="0"/>
    <n v="0"/>
    <n v="2314"/>
    <n v="25365"/>
    <n v="6466"/>
    <n v="7044"/>
  </r>
  <r>
    <s v="Monthly-AE-May-2024.csv"/>
    <x v="10"/>
    <s v="RCX"/>
    <s v="NHS ENGLAND EAST OF ENGLAND "/>
    <x v="185"/>
    <n v="6910"/>
    <n v="0"/>
    <n v="1234"/>
    <n v="14"/>
    <n v="0"/>
    <n v="0"/>
    <n v="2168"/>
    <n v="0"/>
    <n v="0"/>
    <n v="4"/>
    <n v="0"/>
    <n v="0"/>
    <n v="319"/>
    <n v="97"/>
    <n v="2395"/>
    <n v="0"/>
    <n v="0"/>
    <n v="711"/>
    <n v="8144"/>
    <n v="2168"/>
    <n v="3106"/>
  </r>
  <r>
    <s v="Monthly-AE-May-2024.csv"/>
    <x v="10"/>
    <s v="RFF"/>
    <s v="NHS ENGLAND NORTH EAST AND YORKSHIRE "/>
    <x v="26"/>
    <n v="8850"/>
    <n v="0"/>
    <n v="0"/>
    <n v="426"/>
    <n v="0"/>
    <n v="0"/>
    <n v="2688"/>
    <n v="0"/>
    <n v="0"/>
    <n v="0"/>
    <n v="0"/>
    <n v="0"/>
    <n v="323"/>
    <n v="0"/>
    <n v="2968"/>
    <n v="0"/>
    <n v="0"/>
    <n v="550"/>
    <n v="8850"/>
    <n v="2688"/>
    <n v="3518"/>
  </r>
  <r>
    <s v="Monthly-AE-May-2024.csv"/>
    <x v="10"/>
    <s v="RJR"/>
    <s v="NHS ENGLAND NORTH WEST "/>
    <x v="108"/>
    <n v="5418"/>
    <n v="0"/>
    <n v="2120"/>
    <n v="0"/>
    <n v="0"/>
    <n v="0"/>
    <n v="2846"/>
    <n v="0"/>
    <n v="185"/>
    <n v="0"/>
    <n v="0"/>
    <n v="0"/>
    <n v="291"/>
    <n v="706"/>
    <n v="1670"/>
    <n v="0"/>
    <n v="0"/>
    <n v="1246"/>
    <n v="7538"/>
    <n v="3031"/>
    <n v="2916"/>
  </r>
  <r>
    <s v="Monthly-AE-May-2024.csv"/>
    <x v="10"/>
    <s v="RR7"/>
    <s v="NHS ENGLAND NORTH EAST AND YORKSHIRE "/>
    <x v="113"/>
    <n v="5873"/>
    <n v="0"/>
    <n v="4098"/>
    <n v="28"/>
    <n v="0"/>
    <n v="3"/>
    <n v="2726"/>
    <n v="0"/>
    <n v="61"/>
    <n v="12"/>
    <n v="0"/>
    <n v="0"/>
    <n v="954"/>
    <n v="4"/>
    <n v="1653"/>
    <n v="0"/>
    <n v="0"/>
    <n v="53"/>
    <n v="9971"/>
    <n v="2787"/>
    <n v="1706"/>
  </r>
  <r>
    <s v="Monthly-AE-May-2024.csv"/>
    <x v="10"/>
    <s v="RWG"/>
    <s v="NHS ENGLAND EAST OF ENGLAND "/>
    <x v="47"/>
    <n v="8347"/>
    <n v="0"/>
    <n v="8188"/>
    <n v="0"/>
    <n v="0"/>
    <n v="864"/>
    <n v="3113"/>
    <n v="0"/>
    <n v="401"/>
    <n v="0"/>
    <n v="0"/>
    <n v="0"/>
    <n v="800"/>
    <n v="1"/>
    <n v="4007"/>
    <n v="0"/>
    <n v="0"/>
    <n v="560"/>
    <n v="16535"/>
    <n v="3514"/>
    <n v="4567"/>
  </r>
  <r>
    <s v="Monthly-AE-May-2024.csv"/>
    <x v="10"/>
    <s v="Y02147"/>
    <s v="NHS ENGLAND LONDON"/>
    <x v="29"/>
    <n v="0"/>
    <n v="0"/>
    <n v="8154"/>
    <n v="0"/>
    <n v="0"/>
    <n v="612"/>
    <n v="0"/>
    <n v="0"/>
    <n v="352"/>
    <n v="0"/>
    <n v="0"/>
    <n v="6"/>
    <n v="0"/>
    <n v="0"/>
    <n v="0"/>
    <n v="0"/>
    <n v="0"/>
    <n v="0"/>
    <n v="8154"/>
    <n v="352"/>
    <n v="0"/>
  </r>
  <r>
    <s v="Monthly-AE-May-2024.csv"/>
    <x v="10"/>
    <s v="NQT51"/>
    <s v="NHS ENGLAND SOUTH EAST "/>
    <x v="39"/>
    <n v="0"/>
    <n v="0"/>
    <n v="1076"/>
    <n v="0"/>
    <n v="0"/>
    <n v="0"/>
    <n v="0"/>
    <n v="0"/>
    <n v="0"/>
    <n v="0"/>
    <n v="0"/>
    <n v="0"/>
    <n v="0"/>
    <n v="0"/>
    <n v="0"/>
    <n v="0"/>
    <n v="0"/>
    <n v="0"/>
    <n v="1076"/>
    <n v="0"/>
    <n v="0"/>
  </r>
  <r>
    <s v="Monthly-AE-May-2024.csv"/>
    <x v="10"/>
    <s v="NR3"/>
    <s v="NHS ENGLAND MIDLANDS "/>
    <x v="57"/>
    <n v="0"/>
    <n v="0"/>
    <n v="5649"/>
    <n v="0"/>
    <n v="0"/>
    <n v="268"/>
    <n v="0"/>
    <n v="0"/>
    <n v="412"/>
    <n v="0"/>
    <n v="0"/>
    <n v="0"/>
    <n v="0"/>
    <n v="0"/>
    <n v="0"/>
    <n v="0"/>
    <n v="0"/>
    <n v="0"/>
    <n v="5649"/>
    <n v="412"/>
    <n v="0"/>
  </r>
  <r>
    <s v="Monthly-AE-May-2024.csv"/>
    <x v="10"/>
    <s v="RGP"/>
    <s v="NHS ENGLAND EAST OF ENGLAND "/>
    <x v="61"/>
    <n v="7644"/>
    <n v="0"/>
    <n v="1449"/>
    <n v="116"/>
    <n v="0"/>
    <n v="0"/>
    <n v="3127"/>
    <n v="0"/>
    <n v="0"/>
    <n v="39"/>
    <n v="0"/>
    <n v="0"/>
    <n v="621"/>
    <n v="412"/>
    <n v="1661"/>
    <n v="0"/>
    <n v="0"/>
    <n v="417"/>
    <n v="9093"/>
    <n v="3127"/>
    <n v="2078"/>
  </r>
  <r>
    <s v="Monthly-AE-May-2024.csv"/>
    <x v="10"/>
    <s v="RNS"/>
    <s v="NHS ENGLAND MIDLANDS "/>
    <x v="41"/>
    <n v="11615"/>
    <n v="618"/>
    <n v="2251"/>
    <n v="709"/>
    <n v="0"/>
    <n v="26"/>
    <n v="3860"/>
    <n v="13"/>
    <n v="81"/>
    <n v="197"/>
    <n v="0"/>
    <n v="1"/>
    <n v="408"/>
    <n v="770"/>
    <n v="1991"/>
    <n v="0"/>
    <n v="0"/>
    <n v="1145"/>
    <n v="14484"/>
    <n v="3954"/>
    <n v="3136"/>
  </r>
  <r>
    <s v="Monthly-AE-May-2024.csv"/>
    <x v="10"/>
    <s v="RQX"/>
    <s v="NHS ENGLAND LONDON"/>
    <x v="36"/>
    <n v="11636"/>
    <n v="0"/>
    <n v="0"/>
    <n v="15"/>
    <n v="0"/>
    <n v="0"/>
    <n v="2328"/>
    <n v="0"/>
    <n v="0"/>
    <n v="0"/>
    <n v="0"/>
    <n v="0"/>
    <n v="207"/>
    <n v="18"/>
    <n v="1787"/>
    <n v="0"/>
    <n v="0"/>
    <n v="308"/>
    <n v="11636"/>
    <n v="2328"/>
    <n v="2095"/>
  </r>
  <r>
    <s v="Monthly-AE-May-2024.csv"/>
    <x v="10"/>
    <s v="RRV"/>
    <s v="NHS ENGLAND LONDON"/>
    <x v="28"/>
    <n v="13474"/>
    <n v="0"/>
    <n v="0"/>
    <n v="546"/>
    <n v="0"/>
    <n v="0"/>
    <n v="4779"/>
    <n v="0"/>
    <n v="0"/>
    <n v="0"/>
    <n v="0"/>
    <n v="0"/>
    <n v="426"/>
    <n v="140"/>
    <n v="1480"/>
    <n v="0"/>
    <n v="0"/>
    <n v="275"/>
    <n v="13474"/>
    <n v="4779"/>
    <n v="1755"/>
  </r>
  <r>
    <s v="Monthly-AE-May-2024.csv"/>
    <x v="10"/>
    <s v="RTQ"/>
    <s v="NHS ENGLAND SOUTH WEST "/>
    <x v="115"/>
    <n v="0"/>
    <n v="0"/>
    <n v="7544"/>
    <n v="0"/>
    <n v="0"/>
    <n v="0"/>
    <n v="0"/>
    <n v="0"/>
    <n v="46"/>
    <n v="0"/>
    <n v="0"/>
    <n v="0"/>
    <n v="0"/>
    <n v="0"/>
    <n v="0"/>
    <n v="0"/>
    <n v="0"/>
    <n v="24"/>
    <n v="7544"/>
    <n v="46"/>
    <n v="24"/>
  </r>
  <r>
    <s v="Monthly-AE-May-2024.csv"/>
    <x v="10"/>
    <s v="RV9"/>
    <s v="NHS ENGLAND NORTH EAST AND YORKSHIRE "/>
    <x v="67"/>
    <n v="0"/>
    <n v="0"/>
    <n v="1243"/>
    <n v="0"/>
    <n v="0"/>
    <n v="46"/>
    <n v="0"/>
    <n v="0"/>
    <n v="18"/>
    <n v="0"/>
    <n v="0"/>
    <n v="0"/>
    <n v="0"/>
    <n v="0"/>
    <n v="0"/>
    <n v="0"/>
    <n v="0"/>
    <n v="0"/>
    <n v="1243"/>
    <n v="18"/>
    <n v="0"/>
  </r>
  <r>
    <s v="Monthly-AE-May-2024.csv"/>
    <x v="10"/>
    <s v="RXW"/>
    <s v="NHS ENGLAND MIDLANDS "/>
    <x v="120"/>
    <n v="11073"/>
    <n v="0"/>
    <n v="2690"/>
    <n v="0"/>
    <n v="0"/>
    <n v="0"/>
    <n v="6706"/>
    <n v="0"/>
    <n v="390"/>
    <n v="0"/>
    <n v="0"/>
    <n v="0"/>
    <n v="465"/>
    <n v="790"/>
    <n v="2944"/>
    <n v="0"/>
    <n v="136"/>
    <n v="2182"/>
    <n v="13763"/>
    <n v="7096"/>
    <n v="5262"/>
  </r>
  <r>
    <s v="Monthly-AE-May-2024.csv"/>
    <x v="10"/>
    <s v="RYY"/>
    <s v="NHS ENGLAND SOUTH EAST "/>
    <x v="48"/>
    <n v="0"/>
    <n v="0"/>
    <n v="10818"/>
    <n v="0"/>
    <n v="0"/>
    <n v="0"/>
    <n v="0"/>
    <n v="0"/>
    <n v="44"/>
    <n v="0"/>
    <n v="0"/>
    <n v="0"/>
    <n v="0"/>
    <n v="0"/>
    <n v="0"/>
    <n v="0"/>
    <n v="0"/>
    <n v="0"/>
    <n v="10818"/>
    <n v="44"/>
    <n v="0"/>
  </r>
  <r>
    <s v="Monthly-AE-May-2024.csv"/>
    <x v="10"/>
    <s v="Y07709"/>
    <s v="NHS ENGLAND SOUTH EAST "/>
    <x v="38"/>
    <n v="0"/>
    <n v="0"/>
    <n v="2265"/>
    <n v="0"/>
    <n v="0"/>
    <n v="0"/>
    <n v="0"/>
    <n v="0"/>
    <n v="0"/>
    <n v="0"/>
    <n v="0"/>
    <n v="0"/>
    <n v="0"/>
    <n v="0"/>
    <n v="0"/>
    <n v="0"/>
    <n v="0"/>
    <n v="0"/>
    <n v="2265"/>
    <n v="0"/>
    <n v="0"/>
  </r>
  <r>
    <s v="Monthly-AE-May-2024.csv"/>
    <x v="10"/>
    <s v="C82009"/>
    <s v="NHS ENGLAND MIDLANDS "/>
    <x v="123"/>
    <n v="0"/>
    <n v="0"/>
    <n v="374"/>
    <n v="0"/>
    <n v="0"/>
    <n v="0"/>
    <n v="0"/>
    <n v="0"/>
    <n v="0"/>
    <n v="0"/>
    <n v="0"/>
    <n v="0"/>
    <n v="0"/>
    <n v="0"/>
    <n v="0"/>
    <n v="0"/>
    <n v="0"/>
    <n v="0"/>
    <n v="374"/>
    <n v="0"/>
    <n v="0"/>
  </r>
  <r>
    <s v="Monthly-AE-May-2024.csv"/>
    <x v="10"/>
    <s v="NTP11"/>
    <s v="NHS ENGLAND SOUTH EAST "/>
    <x v="34"/>
    <n v="0"/>
    <n v="0"/>
    <n v="5916"/>
    <n v="0"/>
    <n v="0"/>
    <n v="0"/>
    <n v="0"/>
    <n v="0"/>
    <n v="366"/>
    <n v="0"/>
    <n v="0"/>
    <n v="0"/>
    <n v="0"/>
    <n v="0"/>
    <n v="0"/>
    <n v="0"/>
    <n v="0"/>
    <n v="0"/>
    <n v="5916"/>
    <n v="366"/>
    <n v="0"/>
  </r>
  <r>
    <s v="Monthly-AE-May-2024.csv"/>
    <x v="10"/>
    <s v="RAE"/>
    <s v="NHS ENGLAND NORTH EAST AND YORKSHIRE "/>
    <x v="79"/>
    <n v="9649"/>
    <n v="1123"/>
    <n v="3445"/>
    <n v="0"/>
    <n v="0"/>
    <n v="0"/>
    <n v="2409"/>
    <n v="0"/>
    <n v="0"/>
    <n v="0"/>
    <n v="0"/>
    <n v="0"/>
    <n v="692"/>
    <n v="116"/>
    <n v="2479"/>
    <n v="0"/>
    <n v="63"/>
    <n v="1486"/>
    <n v="14217"/>
    <n v="2409"/>
    <n v="4028"/>
  </r>
  <r>
    <s v="Monthly-AE-May-2024.csv"/>
    <x v="10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May-2024.csv"/>
    <x v="10"/>
    <s v="Y02532"/>
    <s v="NHS ENGLAND NORTH WEST "/>
    <x v="15"/>
    <n v="0"/>
    <n v="0"/>
    <n v="1682"/>
    <n v="0"/>
    <n v="0"/>
    <n v="0"/>
    <n v="0"/>
    <n v="0"/>
    <n v="12"/>
    <n v="0"/>
    <n v="0"/>
    <n v="0"/>
    <n v="0"/>
    <n v="0"/>
    <n v="0"/>
    <n v="0"/>
    <n v="0"/>
    <n v="0"/>
    <n v="1682"/>
    <n v="12"/>
    <n v="0"/>
  </r>
  <r>
    <s v="Monthly-AE-May-2024.csv"/>
    <x v="10"/>
    <s v="Y03218"/>
    <s v="NHS ENGLAND LONDON"/>
    <x v="18"/>
    <n v="0"/>
    <n v="0"/>
    <n v="892"/>
    <n v="0"/>
    <n v="0"/>
    <n v="0"/>
    <n v="0"/>
    <n v="0"/>
    <n v="0"/>
    <n v="0"/>
    <n v="0"/>
    <n v="0"/>
    <n v="0"/>
    <n v="0"/>
    <n v="0"/>
    <n v="0"/>
    <n v="0"/>
    <n v="0"/>
    <n v="892"/>
    <n v="0"/>
    <n v="0"/>
  </r>
  <r>
    <s v="Monthly-AE-May-2024.csv"/>
    <x v="10"/>
    <s v="8J094"/>
    <s v="NHS ENGLAND MIDLANDS "/>
    <x v="2"/>
    <n v="0"/>
    <n v="0"/>
    <n v="0"/>
    <n v="0"/>
    <n v="0"/>
    <n v="2119"/>
    <n v="0"/>
    <n v="0"/>
    <n v="0"/>
    <n v="0"/>
    <n v="0"/>
    <n v="0"/>
    <n v="0"/>
    <n v="0"/>
    <n v="0"/>
    <n v="0"/>
    <n v="0"/>
    <n v="0"/>
    <n v="0"/>
    <n v="0"/>
    <n v="0"/>
  </r>
  <r>
    <s v="Monthly-AE-May-2024.csv"/>
    <x v="10"/>
    <s v="NV693"/>
    <s v="NHS ENGLAND NORTH WEST "/>
    <x v="76"/>
    <n v="0"/>
    <n v="0"/>
    <n v="1227"/>
    <n v="0"/>
    <n v="0"/>
    <n v="0"/>
    <n v="0"/>
    <n v="0"/>
    <n v="0"/>
    <n v="0"/>
    <n v="0"/>
    <n v="0"/>
    <n v="0"/>
    <n v="0"/>
    <n v="0"/>
    <n v="0"/>
    <n v="0"/>
    <n v="0"/>
    <n v="1227"/>
    <n v="0"/>
    <n v="0"/>
  </r>
  <r>
    <s v="Monthly-AE-May-2024.csv"/>
    <x v="10"/>
    <s v="RA2"/>
    <s v="NHS ENGLAND SOUTH EAST "/>
    <x v="97"/>
    <n v="6641"/>
    <n v="0"/>
    <n v="1451"/>
    <n v="708"/>
    <n v="0"/>
    <n v="10"/>
    <n v="2310"/>
    <n v="0"/>
    <n v="0"/>
    <n v="215"/>
    <n v="0"/>
    <n v="0"/>
    <n v="390"/>
    <n v="7"/>
    <n v="2415"/>
    <n v="0"/>
    <n v="0"/>
    <n v="1118"/>
    <n v="8092"/>
    <n v="2310"/>
    <n v="3533"/>
  </r>
  <r>
    <s v="Monthly-AE-May-2024.csv"/>
    <x v="10"/>
    <s v="RBD"/>
    <s v="NHS ENGLAND SOUTH WEST "/>
    <x v="101"/>
    <n v="4472"/>
    <n v="0"/>
    <n v="0"/>
    <n v="380"/>
    <n v="0"/>
    <n v="4478"/>
    <n v="1774"/>
    <n v="0"/>
    <n v="0"/>
    <n v="116"/>
    <n v="0"/>
    <n v="8"/>
    <n v="225"/>
    <n v="15"/>
    <n v="1829"/>
    <n v="0"/>
    <n v="0"/>
    <n v="542"/>
    <n v="4472"/>
    <n v="1774"/>
    <n v="2371"/>
  </r>
  <r>
    <s v="Monthly-AE-May-2024.csv"/>
    <x v="10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775"/>
    <n v="0"/>
    <n v="0"/>
    <n v="775"/>
  </r>
  <r>
    <s v="Monthly-AE-May-2024.csv"/>
    <x v="10"/>
    <s v="RDU"/>
    <s v="NHS ENGLAND SOUTH EAST "/>
    <x v="82"/>
    <n v="23846"/>
    <n v="918"/>
    <n v="11696"/>
    <n v="0"/>
    <n v="0"/>
    <n v="0"/>
    <n v="10001"/>
    <n v="1"/>
    <n v="91"/>
    <n v="0"/>
    <n v="0"/>
    <n v="0"/>
    <n v="2229"/>
    <n v="227"/>
    <n v="6175"/>
    <n v="0"/>
    <n v="0"/>
    <n v="286"/>
    <n v="36460"/>
    <n v="10093"/>
    <n v="6461"/>
  </r>
  <r>
    <s v="Monthly-AE-May-2024.csv"/>
    <x v="10"/>
    <s v="REM"/>
    <s v="NHS ENGLAND NORTH WEST "/>
    <x v="35"/>
    <n v="16314"/>
    <n v="1892"/>
    <n v="8219"/>
    <n v="497"/>
    <n v="0"/>
    <n v="0"/>
    <n v="7886"/>
    <n v="176"/>
    <n v="333"/>
    <n v="85"/>
    <n v="0"/>
    <n v="0"/>
    <n v="2226"/>
    <n v="1329"/>
    <n v="5403"/>
    <n v="0"/>
    <n v="0"/>
    <n v="2573"/>
    <n v="26425"/>
    <n v="8395"/>
    <n v="7976"/>
  </r>
  <r>
    <s v="Monthly-AE-May-2024.csv"/>
    <x v="10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60"/>
    <n v="0"/>
    <n v="0"/>
    <n v="160"/>
  </r>
  <r>
    <s v="Monthly-AE-May-2024.csv"/>
    <x v="10"/>
    <s v="RHW"/>
    <s v="NHS ENGLAND SOUTH EAST "/>
    <x v="187"/>
    <n v="12521"/>
    <n v="2303"/>
    <n v="0"/>
    <n v="692"/>
    <n v="15"/>
    <n v="0"/>
    <n v="4363"/>
    <n v="31"/>
    <n v="0"/>
    <n v="202"/>
    <n v="1"/>
    <n v="0"/>
    <n v="690"/>
    <n v="0"/>
    <n v="2648"/>
    <n v="0"/>
    <n v="0"/>
    <n v="880"/>
    <n v="14824"/>
    <n v="4394"/>
    <n v="3528"/>
  </r>
  <r>
    <s v="Monthly-AE-May-2024.csv"/>
    <x v="10"/>
    <s v="RNN"/>
    <s v="NHS ENGLAND NORTH EAST AND YORKSHIRE "/>
    <x v="111"/>
    <n v="9427"/>
    <n v="0"/>
    <n v="2160"/>
    <n v="345"/>
    <n v="0"/>
    <n v="35"/>
    <n v="4191"/>
    <n v="0"/>
    <n v="29"/>
    <n v="113"/>
    <n v="0"/>
    <n v="0"/>
    <n v="801"/>
    <n v="592"/>
    <n v="2460"/>
    <n v="0"/>
    <n v="0"/>
    <n v="786"/>
    <n v="11587"/>
    <n v="4220"/>
    <n v="3246"/>
  </r>
  <r>
    <s v="Monthly-AE-May-2024.csv"/>
    <x v="10"/>
    <s v="RP6"/>
    <s v="NHS ENGLAND LONDON"/>
    <x v="65"/>
    <n v="0"/>
    <n v="6053"/>
    <n v="0"/>
    <n v="0"/>
    <n v="0"/>
    <n v="0"/>
    <n v="0"/>
    <n v="155"/>
    <n v="0"/>
    <n v="0"/>
    <n v="0"/>
    <n v="0"/>
    <n v="0"/>
    <n v="0"/>
    <n v="0"/>
    <n v="5"/>
    <n v="0"/>
    <n v="191"/>
    <n v="6053"/>
    <n v="155"/>
    <n v="196"/>
  </r>
  <r>
    <s v="Monthly-AE-May-2024.csv"/>
    <x v="10"/>
    <s v="RQW"/>
    <s v="NHS ENGLAND EAST OF ENGLAND "/>
    <x v="148"/>
    <n v="8607"/>
    <n v="0"/>
    <n v="2099"/>
    <n v="0"/>
    <n v="0"/>
    <n v="830"/>
    <n v="4138"/>
    <n v="0"/>
    <n v="0"/>
    <n v="0"/>
    <n v="0"/>
    <n v="0"/>
    <n v="477"/>
    <n v="129"/>
    <n v="2166"/>
    <n v="0"/>
    <n v="0"/>
    <n v="411"/>
    <n v="10706"/>
    <n v="4138"/>
    <n v="2577"/>
  </r>
  <r>
    <s v="Monthly-AE-May-2024.csv"/>
    <x v="10"/>
    <s v="RTD"/>
    <s v="NHS ENGLAND NORTH EAST AND YORKSHIRE "/>
    <x v="180"/>
    <n v="12756"/>
    <n v="1661"/>
    <n v="5174"/>
    <n v="0"/>
    <n v="0"/>
    <n v="976"/>
    <n v="5565"/>
    <n v="192"/>
    <n v="0"/>
    <n v="0"/>
    <n v="0"/>
    <n v="0"/>
    <n v="616"/>
    <n v="65"/>
    <n v="3960"/>
    <n v="22"/>
    <n v="0"/>
    <n v="3012"/>
    <n v="19591"/>
    <n v="5757"/>
    <n v="6994"/>
  </r>
  <r>
    <s v="Monthly-AE-May-2024.csv"/>
    <x v="10"/>
    <s v="RTG"/>
    <s v="NHS ENGLAND MIDLANDS "/>
    <x v="88"/>
    <n v="22167"/>
    <n v="0"/>
    <n v="10256"/>
    <n v="507"/>
    <n v="0"/>
    <n v="34"/>
    <n v="9134"/>
    <n v="0"/>
    <n v="29"/>
    <n v="227"/>
    <n v="0"/>
    <n v="2"/>
    <n v="851"/>
    <n v="876"/>
    <n v="4332"/>
    <n v="0"/>
    <n v="2"/>
    <n v="2683"/>
    <n v="32423"/>
    <n v="9163"/>
    <n v="7017"/>
  </r>
  <r>
    <s v="Monthly-AE-May-2024.csv"/>
    <x v="10"/>
    <s v="RWF"/>
    <s v="NHS ENGLAND SOUTH EAST "/>
    <x v="118"/>
    <n v="18736"/>
    <n v="0"/>
    <n v="2257"/>
    <n v="724"/>
    <n v="0"/>
    <n v="203"/>
    <n v="3276"/>
    <n v="0"/>
    <n v="52"/>
    <n v="87"/>
    <n v="0"/>
    <n v="0"/>
    <n v="901"/>
    <n v="27"/>
    <n v="5193"/>
    <n v="0"/>
    <n v="0"/>
    <n v="1034"/>
    <n v="20993"/>
    <n v="3328"/>
    <n v="6227"/>
  </r>
  <r>
    <s v="Monthly-AE-May-2024.csv"/>
    <x v="10"/>
    <s v="RWP"/>
    <s v="NHS ENGLAND MIDLANDS "/>
    <x v="68"/>
    <n v="13286"/>
    <n v="0"/>
    <n v="6397"/>
    <n v="161"/>
    <n v="0"/>
    <n v="12"/>
    <n v="6643"/>
    <n v="0"/>
    <n v="41"/>
    <n v="58"/>
    <n v="0"/>
    <n v="0"/>
    <n v="955"/>
    <n v="271"/>
    <n v="3747"/>
    <n v="0"/>
    <n v="0"/>
    <n v="1479"/>
    <n v="19683"/>
    <n v="6684"/>
    <n v="5226"/>
  </r>
  <r>
    <s v="Monthly-AE-May-2024.csv"/>
    <x v="10"/>
    <s v="RX1"/>
    <s v="NHS ENGLAND MIDLANDS "/>
    <x v="69"/>
    <n v="16556"/>
    <n v="1970"/>
    <n v="333"/>
    <n v="608"/>
    <n v="0"/>
    <n v="0"/>
    <n v="7908"/>
    <n v="79"/>
    <n v="3"/>
    <n v="264"/>
    <n v="0"/>
    <n v="0"/>
    <n v="878"/>
    <n v="450"/>
    <n v="4380"/>
    <n v="0"/>
    <n v="0"/>
    <n v="3970"/>
    <n v="18859"/>
    <n v="7990"/>
    <n v="8350"/>
  </r>
  <r>
    <s v="Monthly-AE-May-2024.csv"/>
    <x v="10"/>
    <s v="RXQ"/>
    <s v="NHS ENGLAND SOUTH EAST "/>
    <x v="11"/>
    <n v="10475"/>
    <n v="1169"/>
    <n v="3949"/>
    <n v="0"/>
    <n v="0"/>
    <n v="0"/>
    <n v="3977"/>
    <n v="0"/>
    <n v="251"/>
    <n v="0"/>
    <n v="0"/>
    <n v="0"/>
    <n v="369"/>
    <n v="148"/>
    <n v="4150"/>
    <n v="821"/>
    <n v="0"/>
    <n v="1899"/>
    <n v="15593"/>
    <n v="4228"/>
    <n v="6870"/>
  </r>
  <r>
    <s v="Monthly-AE-May-2024.csv"/>
    <x v="10"/>
    <s v="RXR"/>
    <s v="NHS ENGLAND NORTH WEST "/>
    <x v="92"/>
    <n v="13526"/>
    <n v="0"/>
    <n v="11586"/>
    <n v="0"/>
    <n v="0"/>
    <n v="0"/>
    <n v="4466"/>
    <n v="0"/>
    <n v="556"/>
    <n v="0"/>
    <n v="0"/>
    <n v="0"/>
    <n v="408"/>
    <n v="1200"/>
    <n v="3312"/>
    <n v="0"/>
    <n v="74"/>
    <n v="1762"/>
    <n v="25112"/>
    <n v="5022"/>
    <n v="5148"/>
  </r>
  <r>
    <s v="Monthly-AE-May-2024.csv"/>
    <x v="10"/>
    <s v="RY8"/>
    <s v="NHS ENGLAND MIDLANDS "/>
    <x v="13"/>
    <n v="0"/>
    <n v="0"/>
    <n v="6626"/>
    <n v="0"/>
    <n v="0"/>
    <n v="1671"/>
    <n v="0"/>
    <n v="0"/>
    <n v="127"/>
    <n v="0"/>
    <n v="0"/>
    <n v="14"/>
    <n v="0"/>
    <n v="0"/>
    <n v="0"/>
    <n v="0"/>
    <n v="0"/>
    <n v="0"/>
    <n v="6626"/>
    <n v="127"/>
    <n v="0"/>
  </r>
  <r>
    <s v="Monthly-AE-May-2024.csv"/>
    <x v="10"/>
    <s v="Y02676"/>
    <s v="NHS ENGLAND SOUTH EAST "/>
    <x v="37"/>
    <n v="0"/>
    <n v="0"/>
    <n v="2012"/>
    <n v="0"/>
    <n v="0"/>
    <n v="0"/>
    <n v="0"/>
    <n v="0"/>
    <n v="0"/>
    <n v="0"/>
    <n v="0"/>
    <n v="0"/>
    <n v="0"/>
    <n v="0"/>
    <n v="0"/>
    <n v="0"/>
    <n v="0"/>
    <n v="0"/>
    <n v="2012"/>
    <n v="0"/>
    <n v="0"/>
  </r>
  <r>
    <s v="Monthly-AE-May-2024.csv"/>
    <x v="10"/>
    <s v="Y03007"/>
    <s v="NHS ENGLAND MIDLANDS "/>
    <x v="17"/>
    <n v="0"/>
    <n v="0"/>
    <n v="0"/>
    <n v="0"/>
    <n v="0"/>
    <n v="2107"/>
    <n v="0"/>
    <n v="0"/>
    <n v="0"/>
    <n v="0"/>
    <n v="0"/>
    <n v="0"/>
    <n v="0"/>
    <n v="0"/>
    <n v="0"/>
    <n v="0"/>
    <n v="0"/>
    <n v="0"/>
    <n v="0"/>
    <n v="0"/>
    <n v="0"/>
  </r>
  <r>
    <s v="Monthly-AE-May-2024.csv"/>
    <x v="10"/>
    <s v="NNJ"/>
    <s v="NHS ENGLAND MIDLANDS "/>
    <x v="43"/>
    <n v="0"/>
    <n v="0"/>
    <n v="2184"/>
    <n v="0"/>
    <n v="0"/>
    <n v="0"/>
    <n v="0"/>
    <n v="0"/>
    <n v="5"/>
    <n v="0"/>
    <n v="0"/>
    <n v="0"/>
    <n v="0"/>
    <n v="0"/>
    <n v="0"/>
    <n v="0"/>
    <n v="0"/>
    <n v="0"/>
    <n v="2184"/>
    <n v="5"/>
    <n v="0"/>
  </r>
  <r>
    <s v="Monthly-AE-May-2024.csv"/>
    <x v="10"/>
    <s v="NTPAD"/>
    <s v="NHS ENGLAND SOUTH EAST "/>
    <x v="22"/>
    <n v="0"/>
    <n v="0"/>
    <n v="5696"/>
    <n v="0"/>
    <n v="0"/>
    <n v="315"/>
    <n v="0"/>
    <n v="0"/>
    <n v="68"/>
    <n v="0"/>
    <n v="0"/>
    <n v="0"/>
    <n v="0"/>
    <n v="0"/>
    <n v="0"/>
    <n v="0"/>
    <n v="0"/>
    <n v="0"/>
    <n v="5696"/>
    <n v="68"/>
    <n v="0"/>
  </r>
  <r>
    <s v="Monthly-AE-May-2024.csv"/>
    <x v="10"/>
    <s v="R0B"/>
    <s v="NHS ENGLAND NORTH EAST AND YORKSHIRE "/>
    <x v="44"/>
    <n v="11704"/>
    <n v="1271"/>
    <n v="6486"/>
    <n v="514"/>
    <n v="0"/>
    <n v="1550"/>
    <n v="4949"/>
    <n v="29"/>
    <n v="103"/>
    <n v="241"/>
    <n v="0"/>
    <n v="21"/>
    <n v="470"/>
    <n v="4"/>
    <n v="4614"/>
    <n v="18"/>
    <n v="0"/>
    <n v="1183"/>
    <n v="19461"/>
    <n v="5081"/>
    <n v="5815"/>
  </r>
  <r>
    <s v="Monthly-AE-May-2024.csv"/>
    <x v="10"/>
    <s v="R0D"/>
    <s v="NHS ENGLAND SOUTH WEST "/>
    <x v="77"/>
    <n v="13855"/>
    <n v="0"/>
    <n v="5621"/>
    <n v="0"/>
    <n v="0"/>
    <n v="0"/>
    <n v="5354"/>
    <n v="0"/>
    <n v="0"/>
    <n v="0"/>
    <n v="0"/>
    <n v="0"/>
    <n v="955"/>
    <n v="203"/>
    <n v="4243"/>
    <n v="4"/>
    <n v="0"/>
    <n v="2585"/>
    <n v="19476"/>
    <n v="5354"/>
    <n v="6832"/>
  </r>
  <r>
    <s v="Monthly-AE-May-2024.csv"/>
    <x v="10"/>
    <s v="R1K"/>
    <s v="NHS ENGLAND LONDON"/>
    <x v="128"/>
    <n v="13910"/>
    <n v="0"/>
    <n v="16014"/>
    <n v="0"/>
    <n v="0"/>
    <n v="0"/>
    <n v="7504"/>
    <n v="0"/>
    <n v="268"/>
    <n v="0"/>
    <n v="0"/>
    <n v="0"/>
    <n v="855"/>
    <n v="432"/>
    <n v="6671"/>
    <n v="0"/>
    <n v="0"/>
    <n v="378"/>
    <n v="29924"/>
    <n v="7772"/>
    <n v="7049"/>
  </r>
  <r>
    <s v="Monthly-AE-May-2024.csv"/>
    <x v="10"/>
    <s v="RA7"/>
    <s v="NHS ENGLAND SOUTH WEST "/>
    <x v="78"/>
    <n v="16093"/>
    <n v="2411"/>
    <n v="0"/>
    <n v="0"/>
    <n v="0"/>
    <n v="0"/>
    <n v="5753"/>
    <n v="166"/>
    <n v="0"/>
    <n v="0"/>
    <n v="0"/>
    <n v="0"/>
    <n v="1268"/>
    <n v="321"/>
    <n v="5329"/>
    <n v="9"/>
    <n v="0"/>
    <n v="1484"/>
    <n v="18504"/>
    <n v="5919"/>
    <n v="6822"/>
  </r>
  <r>
    <s v="Monthly-AE-May-2024.csv"/>
    <x v="10"/>
    <s v="RBS"/>
    <s v="NHS ENGLAND NORTH WEST "/>
    <x v="80"/>
    <n v="6107"/>
    <n v="0"/>
    <n v="0"/>
    <n v="0"/>
    <n v="0"/>
    <n v="0"/>
    <n v="805"/>
    <n v="0"/>
    <n v="0"/>
    <n v="0"/>
    <n v="0"/>
    <n v="0"/>
    <n v="0"/>
    <n v="0"/>
    <n v="1003"/>
    <n v="0"/>
    <n v="0"/>
    <n v="312"/>
    <n v="6107"/>
    <n v="805"/>
    <n v="1315"/>
  </r>
  <r>
    <s v="Monthly-AE-May-2024.csv"/>
    <x v="10"/>
    <s v="REF"/>
    <s v="NHS ENGLAND SOUTH WEST "/>
    <x v="60"/>
    <n v="6719"/>
    <n v="0"/>
    <n v="13370"/>
    <n v="0"/>
    <n v="0"/>
    <n v="0"/>
    <n v="4041"/>
    <n v="0"/>
    <n v="782"/>
    <n v="0"/>
    <n v="0"/>
    <n v="0"/>
    <n v="506"/>
    <n v="476"/>
    <n v="2250"/>
    <n v="0"/>
    <n v="47"/>
    <n v="1239"/>
    <n v="20089"/>
    <n v="4823"/>
    <n v="3536"/>
  </r>
  <r>
    <s v="Monthly-AE-May-2024.csv"/>
    <x v="10"/>
    <s v="RJN"/>
    <s v="NHS ENGLAND NORTH WEST "/>
    <x v="40"/>
    <n v="4714"/>
    <n v="0"/>
    <n v="0"/>
    <n v="81"/>
    <n v="0"/>
    <n v="51"/>
    <n v="2396"/>
    <n v="0"/>
    <n v="0"/>
    <n v="0"/>
    <n v="0"/>
    <n v="0"/>
    <n v="268"/>
    <n v="332"/>
    <n v="933"/>
    <n v="0"/>
    <n v="0"/>
    <n v="197"/>
    <n v="4714"/>
    <n v="2396"/>
    <n v="1130"/>
  </r>
  <r>
    <s v="Monthly-AE-May-2024.csv"/>
    <x v="10"/>
    <s v="RL4"/>
    <s v="NHS ENGLAND MIDLANDS "/>
    <x v="85"/>
    <n v="13697"/>
    <n v="0"/>
    <n v="8229"/>
    <n v="150"/>
    <n v="0"/>
    <n v="920"/>
    <n v="4115"/>
    <n v="0"/>
    <n v="203"/>
    <n v="21"/>
    <n v="0"/>
    <n v="3"/>
    <n v="1205"/>
    <n v="225"/>
    <n v="6241"/>
    <n v="0"/>
    <n v="0"/>
    <n v="959"/>
    <n v="21926"/>
    <n v="4318"/>
    <n v="7200"/>
  </r>
  <r>
    <s v="Monthly-AE-May-2024.csv"/>
    <x v="10"/>
    <s v="RN7"/>
    <s v="NHS ENGLAND SOUTH EAST "/>
    <x v="171"/>
    <n v="11876"/>
    <n v="0"/>
    <n v="3899"/>
    <n v="0"/>
    <n v="0"/>
    <n v="0"/>
    <n v="3237"/>
    <n v="0"/>
    <n v="33"/>
    <n v="0"/>
    <n v="0"/>
    <n v="0"/>
    <n v="680"/>
    <n v="51"/>
    <n v="3190"/>
    <n v="0"/>
    <n v="0"/>
    <n v="459"/>
    <n v="15775"/>
    <n v="3270"/>
    <n v="3649"/>
  </r>
  <r>
    <s v="Monthly-AE-May-2024.csv"/>
    <x v="10"/>
    <s v="RNA"/>
    <s v="NHS ENGLAND MIDLANDS "/>
    <x v="63"/>
    <n v="9799"/>
    <n v="0"/>
    <n v="4817"/>
    <n v="125"/>
    <n v="0"/>
    <n v="753"/>
    <n v="2723"/>
    <n v="0"/>
    <n v="186"/>
    <n v="7"/>
    <n v="0"/>
    <n v="0"/>
    <n v="1860"/>
    <n v="238"/>
    <n v="3469"/>
    <n v="0"/>
    <n v="0"/>
    <n v="2261"/>
    <n v="14616"/>
    <n v="2909"/>
    <n v="5730"/>
  </r>
  <r>
    <s v="Monthly-AE-May-2024.csv"/>
    <x v="10"/>
    <s v="RNQ"/>
    <s v="NHS ENGLAND MIDLANDS "/>
    <x v="64"/>
    <n v="9967"/>
    <n v="0"/>
    <n v="9616"/>
    <n v="506"/>
    <n v="0"/>
    <n v="0"/>
    <n v="3580"/>
    <n v="0"/>
    <n v="109"/>
    <n v="0"/>
    <n v="0"/>
    <n v="0"/>
    <n v="1384"/>
    <n v="0"/>
    <n v="2040"/>
    <n v="0"/>
    <n v="0"/>
    <n v="216"/>
    <n v="19583"/>
    <n v="3689"/>
    <n v="2256"/>
  </r>
  <r>
    <s v="Monthly-AE-May-2024.csv"/>
    <x v="10"/>
    <s v="RNZ"/>
    <s v="NHS ENGLAND SOUTH WEST "/>
    <x v="144"/>
    <n v="4554"/>
    <n v="319"/>
    <n v="2165"/>
    <n v="328"/>
    <n v="0"/>
    <n v="0"/>
    <n v="1697"/>
    <n v="0"/>
    <n v="0"/>
    <n v="120"/>
    <n v="0"/>
    <n v="0"/>
    <n v="370"/>
    <n v="5"/>
    <n v="1450"/>
    <n v="0"/>
    <n v="0"/>
    <n v="922"/>
    <n v="7038"/>
    <n v="1697"/>
    <n v="2372"/>
  </r>
  <r>
    <s v="Monthly-AE-May-2024.csv"/>
    <x v="10"/>
    <s v="RVW"/>
    <s v="NHS ENGLAND NORTH EAST AND YORKSHIRE "/>
    <x v="90"/>
    <n v="4879"/>
    <n v="0"/>
    <n v="12102"/>
    <n v="0"/>
    <n v="0"/>
    <n v="0"/>
    <n v="2109"/>
    <n v="0"/>
    <n v="71"/>
    <n v="0"/>
    <n v="0"/>
    <n v="0"/>
    <n v="157"/>
    <n v="1"/>
    <n v="1652"/>
    <n v="0"/>
    <n v="541"/>
    <n v="2176"/>
    <n v="16981"/>
    <n v="2180"/>
    <n v="4369"/>
  </r>
  <r>
    <s v="Monthly-AE-May-2024.csv"/>
    <x v="10"/>
    <s v="RW4"/>
    <s v="NHS ENGLAND NORTH WEST "/>
    <x v="42"/>
    <n v="0"/>
    <n v="0"/>
    <n v="11608"/>
    <n v="0"/>
    <n v="0"/>
    <n v="0"/>
    <n v="0"/>
    <n v="0"/>
    <n v="628"/>
    <n v="0"/>
    <n v="0"/>
    <n v="0"/>
    <n v="0"/>
    <n v="0"/>
    <n v="0"/>
    <n v="0"/>
    <n v="0"/>
    <n v="74"/>
    <n v="11608"/>
    <n v="628"/>
    <n v="74"/>
  </r>
  <r>
    <s v="Monthly-AE-May-2024.csv"/>
    <x v="10"/>
    <s v="RY4"/>
    <s v="NHS ENGLAND EAST OF ENGLAND "/>
    <x v="93"/>
    <n v="0"/>
    <n v="0"/>
    <n v="1044"/>
    <n v="0"/>
    <n v="0"/>
    <n v="0"/>
    <n v="0"/>
    <n v="0"/>
    <n v="16"/>
    <n v="0"/>
    <n v="0"/>
    <n v="0"/>
    <n v="0"/>
    <n v="0"/>
    <n v="0"/>
    <n v="0"/>
    <n v="0"/>
    <n v="0"/>
    <n v="1044"/>
    <n v="16"/>
    <n v="0"/>
  </r>
  <r>
    <s v="Monthly-AE-May-2024.csv"/>
    <x v="10"/>
    <s v="RY7"/>
    <s v="NHS ENGLAND NORTH WEST "/>
    <x v="12"/>
    <n v="0"/>
    <n v="0"/>
    <n v="4800"/>
    <n v="0"/>
    <n v="0"/>
    <n v="0"/>
    <n v="0"/>
    <n v="0"/>
    <n v="119"/>
    <n v="0"/>
    <n v="0"/>
    <n v="0"/>
    <n v="0"/>
    <n v="0"/>
    <n v="0"/>
    <n v="0"/>
    <n v="0"/>
    <n v="0"/>
    <n v="4800"/>
    <n v="119"/>
    <n v="0"/>
  </r>
  <r>
    <s v="Monthly-AE-May-2024.csv"/>
    <x v="10"/>
    <s v="AJN"/>
    <s v="NHS ENGLAND NORTH EAST AND YORKSHIRE "/>
    <x v="94"/>
    <n v="0"/>
    <n v="0"/>
    <n v="330"/>
    <n v="0"/>
    <n v="0"/>
    <n v="0"/>
    <n v="0"/>
    <n v="0"/>
    <n v="0"/>
    <n v="0"/>
    <n v="0"/>
    <n v="0"/>
    <n v="0"/>
    <n v="0"/>
    <n v="0"/>
    <n v="0"/>
    <n v="0"/>
    <n v="0"/>
    <n v="330"/>
    <n v="0"/>
    <n v="0"/>
  </r>
  <r>
    <s v="Monthly-AE-May-2024.csv"/>
    <x v="10"/>
    <s v="NDJ"/>
    <s v="NHS ENGLAND SOUTH EAST "/>
    <x v="51"/>
    <n v="0"/>
    <n v="0"/>
    <n v="2395"/>
    <n v="0"/>
    <n v="0"/>
    <n v="0"/>
    <n v="0"/>
    <n v="0"/>
    <n v="0"/>
    <n v="0"/>
    <n v="0"/>
    <n v="0"/>
    <n v="0"/>
    <n v="0"/>
    <n v="0"/>
    <n v="0"/>
    <n v="0"/>
    <n v="0"/>
    <n v="2395"/>
    <n v="0"/>
    <n v="0"/>
  </r>
  <r>
    <s v="Monthly-AE-May-2024.csv"/>
    <x v="10"/>
    <s v="NNF09"/>
    <s v="NHS ENGLAND NORTH EAST AND YORKSHIRE "/>
    <x v="124"/>
    <n v="0"/>
    <n v="0"/>
    <n v="4032"/>
    <n v="0"/>
    <n v="0"/>
    <n v="0"/>
    <n v="0"/>
    <n v="0"/>
    <n v="990"/>
    <n v="0"/>
    <n v="0"/>
    <n v="0"/>
    <n v="0"/>
    <n v="0"/>
    <n v="0"/>
    <n v="0"/>
    <n v="0"/>
    <n v="0"/>
    <n v="4032"/>
    <n v="990"/>
    <n v="0"/>
  </r>
  <r>
    <s v="Monthly-AE-May-2024.csv"/>
    <x v="10"/>
    <s v="NNF94"/>
    <s v="NHS ENGLAND NORTH EAST AND YORKSHIRE "/>
    <x v="125"/>
    <n v="0"/>
    <n v="0"/>
    <n v="3083"/>
    <n v="0"/>
    <n v="0"/>
    <n v="0"/>
    <n v="0"/>
    <n v="0"/>
    <n v="578"/>
    <n v="0"/>
    <n v="0"/>
    <n v="0"/>
    <n v="0"/>
    <n v="0"/>
    <n v="0"/>
    <n v="0"/>
    <n v="0"/>
    <n v="0"/>
    <n v="3083"/>
    <n v="578"/>
    <n v="0"/>
  </r>
  <r>
    <s v="Monthly-AE-May-2024.csv"/>
    <x v="10"/>
    <s v="NNFA7"/>
    <s v="NHS ENGLAND NORTH EAST AND YORKSHIRE "/>
    <x v="126"/>
    <n v="0"/>
    <n v="0"/>
    <n v="1654"/>
    <n v="0"/>
    <n v="0"/>
    <n v="0"/>
    <n v="0"/>
    <n v="0"/>
    <n v="19"/>
    <n v="0"/>
    <n v="0"/>
    <n v="0"/>
    <n v="0"/>
    <n v="0"/>
    <n v="0"/>
    <n v="0"/>
    <n v="0"/>
    <n v="0"/>
    <n v="1654"/>
    <n v="19"/>
    <n v="0"/>
  </r>
  <r>
    <s v="Monthly-AE-May-2024.csv"/>
    <x v="10"/>
    <s v="NNJ07"/>
    <s v="NHS ENGLAND MIDLANDS "/>
    <x v="52"/>
    <n v="0"/>
    <n v="0"/>
    <n v="6249"/>
    <n v="0"/>
    <n v="0"/>
    <n v="585"/>
    <n v="0"/>
    <n v="0"/>
    <n v="34"/>
    <n v="0"/>
    <n v="0"/>
    <n v="0"/>
    <n v="0"/>
    <n v="0"/>
    <n v="0"/>
    <n v="0"/>
    <n v="0"/>
    <n v="0"/>
    <n v="6249"/>
    <n v="34"/>
    <n v="0"/>
  </r>
  <r>
    <s v="Monthly-AE-May-2024.csv"/>
    <x v="10"/>
    <s v="NNJ0H"/>
    <s v="NHS ENGLAND MIDLANDS "/>
    <x v="53"/>
    <n v="0"/>
    <n v="0"/>
    <n v="192"/>
    <n v="0"/>
    <n v="0"/>
    <n v="2136"/>
    <n v="0"/>
    <n v="0"/>
    <n v="1"/>
    <n v="0"/>
    <n v="0"/>
    <n v="0"/>
    <n v="0"/>
    <n v="0"/>
    <n v="0"/>
    <n v="0"/>
    <n v="0"/>
    <n v="0"/>
    <n v="192"/>
    <n v="1"/>
    <n v="0"/>
  </r>
  <r>
    <s v="Monthly-AE-May-2024.csv"/>
    <x v="10"/>
    <s v="NNJ12"/>
    <s v="NHS ENGLAND MIDLANDS "/>
    <x v="54"/>
    <n v="0"/>
    <n v="0"/>
    <n v="128"/>
    <n v="0"/>
    <n v="0"/>
    <n v="355"/>
    <n v="0"/>
    <n v="0"/>
    <n v="0"/>
    <n v="0"/>
    <n v="0"/>
    <n v="0"/>
    <n v="0"/>
    <n v="0"/>
    <n v="0"/>
    <n v="0"/>
    <n v="0"/>
    <n v="0"/>
    <n v="128"/>
    <n v="0"/>
    <n v="0"/>
  </r>
  <r>
    <s v="Monthly-AE-May-2024.csv"/>
    <x v="10"/>
    <s v="NNJ13"/>
    <s v="NHS ENGLAND MIDLANDS "/>
    <x v="55"/>
    <n v="0"/>
    <n v="0"/>
    <n v="78"/>
    <n v="0"/>
    <n v="0"/>
    <n v="373"/>
    <n v="0"/>
    <n v="0"/>
    <n v="1"/>
    <n v="0"/>
    <n v="0"/>
    <n v="0"/>
    <n v="0"/>
    <n v="0"/>
    <n v="0"/>
    <n v="0"/>
    <n v="0"/>
    <n v="0"/>
    <n v="78"/>
    <n v="1"/>
    <n v="0"/>
  </r>
  <r>
    <s v="Monthly-AE-May-2024.csv"/>
    <x v="10"/>
    <s v="NNJ14"/>
    <s v="NHS ENGLAND MIDLANDS "/>
    <x v="191"/>
    <n v="0"/>
    <n v="0"/>
    <n v="466"/>
    <n v="0"/>
    <n v="0"/>
    <n v="2283"/>
    <n v="0"/>
    <n v="0"/>
    <n v="0"/>
    <n v="0"/>
    <n v="0"/>
    <n v="0"/>
    <n v="0"/>
    <n v="0"/>
    <n v="0"/>
    <n v="0"/>
    <n v="0"/>
    <n v="0"/>
    <n v="466"/>
    <n v="0"/>
    <n v="0"/>
  </r>
  <r>
    <s v="Monthly-AE-May-2024.csv"/>
    <x v="10"/>
    <s v="NNJ15"/>
    <s v="NHS ENGLAND MIDLANDS "/>
    <x v="56"/>
    <n v="0"/>
    <n v="0"/>
    <n v="67"/>
    <n v="0"/>
    <n v="0"/>
    <n v="391"/>
    <n v="0"/>
    <n v="0"/>
    <n v="0"/>
    <n v="0"/>
    <n v="0"/>
    <n v="0"/>
    <n v="0"/>
    <n v="0"/>
    <n v="0"/>
    <n v="0"/>
    <n v="0"/>
    <n v="0"/>
    <n v="67"/>
    <n v="0"/>
    <n v="0"/>
  </r>
  <r>
    <s v="Monthly-AE-May-2024.csv"/>
    <x v="10"/>
    <s v="R0A"/>
    <s v="NHS ENGLAND NORTH WEST "/>
    <x v="181"/>
    <n v="26218"/>
    <n v="3241"/>
    <n v="12493"/>
    <n v="3364"/>
    <n v="497"/>
    <n v="1109"/>
    <n v="12613"/>
    <n v="114"/>
    <n v="830"/>
    <n v="1596"/>
    <n v="12"/>
    <n v="118"/>
    <n v="3856"/>
    <n v="720"/>
    <n v="5602"/>
    <n v="168"/>
    <n v="165"/>
    <n v="500"/>
    <n v="41952"/>
    <n v="13557"/>
    <n v="6435"/>
  </r>
  <r>
    <s v="Monthly-AE-May-2024.csv"/>
    <x v="10"/>
    <s v="R1F"/>
    <s v="NHS ENGLAND SOUTH EAST "/>
    <x v="127"/>
    <n v="4425"/>
    <n v="0"/>
    <n v="2180"/>
    <n v="31"/>
    <n v="0"/>
    <n v="28"/>
    <n v="1782"/>
    <n v="0"/>
    <n v="2"/>
    <n v="11"/>
    <n v="0"/>
    <n v="0"/>
    <n v="127"/>
    <n v="22"/>
    <n v="1126"/>
    <n v="0"/>
    <n v="0"/>
    <n v="317"/>
    <n v="6605"/>
    <n v="1784"/>
    <n v="1443"/>
  </r>
  <r>
    <s v="Monthly-AE-May-2024.csv"/>
    <x v="10"/>
    <s v="RA9"/>
    <s v="NHS ENGLAND SOUTH WEST "/>
    <x v="7"/>
    <n v="6698"/>
    <n v="0"/>
    <n v="3543"/>
    <n v="409"/>
    <n v="0"/>
    <n v="179"/>
    <n v="2918"/>
    <n v="0"/>
    <n v="10"/>
    <n v="144"/>
    <n v="0"/>
    <n v="1"/>
    <n v="354"/>
    <n v="113"/>
    <n v="2194"/>
    <n v="0"/>
    <n v="0"/>
    <n v="1244"/>
    <n v="10241"/>
    <n v="2928"/>
    <n v="3438"/>
  </r>
  <r>
    <s v="Monthly-AE-May-2024.csv"/>
    <x v="10"/>
    <s v="RBK"/>
    <s v="NHS ENGLAND MIDLANDS "/>
    <x v="102"/>
    <n v="8928"/>
    <n v="0"/>
    <n v="4169"/>
    <n v="426"/>
    <n v="0"/>
    <n v="148"/>
    <n v="2791"/>
    <n v="0"/>
    <n v="209"/>
    <n v="60"/>
    <n v="0"/>
    <n v="0"/>
    <n v="795"/>
    <n v="50"/>
    <n v="3692"/>
    <n v="0"/>
    <n v="0"/>
    <n v="680"/>
    <n v="13097"/>
    <n v="3000"/>
    <n v="4372"/>
  </r>
  <r>
    <s v="Monthly-AE-May-2024.csv"/>
    <x v="10"/>
    <s v="RBT"/>
    <s v="NHS ENGLAND NORTH WEST "/>
    <x v="130"/>
    <n v="7444"/>
    <n v="0"/>
    <n v="2986"/>
    <n v="160"/>
    <n v="0"/>
    <n v="56"/>
    <n v="4292"/>
    <n v="0"/>
    <n v="56"/>
    <n v="41"/>
    <n v="0"/>
    <n v="0"/>
    <n v="660"/>
    <n v="571"/>
    <n v="2433"/>
    <n v="0"/>
    <n v="0"/>
    <n v="1026"/>
    <n v="10430"/>
    <n v="4348"/>
    <n v="3459"/>
  </r>
  <r>
    <s v="Monthly-AE-May-2024.csv"/>
    <x v="10"/>
    <s v="RCB"/>
    <s v="NHS ENGLAND NORTH EAST AND YORKSHIRE "/>
    <x v="103"/>
    <n v="11533"/>
    <n v="398"/>
    <n v="9042"/>
    <n v="0"/>
    <n v="0"/>
    <n v="0"/>
    <n v="6364"/>
    <n v="0"/>
    <n v="337"/>
    <n v="0"/>
    <n v="0"/>
    <n v="0"/>
    <n v="844"/>
    <n v="762"/>
    <n v="4613"/>
    <n v="6"/>
    <n v="0"/>
    <n v="1576"/>
    <n v="20973"/>
    <n v="6701"/>
    <n v="6195"/>
  </r>
  <r>
    <s v="Monthly-AE-May-2024.csv"/>
    <x v="10"/>
    <s v="RCF"/>
    <s v="NHS ENGLAND NORTH EAST AND YORKSHIRE "/>
    <x v="104"/>
    <n v="6340"/>
    <n v="260"/>
    <n v="26"/>
    <n v="534"/>
    <n v="0"/>
    <n v="0"/>
    <n v="2487"/>
    <n v="0"/>
    <n v="0"/>
    <n v="0"/>
    <n v="0"/>
    <n v="0"/>
    <n v="431"/>
    <n v="151"/>
    <n v="1621"/>
    <n v="0"/>
    <n v="0"/>
    <n v="581"/>
    <n v="6626"/>
    <n v="2487"/>
    <n v="2202"/>
  </r>
  <r>
    <s v="Monthly-AE-May-2024.csv"/>
    <x v="10"/>
    <s v="RCU"/>
    <s v="NHS ENGLAND NORTH EAST AND YORKSHIRE "/>
    <x v="81"/>
    <n v="4996"/>
    <n v="0"/>
    <n v="298"/>
    <n v="307"/>
    <n v="0"/>
    <n v="19"/>
    <n v="658"/>
    <n v="0"/>
    <n v="1"/>
    <n v="40"/>
    <n v="0"/>
    <n v="0"/>
    <n v="8"/>
    <n v="0"/>
    <n v="941"/>
    <n v="0"/>
    <n v="0"/>
    <n v="96"/>
    <n v="5294"/>
    <n v="659"/>
    <n v="1037"/>
  </r>
  <r>
    <s v="Monthly-AE-May-2024.csv"/>
    <x v="10"/>
    <s v="RD8"/>
    <s v="NHS ENGLAND EAST OF ENGLAND "/>
    <x v="105"/>
    <n v="8486"/>
    <n v="0"/>
    <n v="5838"/>
    <n v="634"/>
    <n v="0"/>
    <n v="125"/>
    <n v="3526"/>
    <n v="0"/>
    <n v="268"/>
    <n v="238"/>
    <n v="0"/>
    <n v="0"/>
    <n v="495"/>
    <n v="0"/>
    <n v="2037"/>
    <n v="0"/>
    <n v="0"/>
    <n v="452"/>
    <n v="14324"/>
    <n v="3794"/>
    <n v="2489"/>
  </r>
  <r>
    <s v="Monthly-AE-May-2024.csv"/>
    <x v="10"/>
    <s v="REP"/>
    <s v="NHS ENGLAND NORTH WEST "/>
    <x v="83"/>
    <n v="0"/>
    <n v="1305"/>
    <n v="0"/>
    <n v="0"/>
    <n v="130"/>
    <n v="0"/>
    <n v="0"/>
    <n v="164"/>
    <n v="0"/>
    <n v="0"/>
    <n v="0"/>
    <n v="0"/>
    <n v="0"/>
    <n v="0"/>
    <n v="0"/>
    <n v="130"/>
    <n v="0"/>
    <n v="17"/>
    <n v="1305"/>
    <n v="164"/>
    <n v="147"/>
  </r>
  <r>
    <s v="Monthly-AE-May-2024.csv"/>
    <x v="10"/>
    <s v="RH8"/>
    <s v="NHS ENGLAND SOUTH WEST "/>
    <x v="186"/>
    <n v="12900"/>
    <n v="0"/>
    <n v="4350"/>
    <n v="1320"/>
    <n v="0"/>
    <n v="57"/>
    <n v="4755"/>
    <n v="0"/>
    <n v="26"/>
    <n v="411"/>
    <n v="0"/>
    <n v="2"/>
    <n v="1233"/>
    <n v="46"/>
    <n v="4128"/>
    <n v="0"/>
    <n v="0"/>
    <n v="2264"/>
    <n v="17250"/>
    <n v="4781"/>
    <n v="6392"/>
  </r>
  <r>
    <s v="Monthly-AE-May-2024.csv"/>
    <x v="10"/>
    <s v="RHQ"/>
    <s v="NHS ENGLAND NORTH EAST AND YORKSHIRE "/>
    <x v="168"/>
    <n v="9441"/>
    <n v="1200"/>
    <n v="7827"/>
    <n v="449"/>
    <n v="1"/>
    <n v="1247"/>
    <n v="4642"/>
    <n v="0"/>
    <n v="324"/>
    <n v="192"/>
    <n v="0"/>
    <n v="19"/>
    <n v="1289"/>
    <n v="8"/>
    <n v="3925"/>
    <n v="0"/>
    <n v="0"/>
    <n v="2916"/>
    <n v="18468"/>
    <n v="4966"/>
    <n v="6841"/>
  </r>
  <r>
    <s v="Monthly-AE-May-2024.csv"/>
    <x v="10"/>
    <s v="RJC"/>
    <s v="NHS ENGLAND MIDLANDS "/>
    <x v="138"/>
    <n v="8612"/>
    <n v="0"/>
    <n v="448"/>
    <n v="9"/>
    <n v="0"/>
    <n v="0"/>
    <n v="2500"/>
    <n v="0"/>
    <n v="0"/>
    <n v="0"/>
    <n v="0"/>
    <n v="0"/>
    <n v="297"/>
    <n v="8"/>
    <n v="2267"/>
    <n v="0"/>
    <n v="0"/>
    <n v="727"/>
    <n v="9060"/>
    <n v="2500"/>
    <n v="2994"/>
  </r>
  <r>
    <s v="Monthly-AE-May-2024.csv"/>
    <x v="10"/>
    <s v="RJE"/>
    <s v="NHS ENGLAND MIDLANDS "/>
    <x v="84"/>
    <n v="14147"/>
    <n v="469"/>
    <n v="9736"/>
    <n v="674"/>
    <n v="0"/>
    <n v="520"/>
    <n v="6854"/>
    <n v="0"/>
    <n v="173"/>
    <n v="255"/>
    <n v="0"/>
    <n v="10"/>
    <n v="1192"/>
    <n v="701"/>
    <n v="5701"/>
    <n v="0"/>
    <n v="0"/>
    <n v="3368"/>
    <n v="24352"/>
    <n v="7027"/>
    <n v="9069"/>
  </r>
  <r>
    <s v="Monthly-AE-May-2024.csv"/>
    <x v="10"/>
    <s v="RKB"/>
    <s v="NHS ENGLAND MIDLANDS "/>
    <x v="140"/>
    <n v="12422"/>
    <n v="1831"/>
    <n v="7754"/>
    <n v="39"/>
    <n v="0"/>
    <n v="137"/>
    <n v="5842"/>
    <n v="81"/>
    <n v="324"/>
    <n v="25"/>
    <n v="0"/>
    <n v="0"/>
    <n v="246"/>
    <n v="59"/>
    <n v="3033"/>
    <n v="111"/>
    <n v="72"/>
    <n v="1751"/>
    <n v="22007"/>
    <n v="6247"/>
    <n v="4967"/>
  </r>
  <r>
    <s v="Monthly-AE-May-2024.csv"/>
    <x v="10"/>
    <s v="RRK"/>
    <s v="NHS ENGLAND MIDLANDS "/>
    <x v="87"/>
    <n v="35332"/>
    <n v="384"/>
    <n v="1693"/>
    <n v="32"/>
    <n v="0"/>
    <n v="274"/>
    <n v="15433"/>
    <n v="0"/>
    <n v="16"/>
    <n v="12"/>
    <n v="0"/>
    <n v="3"/>
    <n v="2355"/>
    <n v="2190"/>
    <n v="10966"/>
    <n v="0"/>
    <n v="0"/>
    <n v="5888"/>
    <n v="37409"/>
    <n v="15449"/>
    <n v="16854"/>
  </r>
  <r>
    <s v="Monthly-AE-May-2024.csv"/>
    <x v="10"/>
    <s v="RTE"/>
    <s v="NHS ENGLAND SOUTH WEST "/>
    <x v="151"/>
    <n v="13362"/>
    <n v="0"/>
    <n v="0"/>
    <n v="190"/>
    <n v="0"/>
    <n v="0"/>
    <n v="5555"/>
    <n v="0"/>
    <n v="0"/>
    <n v="67"/>
    <n v="0"/>
    <n v="0"/>
    <n v="353"/>
    <n v="698"/>
    <n v="2733"/>
    <n v="0"/>
    <n v="0"/>
    <n v="1789"/>
    <n v="13362"/>
    <n v="5555"/>
    <n v="4522"/>
  </r>
  <r>
    <s v="Monthly-AE-May-2024.csv"/>
    <x v="10"/>
    <s v="RTP"/>
    <s v="NHS ENGLAND SOUTH EAST "/>
    <x v="66"/>
    <n v="10800"/>
    <n v="0"/>
    <n v="0"/>
    <n v="0"/>
    <n v="0"/>
    <n v="0"/>
    <n v="3321"/>
    <n v="0"/>
    <n v="0"/>
    <n v="0"/>
    <n v="0"/>
    <n v="0"/>
    <n v="610"/>
    <n v="556"/>
    <n v="3119"/>
    <n v="0"/>
    <n v="0"/>
    <n v="556"/>
    <n v="10800"/>
    <n v="3321"/>
    <n v="3675"/>
  </r>
  <r>
    <s v="Monthly-AE-May-2024.csv"/>
    <x v="10"/>
    <s v="RWW"/>
    <s v="NHS ENGLAND NORTH WEST "/>
    <x v="159"/>
    <n v="7412"/>
    <n v="0"/>
    <n v="3505"/>
    <n v="276"/>
    <n v="0"/>
    <n v="99"/>
    <n v="3671"/>
    <n v="0"/>
    <n v="103"/>
    <n v="121"/>
    <n v="0"/>
    <n v="6"/>
    <n v="747"/>
    <n v="736"/>
    <n v="1896"/>
    <n v="0"/>
    <n v="0"/>
    <n v="219"/>
    <n v="10917"/>
    <n v="3774"/>
    <n v="2115"/>
  </r>
  <r>
    <s v="Monthly-AE-May-2024.csv"/>
    <x v="10"/>
    <s v="RXF"/>
    <s v="NHS ENGLAND NORTH EAST AND YORKSHIRE "/>
    <x v="160"/>
    <n v="17925"/>
    <n v="122"/>
    <n v="6752"/>
    <n v="124"/>
    <n v="0"/>
    <n v="89"/>
    <n v="7104"/>
    <n v="0"/>
    <n v="521"/>
    <n v="16"/>
    <n v="0"/>
    <n v="4"/>
    <n v="2278"/>
    <n v="242"/>
    <n v="3679"/>
    <n v="0"/>
    <n v="153"/>
    <n v="932"/>
    <n v="24799"/>
    <n v="7625"/>
    <n v="4764"/>
  </r>
  <r>
    <s v="Monthly-AE-May-2024.csv"/>
    <x v="10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13"/>
    <n v="83"/>
    <n v="0"/>
    <n v="0"/>
    <n v="96"/>
  </r>
  <r>
    <s v="Monthly-AE-May-2024.csv"/>
    <x v="10"/>
    <s v="ARN03"/>
    <s v="NHS ENGLAND NORTH EAST AND YORKSHIRE "/>
    <x v="164"/>
    <n v="0"/>
    <n v="0"/>
    <n v="2366"/>
    <n v="0"/>
    <n v="0"/>
    <n v="317"/>
    <n v="0"/>
    <n v="0"/>
    <n v="0"/>
    <n v="0"/>
    <n v="0"/>
    <n v="0"/>
    <n v="0"/>
    <n v="0"/>
    <n v="0"/>
    <n v="0"/>
    <n v="0"/>
    <n v="0"/>
    <n v="2366"/>
    <n v="0"/>
    <n v="0"/>
  </r>
  <r>
    <s v="Monthly-AE-May-2024.csv"/>
    <x v="10"/>
    <s v="R1D"/>
    <s v="NHS ENGLAND MIDLANDS "/>
    <x v="58"/>
    <n v="0"/>
    <n v="0"/>
    <n v="3581"/>
    <n v="0"/>
    <n v="0"/>
    <n v="3"/>
    <n v="0"/>
    <n v="0"/>
    <n v="4"/>
    <n v="0"/>
    <n v="0"/>
    <n v="0"/>
    <n v="0"/>
    <n v="0"/>
    <n v="0"/>
    <n v="0"/>
    <n v="0"/>
    <n v="0"/>
    <n v="3581"/>
    <n v="4"/>
    <n v="0"/>
  </r>
  <r>
    <s v="Monthly-AE-May-2024.csv"/>
    <x v="10"/>
    <s v="R1H"/>
    <s v="NHS ENGLAND LONDON"/>
    <x v="96"/>
    <n v="24992"/>
    <n v="928"/>
    <n v="18284"/>
    <n v="0"/>
    <n v="0"/>
    <n v="0"/>
    <n v="12419"/>
    <n v="19"/>
    <n v="2130"/>
    <n v="0"/>
    <n v="0"/>
    <n v="0"/>
    <n v="1200"/>
    <n v="1038"/>
    <n v="5141"/>
    <n v="0"/>
    <n v="0"/>
    <n v="1337"/>
    <n v="44204"/>
    <n v="14568"/>
    <n v="6478"/>
  </r>
  <r>
    <s v="Monthly-AE-May-2024.csv"/>
    <x v="10"/>
    <s v="RAJ"/>
    <s v="NHS ENGLAND EAST OF ENGLAND "/>
    <x v="98"/>
    <n v="31119"/>
    <n v="0"/>
    <n v="6039"/>
    <n v="540"/>
    <n v="0"/>
    <n v="159"/>
    <n v="8919"/>
    <n v="0"/>
    <n v="159"/>
    <n v="94"/>
    <n v="0"/>
    <n v="1"/>
    <n v="2929"/>
    <n v="11"/>
    <n v="9443"/>
    <n v="0"/>
    <n v="249"/>
    <n v="1307"/>
    <n v="37158"/>
    <n v="9078"/>
    <n v="10999"/>
  </r>
  <r>
    <s v="Monthly-AE-May-2024.csv"/>
    <x v="10"/>
    <s v="RCD"/>
    <s v="NHS ENGLAND NORTH EAST AND YORKSHIRE "/>
    <x v="184"/>
    <n v="5183"/>
    <n v="0"/>
    <n v="1006"/>
    <n v="315"/>
    <n v="0"/>
    <n v="32"/>
    <n v="1769"/>
    <n v="0"/>
    <n v="0"/>
    <n v="81"/>
    <n v="0"/>
    <n v="0"/>
    <n v="301"/>
    <n v="55"/>
    <n v="1156"/>
    <n v="0"/>
    <n v="0"/>
    <n v="285"/>
    <n v="6189"/>
    <n v="1769"/>
    <n v="1441"/>
  </r>
  <r>
    <s v="Monthly-AE-May-2024.csv"/>
    <x v="10"/>
    <s v="RDE"/>
    <s v="NHS ENGLAND EAST OF ENGLAND "/>
    <x v="132"/>
    <n v="15434"/>
    <n v="0"/>
    <n v="12919"/>
    <n v="866"/>
    <n v="0"/>
    <n v="280"/>
    <n v="6867"/>
    <n v="0"/>
    <n v="214"/>
    <n v="0"/>
    <n v="0"/>
    <n v="0"/>
    <n v="1251"/>
    <n v="483"/>
    <n v="6354"/>
    <n v="0"/>
    <n v="363"/>
    <n v="1025"/>
    <n v="28353"/>
    <n v="7081"/>
    <n v="7742"/>
  </r>
  <r>
    <s v="Monthly-AE-May-2024.csv"/>
    <x v="10"/>
    <s v="RF4"/>
    <s v="NHS ENGLAND LONDON"/>
    <x v="167"/>
    <n v="13446"/>
    <n v="2462"/>
    <n v="14302"/>
    <n v="0"/>
    <n v="0"/>
    <n v="0"/>
    <n v="5652"/>
    <n v="413"/>
    <n v="182"/>
    <n v="0"/>
    <n v="0"/>
    <n v="0"/>
    <n v="715"/>
    <n v="734"/>
    <n v="8145"/>
    <n v="0"/>
    <n v="0"/>
    <n v="427"/>
    <n v="30210"/>
    <n v="6247"/>
    <n v="8572"/>
  </r>
  <r>
    <s v="Monthly-AE-May-2024.csv"/>
    <x v="10"/>
    <s v="RFS"/>
    <s v="NHS ENGLAND MIDLANDS "/>
    <x v="133"/>
    <n v="7487"/>
    <n v="0"/>
    <n v="1592"/>
    <n v="239"/>
    <n v="0"/>
    <n v="111"/>
    <n v="2988"/>
    <n v="0"/>
    <n v="221"/>
    <n v="60"/>
    <n v="0"/>
    <n v="9"/>
    <n v="905"/>
    <n v="147"/>
    <n v="2750"/>
    <n v="0"/>
    <n v="216"/>
    <n v="593"/>
    <n v="9079"/>
    <n v="3209"/>
    <n v="3559"/>
  </r>
  <r>
    <s v="Monthly-AE-May-2024.csv"/>
    <x v="10"/>
    <s v="RGT"/>
    <s v="NHS ENGLAND EAST OF ENGLAND "/>
    <x v="107"/>
    <n v="10313"/>
    <n v="0"/>
    <n v="6303"/>
    <n v="862"/>
    <n v="0"/>
    <n v="587"/>
    <n v="5245"/>
    <n v="0"/>
    <n v="135"/>
    <n v="373"/>
    <n v="0"/>
    <n v="26"/>
    <n v="545"/>
    <n v="641"/>
    <n v="2763"/>
    <n v="0"/>
    <n v="23"/>
    <n v="440"/>
    <n v="16616"/>
    <n v="5380"/>
    <n v="3226"/>
  </r>
  <r>
    <s v="Monthly-AE-May-2024.csv"/>
    <x v="10"/>
    <s v="RHM"/>
    <s v="NHS ENGLAND SOUTH EAST "/>
    <x v="134"/>
    <n v="12453"/>
    <n v="1251"/>
    <n v="0"/>
    <n v="158"/>
    <n v="0"/>
    <n v="0"/>
    <n v="3830"/>
    <n v="97"/>
    <n v="0"/>
    <n v="50"/>
    <n v="0"/>
    <n v="0"/>
    <n v="251"/>
    <n v="11"/>
    <n v="4059"/>
    <n v="13"/>
    <n v="0"/>
    <n v="1562"/>
    <n v="13704"/>
    <n v="3927"/>
    <n v="5634"/>
  </r>
  <r>
    <s v="Monthly-AE-May-2024.csv"/>
    <x v="10"/>
    <s v="RJ1"/>
    <s v="NHS ENGLAND LONDON"/>
    <x v="135"/>
    <n v="11226"/>
    <n v="765"/>
    <n v="6841"/>
    <n v="0"/>
    <n v="0"/>
    <n v="0"/>
    <n v="4645"/>
    <n v="6"/>
    <n v="367"/>
    <n v="0"/>
    <n v="0"/>
    <n v="0"/>
    <n v="156"/>
    <n v="39"/>
    <n v="2152"/>
    <n v="0"/>
    <n v="0"/>
    <n v="249"/>
    <n v="18832"/>
    <n v="5018"/>
    <n v="2401"/>
  </r>
  <r>
    <s v="Monthly-AE-May-2024.csv"/>
    <x v="10"/>
    <s v="RK5"/>
    <s v="NHS ENGLAND MIDLANDS "/>
    <x v="109"/>
    <n v="11680"/>
    <n v="0"/>
    <n v="5736"/>
    <n v="15"/>
    <n v="0"/>
    <n v="129"/>
    <n v="4398"/>
    <n v="0"/>
    <n v="275"/>
    <n v="5"/>
    <n v="0"/>
    <n v="1"/>
    <n v="635"/>
    <n v="77"/>
    <n v="3841"/>
    <n v="0"/>
    <n v="0"/>
    <n v="401"/>
    <n v="17416"/>
    <n v="4673"/>
    <n v="4242"/>
  </r>
  <r>
    <s v="Monthly-AE-May-2024.csv"/>
    <x v="10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0"/>
    <n v="0"/>
    <n v="32"/>
  </r>
  <r>
    <s v="Monthly-AE-May-2024.csv"/>
    <x v="10"/>
    <s v="RM1"/>
    <s v="NHS ENGLAND EAST OF ENGLAND "/>
    <x v="142"/>
    <n v="12332"/>
    <n v="0"/>
    <n v="9275"/>
    <n v="427"/>
    <n v="0"/>
    <n v="0"/>
    <n v="4157"/>
    <n v="0"/>
    <n v="0"/>
    <n v="93"/>
    <n v="0"/>
    <n v="0"/>
    <n v="787"/>
    <n v="117"/>
    <n v="2726"/>
    <n v="0"/>
    <n v="0"/>
    <n v="1655"/>
    <n v="21607"/>
    <n v="4157"/>
    <n v="4381"/>
  </r>
  <r>
    <s v="Monthly-AE-May-2024.csv"/>
    <x v="10"/>
    <s v="RMP"/>
    <s v="NHS ENGLAND NORTH WEST "/>
    <x v="143"/>
    <n v="8711"/>
    <n v="0"/>
    <n v="2777"/>
    <n v="451"/>
    <n v="0"/>
    <n v="245"/>
    <n v="4396"/>
    <n v="0"/>
    <n v="0"/>
    <n v="0"/>
    <n v="0"/>
    <n v="0"/>
    <n v="624"/>
    <n v="26"/>
    <n v="2595"/>
    <n v="0"/>
    <n v="0"/>
    <n v="651"/>
    <n v="11488"/>
    <n v="4396"/>
    <n v="3246"/>
  </r>
  <r>
    <s v="Monthly-AE-May-2024.csv"/>
    <x v="10"/>
    <s v="RN5"/>
    <s v="NHS ENGLAND SOUTH EAST "/>
    <x v="110"/>
    <n v="13010"/>
    <n v="158"/>
    <n v="538"/>
    <n v="0"/>
    <n v="0"/>
    <n v="174"/>
    <n v="4999"/>
    <n v="0"/>
    <n v="0"/>
    <n v="0"/>
    <n v="0"/>
    <n v="0"/>
    <n v="660"/>
    <n v="34"/>
    <n v="4384"/>
    <n v="9"/>
    <n v="0"/>
    <n v="1002"/>
    <n v="13706"/>
    <n v="4999"/>
    <n v="5395"/>
  </r>
  <r>
    <s v="Monthly-AE-May-2024.csv"/>
    <x v="10"/>
    <s v="RPA"/>
    <s v="NHS ENGLAND SOUTH EAST "/>
    <x v="146"/>
    <n v="9403"/>
    <n v="0"/>
    <n v="7329"/>
    <n v="370"/>
    <n v="0"/>
    <n v="1133"/>
    <n v="2810"/>
    <n v="0"/>
    <n v="1076"/>
    <n v="59"/>
    <n v="0"/>
    <n v="0"/>
    <n v="442"/>
    <n v="588"/>
    <n v="2404"/>
    <n v="0"/>
    <n v="0"/>
    <n v="1048"/>
    <n v="16732"/>
    <n v="3886"/>
    <n v="3452"/>
  </r>
  <r>
    <s v="Monthly-AE-May-2024.csv"/>
    <x v="10"/>
    <s v="RQM"/>
    <s v="NHS ENGLAND LONDON"/>
    <x v="147"/>
    <n v="20387"/>
    <n v="0"/>
    <n v="6574"/>
    <n v="874"/>
    <n v="0"/>
    <n v="0"/>
    <n v="5146"/>
    <n v="0"/>
    <n v="232"/>
    <n v="0"/>
    <n v="0"/>
    <n v="0"/>
    <n v="778"/>
    <n v="61"/>
    <n v="2744"/>
    <n v="0"/>
    <n v="0"/>
    <n v="327"/>
    <n v="26961"/>
    <n v="5378"/>
    <n v="3071"/>
  </r>
  <r>
    <s v="Monthly-AE-May-2024.csv"/>
    <x v="10"/>
    <s v="RR8"/>
    <s v="NHS ENGLAND NORTH EAST AND YORKSHIRE "/>
    <x v="149"/>
    <n v="18663"/>
    <n v="733"/>
    <n v="12607"/>
    <n v="39"/>
    <n v="0"/>
    <n v="39"/>
    <n v="7850"/>
    <n v="0"/>
    <n v="83"/>
    <n v="12"/>
    <n v="0"/>
    <n v="0"/>
    <n v="1908"/>
    <n v="302"/>
    <n v="3900"/>
    <n v="0"/>
    <n v="0"/>
    <n v="1220"/>
    <n v="32003"/>
    <n v="7933"/>
    <n v="5120"/>
  </r>
  <r>
    <s v="Monthly-AE-May-2024.csv"/>
    <x v="10"/>
    <s v="RRF"/>
    <s v="NHS ENGLAND NORTH WEST "/>
    <x v="150"/>
    <n v="7563"/>
    <n v="0"/>
    <n v="5820"/>
    <n v="0"/>
    <n v="0"/>
    <n v="0"/>
    <n v="3690"/>
    <n v="0"/>
    <n v="52"/>
    <n v="0"/>
    <n v="0"/>
    <n v="0"/>
    <n v="1154"/>
    <n v="442"/>
    <n v="2196"/>
    <n v="0"/>
    <n v="0"/>
    <n v="900"/>
    <n v="13383"/>
    <n v="3742"/>
    <n v="3096"/>
  </r>
  <r>
    <s v="Monthly-AE-May-2024.csv"/>
    <x v="10"/>
    <s v="RTF"/>
    <s v="NHS ENGLAND NORTH EAST AND YORKSHIRE "/>
    <x v="152"/>
    <n v="10015"/>
    <n v="0"/>
    <n v="13369"/>
    <n v="0"/>
    <n v="0"/>
    <n v="0"/>
    <n v="3029"/>
    <n v="0"/>
    <n v="10"/>
    <n v="0"/>
    <n v="0"/>
    <n v="0"/>
    <n v="61"/>
    <n v="1"/>
    <n v="4785"/>
    <n v="0"/>
    <n v="63"/>
    <n v="1519"/>
    <n v="23384"/>
    <n v="3039"/>
    <n v="6367"/>
  </r>
  <r>
    <s v="Monthly-AE-May-2024.csv"/>
    <x v="10"/>
    <s v="RTX"/>
    <s v="NHS ENGLAND NORTH WEST "/>
    <x v="172"/>
    <n v="9793"/>
    <n v="0"/>
    <n v="3566"/>
    <n v="289"/>
    <n v="0"/>
    <n v="676"/>
    <n v="2973"/>
    <n v="0"/>
    <n v="101"/>
    <n v="33"/>
    <n v="0"/>
    <n v="60"/>
    <n v="658"/>
    <n v="410"/>
    <n v="3084"/>
    <n v="0"/>
    <n v="15"/>
    <n v="997"/>
    <n v="13359"/>
    <n v="3074"/>
    <n v="4096"/>
  </r>
  <r>
    <s v="Monthly-AE-May-2024.csv"/>
    <x v="10"/>
    <s v="RVJ"/>
    <s v="NHS ENGLAND SOUTH WEST "/>
    <x v="89"/>
    <n v="9493"/>
    <n v="0"/>
    <n v="0"/>
    <n v="13"/>
    <n v="0"/>
    <n v="0"/>
    <n v="3625"/>
    <n v="0"/>
    <n v="0"/>
    <n v="3"/>
    <n v="0"/>
    <n v="0"/>
    <n v="694"/>
    <n v="217"/>
    <n v="2862"/>
    <n v="0"/>
    <n v="0"/>
    <n v="2006"/>
    <n v="9493"/>
    <n v="3625"/>
    <n v="4868"/>
  </r>
  <r>
    <s v="Monthly-AE-May-2024.csv"/>
    <x v="10"/>
    <s v="RVV"/>
    <s v="NHS ENGLAND SOUTH EAST "/>
    <x v="155"/>
    <n v="13011"/>
    <n v="0"/>
    <n v="13265"/>
    <n v="0"/>
    <n v="0"/>
    <n v="0"/>
    <n v="6083"/>
    <n v="0"/>
    <n v="236"/>
    <n v="0"/>
    <n v="0"/>
    <n v="0"/>
    <n v="592"/>
    <n v="1227"/>
    <n v="3716"/>
    <n v="0"/>
    <n v="569"/>
    <n v="1008"/>
    <n v="26276"/>
    <n v="6319"/>
    <n v="5293"/>
  </r>
  <r>
    <s v="Monthly-AE-May-2024.csv"/>
    <x v="10"/>
    <s v="RWD"/>
    <s v="NHS ENGLAND MIDLANDS "/>
    <x v="156"/>
    <n v="10453"/>
    <n v="0"/>
    <n v="10933"/>
    <n v="5"/>
    <n v="0"/>
    <n v="0"/>
    <n v="7110"/>
    <n v="0"/>
    <n v="1282"/>
    <n v="4"/>
    <n v="0"/>
    <n v="0"/>
    <n v="1128"/>
    <n v="1103"/>
    <n v="4164"/>
    <n v="0"/>
    <n v="0"/>
    <n v="1260"/>
    <n v="21386"/>
    <n v="8392"/>
    <n v="5424"/>
  </r>
  <r>
    <s v="Monthly-AE-May-2024.csv"/>
    <x v="10"/>
    <s v="RXC"/>
    <s v="NHS ENGLAND SOUTH EAST "/>
    <x v="70"/>
    <n v="10590"/>
    <n v="0"/>
    <n v="2450"/>
    <n v="873"/>
    <n v="0"/>
    <n v="1239"/>
    <n v="3211"/>
    <n v="0"/>
    <n v="31"/>
    <n v="0"/>
    <n v="0"/>
    <n v="0"/>
    <n v="277"/>
    <n v="4"/>
    <n v="3486"/>
    <n v="0"/>
    <n v="0"/>
    <n v="599"/>
    <n v="13040"/>
    <n v="3242"/>
    <n v="4085"/>
  </r>
  <r>
    <s v="Monthly-AE-May-2024.csv"/>
    <x v="10"/>
    <s v="RXN"/>
    <s v="NHS ENGLAND NORTH WEST "/>
    <x v="91"/>
    <n v="12522"/>
    <n v="0"/>
    <n v="3654"/>
    <n v="291"/>
    <n v="0"/>
    <n v="111"/>
    <n v="4977"/>
    <n v="0"/>
    <n v="226"/>
    <n v="80"/>
    <n v="0"/>
    <n v="5"/>
    <n v="1071"/>
    <n v="411"/>
    <n v="3095"/>
    <n v="0"/>
    <n v="159"/>
    <n v="1228"/>
    <n v="16176"/>
    <n v="5203"/>
    <n v="4482"/>
  </r>
  <r>
    <s v="Monthly-AE-May-2024.csv"/>
    <x v="10"/>
    <s v="RXP"/>
    <s v="NHS ENGLAND NORTH EAST AND YORKSHIRE "/>
    <x v="161"/>
    <n v="13555"/>
    <n v="0"/>
    <n v="4752"/>
    <n v="0"/>
    <n v="0"/>
    <n v="7343"/>
    <n v="5985"/>
    <n v="0"/>
    <n v="0"/>
    <n v="0"/>
    <n v="0"/>
    <n v="0"/>
    <n v="2245"/>
    <n v="25"/>
    <n v="4445"/>
    <n v="0"/>
    <n v="0"/>
    <n v="788"/>
    <n v="18307"/>
    <n v="5985"/>
    <n v="5233"/>
  </r>
  <r>
    <s v="Monthly-AE-May-2024.csv"/>
    <x v="10"/>
    <s v="RY2"/>
    <s v="NHS ENGLAND NORTH WEST "/>
    <x v="73"/>
    <n v="0"/>
    <n v="0"/>
    <n v="3732"/>
    <n v="0"/>
    <n v="0"/>
    <n v="194"/>
    <n v="0"/>
    <n v="0"/>
    <n v="89"/>
    <n v="0"/>
    <n v="0"/>
    <n v="7"/>
    <n v="0"/>
    <n v="0"/>
    <n v="0"/>
    <n v="0"/>
    <n v="0"/>
    <n v="0"/>
    <n v="3732"/>
    <n v="89"/>
    <n v="0"/>
  </r>
  <r>
    <s v="Monthly-AE-May-2024.csv"/>
    <x v="10"/>
    <s v="RYX"/>
    <s v="NHS ENGLAND LONDON"/>
    <x v="75"/>
    <n v="0"/>
    <n v="0"/>
    <n v="11774"/>
    <n v="0"/>
    <n v="0"/>
    <n v="450"/>
    <n v="0"/>
    <n v="0"/>
    <n v="354"/>
    <n v="0"/>
    <n v="0"/>
    <n v="9"/>
    <n v="0"/>
    <n v="0"/>
    <n v="0"/>
    <n v="0"/>
    <n v="0"/>
    <n v="0"/>
    <n v="11774"/>
    <n v="354"/>
    <n v="0"/>
  </r>
  <r>
    <s v="Monthly-AE-May-2024.csv"/>
    <x v="10"/>
    <s v="RD1"/>
    <s v="NHS ENGLAND SOUTH WEST "/>
    <x v="165"/>
    <n v="9080"/>
    <n v="0"/>
    <n v="0"/>
    <n v="0"/>
    <n v="0"/>
    <n v="0"/>
    <n v="3633"/>
    <n v="0"/>
    <n v="0"/>
    <n v="0"/>
    <n v="0"/>
    <n v="0"/>
    <n v="703"/>
    <n v="4"/>
    <n v="2574"/>
    <n v="0"/>
    <n v="13"/>
    <n v="1692"/>
    <n v="9080"/>
    <n v="3633"/>
    <n v="4279"/>
  </r>
  <r>
    <s v="Monthly-AE-May-2024.csv"/>
    <x v="10"/>
    <s v="RFR"/>
    <s v="NHS ENGLAND NORTH EAST AND YORKSHIRE "/>
    <x v="45"/>
    <n v="8970"/>
    <n v="0"/>
    <n v="0"/>
    <n v="0"/>
    <n v="0"/>
    <n v="0"/>
    <n v="3245"/>
    <n v="0"/>
    <n v="0"/>
    <n v="0"/>
    <n v="0"/>
    <n v="0"/>
    <n v="548"/>
    <n v="1"/>
    <n v="3195"/>
    <n v="0"/>
    <n v="0"/>
    <n v="469"/>
    <n v="8970"/>
    <n v="3245"/>
    <n v="3664"/>
  </r>
  <r>
    <s v="Monthly-AE-May-2024.csv"/>
    <x v="10"/>
    <s v="RH5"/>
    <s v="NHS ENGLAND SOUTH WEST "/>
    <x v="175"/>
    <n v="13492"/>
    <n v="0"/>
    <n v="10411"/>
    <n v="0"/>
    <n v="0"/>
    <n v="1"/>
    <n v="5057"/>
    <n v="0"/>
    <n v="282"/>
    <n v="0"/>
    <n v="0"/>
    <n v="0"/>
    <n v="333"/>
    <n v="5"/>
    <n v="3273"/>
    <n v="0"/>
    <n v="0"/>
    <n v="2154"/>
    <n v="23903"/>
    <n v="5339"/>
    <n v="5427"/>
  </r>
  <r>
    <s v="Monthly-AE-May-2024.csv"/>
    <x v="10"/>
    <s v="RHU"/>
    <s v="NHS ENGLAND SOUTH EAST "/>
    <x v="194"/>
    <n v="10464"/>
    <n v="808"/>
    <n v="3301"/>
    <n v="1342"/>
    <n v="0"/>
    <n v="760"/>
    <n v="5141"/>
    <n v="8"/>
    <n v="87"/>
    <n v="744"/>
    <n v="0"/>
    <n v="18"/>
    <n v="1669"/>
    <n v="10"/>
    <n v="3715"/>
    <n v="0"/>
    <n v="0"/>
    <n v="2597"/>
    <n v="14573"/>
    <n v="5236"/>
    <n v="6312"/>
  </r>
  <r>
    <s v="Monthly-AE-May-2024.csv"/>
    <x v="10"/>
    <s v="RJ7"/>
    <s v="NHS ENGLAND LONDON"/>
    <x v="137"/>
    <n v="9193"/>
    <n v="0"/>
    <n v="3338"/>
    <n v="1029"/>
    <n v="0"/>
    <n v="0"/>
    <n v="2992"/>
    <n v="0"/>
    <n v="0"/>
    <n v="149"/>
    <n v="0"/>
    <n v="0"/>
    <n v="496"/>
    <n v="775"/>
    <n v="2570"/>
    <n v="0"/>
    <n v="0"/>
    <n v="880"/>
    <n v="12531"/>
    <n v="2992"/>
    <n v="3450"/>
  </r>
  <r>
    <s v="Monthly-AE-May-2024.csv"/>
    <x v="10"/>
    <s v="RJL"/>
    <s v="NHS ENGLAND NORTH EAST AND YORKSHIRE "/>
    <x v="188"/>
    <n v="9065"/>
    <n v="0"/>
    <n v="6793"/>
    <n v="0"/>
    <n v="0"/>
    <n v="453"/>
    <n v="4729"/>
    <n v="0"/>
    <n v="100"/>
    <n v="0"/>
    <n v="0"/>
    <n v="4"/>
    <n v="611"/>
    <n v="899"/>
    <n v="5108"/>
    <n v="0"/>
    <n v="0"/>
    <n v="404"/>
    <n v="15858"/>
    <n v="4829"/>
    <n v="5512"/>
  </r>
  <r>
    <s v="Monthly-AE-May-2024.csv"/>
    <x v="10"/>
    <s v="RKE"/>
    <s v="NHS ENGLAND LONDON"/>
    <x v="170"/>
    <n v="9522"/>
    <n v="0"/>
    <n v="0"/>
    <n v="0"/>
    <n v="0"/>
    <n v="0"/>
    <n v="2934"/>
    <n v="0"/>
    <n v="0"/>
    <n v="0"/>
    <n v="0"/>
    <n v="0"/>
    <n v="256"/>
    <n v="369"/>
    <n v="1117"/>
    <n v="0"/>
    <n v="0"/>
    <n v="38"/>
    <n v="9522"/>
    <n v="2934"/>
    <n v="1155"/>
  </r>
  <r>
    <s v="Monthly-AE-May-2024.csv"/>
    <x v="10"/>
    <s v="RTK"/>
    <s v="NHS ENGLAND SOUTH EAST "/>
    <x v="114"/>
    <n v="10511"/>
    <n v="0"/>
    <n v="0"/>
    <n v="0"/>
    <n v="0"/>
    <n v="0"/>
    <n v="3663"/>
    <n v="0"/>
    <n v="0"/>
    <n v="0"/>
    <n v="0"/>
    <n v="0"/>
    <n v="736"/>
    <n v="203"/>
    <n v="3201"/>
    <n v="0"/>
    <n v="0"/>
    <n v="588"/>
    <n v="10511"/>
    <n v="3663"/>
    <n v="3789"/>
  </r>
  <r>
    <s v="Monthly-AE-May-2024.csv"/>
    <x v="10"/>
    <s v="RTR"/>
    <s v="NHS ENGLAND NORTH EAST AND YORKSHIRE "/>
    <x v="153"/>
    <n v="8252"/>
    <n v="0"/>
    <n v="9365"/>
    <n v="0"/>
    <n v="0"/>
    <n v="1636"/>
    <n v="4250"/>
    <n v="0"/>
    <n v="739"/>
    <n v="0"/>
    <n v="0"/>
    <n v="116"/>
    <n v="406"/>
    <n v="25"/>
    <n v="2757"/>
    <n v="0"/>
    <n v="114"/>
    <n v="2313"/>
    <n v="17617"/>
    <n v="4989"/>
    <n v="5184"/>
  </r>
  <r>
    <s v="Monthly-AE-May-2024.csv"/>
    <x v="10"/>
    <s v="RVR"/>
    <s v="NHS ENGLAND LONDON"/>
    <x v="154"/>
    <n v="11500"/>
    <n v="305"/>
    <n v="1698"/>
    <n v="393"/>
    <n v="0"/>
    <n v="29"/>
    <n v="2967"/>
    <n v="1"/>
    <n v="123"/>
    <n v="40"/>
    <n v="0"/>
    <n v="0"/>
    <n v="245"/>
    <n v="661"/>
    <n v="1845"/>
    <n v="4"/>
    <n v="0"/>
    <n v="126"/>
    <n v="13503"/>
    <n v="3091"/>
    <n v="1975"/>
  </r>
  <r>
    <s v="Monthly-AE-May-2024.csv"/>
    <x v="10"/>
    <s v="RWE"/>
    <s v="NHS ENGLAND MIDLANDS "/>
    <x v="117"/>
    <n v="23188"/>
    <n v="2043"/>
    <n v="0"/>
    <n v="0"/>
    <n v="0"/>
    <n v="0"/>
    <n v="9700"/>
    <n v="67"/>
    <n v="0"/>
    <n v="0"/>
    <n v="0"/>
    <n v="0"/>
    <n v="1545"/>
    <n v="520"/>
    <n v="6356"/>
    <n v="4"/>
    <n v="0"/>
    <n v="3505"/>
    <n v="25231"/>
    <n v="9767"/>
    <n v="9865"/>
  </r>
  <r>
    <s v="Monthly-AE-May-2024.csv"/>
    <x v="10"/>
    <s v="RWH"/>
    <s v="NHS ENGLAND EAST OF ENGLAND "/>
    <x v="157"/>
    <n v="9531"/>
    <n v="0"/>
    <n v="7420"/>
    <n v="7"/>
    <n v="0"/>
    <n v="271"/>
    <n v="5255"/>
    <n v="0"/>
    <n v="183"/>
    <n v="7"/>
    <n v="0"/>
    <n v="5"/>
    <n v="255"/>
    <n v="69"/>
    <n v="3333"/>
    <n v="0"/>
    <n v="83"/>
    <n v="260"/>
    <n v="16951"/>
    <n v="5438"/>
    <n v="3676"/>
  </r>
  <r>
    <s v="Monthly-AE-May-2024.csv"/>
    <x v="10"/>
    <s v="RWJ"/>
    <s v="NHS ENGLAND NORTH WEST "/>
    <x v="158"/>
    <n v="8148"/>
    <n v="0"/>
    <n v="1029"/>
    <n v="553"/>
    <n v="0"/>
    <n v="190"/>
    <n v="3538"/>
    <n v="0"/>
    <n v="21"/>
    <n v="218"/>
    <n v="0"/>
    <n v="3"/>
    <n v="862"/>
    <n v="325"/>
    <n v="2504"/>
    <n v="0"/>
    <n v="113"/>
    <n v="832"/>
    <n v="9177"/>
    <n v="3559"/>
    <n v="3449"/>
  </r>
  <r>
    <s v="Monthly-AE-May-2024.csv"/>
    <x v="10"/>
    <s v="RWX"/>
    <s v="NHS ENGLAND SOUTH EAST "/>
    <x v="173"/>
    <n v="0"/>
    <n v="0"/>
    <n v="1587"/>
    <n v="0"/>
    <n v="0"/>
    <n v="0"/>
    <n v="0"/>
    <n v="0"/>
    <n v="12"/>
    <n v="0"/>
    <n v="0"/>
    <n v="0"/>
    <n v="0"/>
    <n v="0"/>
    <n v="0"/>
    <n v="0"/>
    <n v="47"/>
    <n v="0"/>
    <n v="1587"/>
    <n v="12"/>
    <n v="47"/>
  </r>
  <r>
    <s v="Monthly-AE-May-2024.csv"/>
    <x v="10"/>
    <s v="RYJ"/>
    <s v="NHS ENGLAND LONDON"/>
    <x v="163"/>
    <n v="12378"/>
    <n v="3980"/>
    <n v="7689"/>
    <n v="0"/>
    <n v="0"/>
    <n v="384"/>
    <n v="5203"/>
    <n v="39"/>
    <n v="609"/>
    <n v="0"/>
    <n v="0"/>
    <n v="0"/>
    <n v="652"/>
    <n v="108"/>
    <n v="4236"/>
    <n v="0"/>
    <n v="0"/>
    <n v="1229"/>
    <n v="24047"/>
    <n v="5851"/>
    <n v="5465"/>
  </r>
  <r>
    <s v="Monthly-AE-May-2024.csv"/>
    <x v="10"/>
    <s v="RYR"/>
    <s v="NHS ENGLAND SOUTH EAST "/>
    <x v="122"/>
    <n v="22985"/>
    <n v="1519"/>
    <n v="5669"/>
    <n v="1438"/>
    <n v="0"/>
    <n v="1305"/>
    <n v="10431"/>
    <n v="78"/>
    <n v="769"/>
    <n v="494"/>
    <n v="0"/>
    <n v="47"/>
    <n v="1533"/>
    <n v="1316"/>
    <n v="8179"/>
    <n v="34"/>
    <n v="48"/>
    <n v="1554"/>
    <n v="30173"/>
    <n v="11278"/>
    <n v="9815"/>
  </r>
  <r>
    <s v="Monthly-AE-May-2024.csv"/>
    <x v="10"/>
    <s v="RAS"/>
    <s v="NHS ENGLAND LONDON"/>
    <x v="182"/>
    <n v="6043"/>
    <n v="0"/>
    <n v="7063"/>
    <n v="0"/>
    <n v="0"/>
    <n v="0"/>
    <n v="3077"/>
    <n v="0"/>
    <n v="89"/>
    <n v="0"/>
    <n v="0"/>
    <n v="0"/>
    <n v="366"/>
    <n v="13"/>
    <n v="2836"/>
    <n v="0"/>
    <n v="0"/>
    <n v="194"/>
    <n v="13106"/>
    <n v="3166"/>
    <n v="3030"/>
  </r>
  <r>
    <s v="Monthly-AE-May-2024.csv"/>
    <x v="10"/>
    <s v="RGN"/>
    <s v="NHS ENGLAND EAST OF ENGLAND "/>
    <x v="106"/>
    <n v="13386"/>
    <n v="0"/>
    <n v="4879"/>
    <n v="859"/>
    <n v="0"/>
    <n v="773"/>
    <n v="5999"/>
    <n v="0"/>
    <n v="577"/>
    <n v="250"/>
    <n v="0"/>
    <n v="70"/>
    <n v="479"/>
    <n v="778"/>
    <n v="3568"/>
    <n v="0"/>
    <n v="123"/>
    <n v="1620"/>
    <n v="18265"/>
    <n v="6576"/>
    <n v="5311"/>
  </r>
  <r>
    <s v="Monthly-AE-May-2024.csv"/>
    <x v="10"/>
    <s v="RJ6"/>
    <s v="NHS ENGLAND LONDON"/>
    <x v="136"/>
    <n v="13703"/>
    <n v="0"/>
    <n v="5400"/>
    <n v="7"/>
    <n v="0"/>
    <n v="0"/>
    <n v="5027"/>
    <n v="0"/>
    <n v="0"/>
    <n v="4"/>
    <n v="0"/>
    <n v="0"/>
    <n v="426"/>
    <n v="607"/>
    <n v="1430"/>
    <n v="0"/>
    <n v="0"/>
    <n v="105"/>
    <n v="19103"/>
    <n v="5027"/>
    <n v="1535"/>
  </r>
  <r>
    <s v="Monthly-AE-May-2024.csv"/>
    <x v="10"/>
    <s v="RAL"/>
    <s v="NHS ENGLAND LONDON"/>
    <x v="99"/>
    <n v="18941"/>
    <n v="0"/>
    <n v="8925"/>
    <n v="0"/>
    <n v="0"/>
    <n v="0"/>
    <n v="8118"/>
    <n v="0"/>
    <n v="310"/>
    <n v="0"/>
    <n v="0"/>
    <n v="0"/>
    <n v="1125"/>
    <n v="929"/>
    <n v="4017"/>
    <n v="0"/>
    <n v="0"/>
    <n v="551"/>
    <n v="27866"/>
    <n v="8428"/>
    <n v="4568"/>
  </r>
  <r>
    <s v="Monthly-AE-May-2024.csv"/>
    <x v="10"/>
    <s v="RLT"/>
    <s v="NHS ENGLAND MIDLANDS "/>
    <x v="141"/>
    <n v="6977"/>
    <n v="0"/>
    <n v="1936"/>
    <n v="0"/>
    <n v="0"/>
    <n v="0"/>
    <n v="2175"/>
    <n v="0"/>
    <n v="25"/>
    <n v="0"/>
    <n v="0"/>
    <n v="0"/>
    <n v="684"/>
    <n v="116"/>
    <n v="1082"/>
    <n v="0"/>
    <n v="0"/>
    <n v="40"/>
    <n v="8913"/>
    <n v="2200"/>
    <n v="1122"/>
  </r>
  <r>
    <s v="Monthly-AE-May-2024.csv"/>
    <x v="10"/>
    <s v="RAP"/>
    <s v="NHS ENGLAND LONDON"/>
    <x v="129"/>
    <n v="8269"/>
    <n v="563"/>
    <n v="8180"/>
    <n v="86"/>
    <n v="1"/>
    <n v="111"/>
    <n v="4924"/>
    <n v="3"/>
    <n v="1239"/>
    <n v="42"/>
    <n v="0"/>
    <n v="10"/>
    <n v="235"/>
    <n v="884"/>
    <n v="1590"/>
    <n v="0"/>
    <n v="0"/>
    <n v="147"/>
    <n v="17012"/>
    <n v="6166"/>
    <n v="1737"/>
  </r>
  <r>
    <s v="Monthly-AE-May-2024.csv"/>
    <x v="10"/>
    <s v="RBN"/>
    <s v="NHS ENGLAND NORTH WEST "/>
    <x v="174"/>
    <n v="18018"/>
    <n v="0"/>
    <n v="7916"/>
    <n v="431"/>
    <n v="0"/>
    <n v="0"/>
    <n v="7995"/>
    <n v="0"/>
    <n v="316"/>
    <n v="66"/>
    <n v="0"/>
    <n v="0"/>
    <n v="581"/>
    <n v="382"/>
    <n v="7463"/>
    <n v="0"/>
    <n v="0"/>
    <n v="663"/>
    <n v="25934"/>
    <n v="8311"/>
    <n v="8126"/>
  </r>
  <r>
    <s v="Monthly-AE-May-2024.csv"/>
    <x v="10"/>
    <s v="RM3"/>
    <s v="NHS ENGLAND NORTH WEST "/>
    <x v="193"/>
    <n v="26332"/>
    <n v="0"/>
    <n v="9477"/>
    <n v="0"/>
    <n v="0"/>
    <n v="0"/>
    <n v="11839"/>
    <n v="0"/>
    <n v="295"/>
    <n v="0"/>
    <n v="0"/>
    <n v="0"/>
    <n v="1185"/>
    <n v="901"/>
    <n v="7248"/>
    <n v="0"/>
    <n v="415"/>
    <n v="1724"/>
    <n v="35809"/>
    <n v="12134"/>
    <n v="9387"/>
  </r>
  <r>
    <s v="Monthly-AE-May-2024.csv"/>
    <x v="10"/>
    <s v="RN3"/>
    <s v="NHS ENGLAND SOUTH WEST "/>
    <x v="179"/>
    <n v="5587"/>
    <n v="0"/>
    <n v="6010"/>
    <n v="0"/>
    <n v="0"/>
    <n v="243"/>
    <n v="2430"/>
    <n v="0"/>
    <n v="490"/>
    <n v="0"/>
    <n v="0"/>
    <n v="7"/>
    <n v="539"/>
    <n v="112"/>
    <n v="2486"/>
    <n v="0"/>
    <n v="0"/>
    <n v="1458"/>
    <n v="11597"/>
    <n v="2920"/>
    <n v="3944"/>
  </r>
  <r>
    <s v="Monthly-AE-May-2024.csv"/>
    <x v="10"/>
    <s v="RTH"/>
    <s v="NHS ENGLAND SOUTH EAST "/>
    <x v="196"/>
    <n v="12430"/>
    <n v="1868"/>
    <n v="2321"/>
    <n v="1480"/>
    <n v="0"/>
    <n v="108"/>
    <n v="4159"/>
    <n v="0"/>
    <n v="2"/>
    <n v="412"/>
    <n v="0"/>
    <n v="0"/>
    <n v="687"/>
    <n v="1"/>
    <n v="4356"/>
    <n v="132"/>
    <n v="16"/>
    <n v="4727"/>
    <n v="16619"/>
    <n v="4161"/>
    <n v="9231"/>
  </r>
  <r>
    <s v="Monthly-AE-May-2024.csv"/>
    <x v="10"/>
    <s v="RBL"/>
    <s v="NHS ENGLAND NORTH WEST "/>
    <x v="183"/>
    <n v="8354"/>
    <n v="0"/>
    <n v="2941"/>
    <n v="144"/>
    <n v="0"/>
    <n v="207"/>
    <n v="4717"/>
    <n v="0"/>
    <n v="43"/>
    <n v="54"/>
    <n v="0"/>
    <n v="4"/>
    <n v="754"/>
    <n v="556"/>
    <n v="2199"/>
    <n v="0"/>
    <n v="0"/>
    <n v="1749"/>
    <n v="11295"/>
    <n v="4760"/>
    <n v="3948"/>
  </r>
  <r>
    <s v="Monthly-AE-May-2024.csv"/>
    <x v="10"/>
    <s v="RJ2"/>
    <s v="NHS ENGLAND LONDON"/>
    <x v="169"/>
    <n v="14039"/>
    <n v="0"/>
    <n v="12558"/>
    <n v="27"/>
    <n v="0"/>
    <n v="0"/>
    <n v="7326"/>
    <n v="0"/>
    <n v="2153"/>
    <n v="9"/>
    <n v="0"/>
    <n v="0"/>
    <n v="1149"/>
    <n v="602"/>
    <n v="3997"/>
    <n v="0"/>
    <n v="0"/>
    <n v="1474"/>
    <n v="26597"/>
    <n v="9479"/>
    <n v="5471"/>
  </r>
  <r>
    <s v="Monthly-AE-May-2024.csv"/>
    <x v="10"/>
    <s v="RDR"/>
    <s v="NHS ENGLAND SOUTH EAST "/>
    <x v="166"/>
    <n v="0"/>
    <n v="0"/>
    <n v="13042"/>
    <n v="0"/>
    <n v="0"/>
    <n v="0"/>
    <n v="0"/>
    <n v="0"/>
    <n v="241"/>
    <n v="0"/>
    <n v="0"/>
    <n v="0"/>
    <n v="0"/>
    <n v="0"/>
    <n v="0"/>
    <n v="0"/>
    <n v="0"/>
    <n v="0"/>
    <n v="13042"/>
    <n v="241"/>
    <n v="0"/>
  </r>
  <r>
    <s v="Monthly-AE-May-2024.csv"/>
    <x v="10"/>
    <s v="RGR"/>
    <s v="NHS ENGLAND EAST OF ENGLAND "/>
    <x v="192"/>
    <n v="7960"/>
    <n v="0"/>
    <n v="727"/>
    <n v="67"/>
    <n v="0"/>
    <n v="0"/>
    <n v="2827"/>
    <n v="0"/>
    <n v="0"/>
    <n v="0"/>
    <n v="0"/>
    <n v="0"/>
    <n v="554"/>
    <n v="387"/>
    <n v="2121"/>
    <n v="0"/>
    <n v="0"/>
    <n v="558"/>
    <n v="8687"/>
    <n v="2827"/>
    <n v="2679"/>
  </r>
  <r>
    <s v="Monthly-AE-May-2024.csv"/>
    <x v="10"/>
    <s v="RMC"/>
    <s v="NHS ENGLAND NORTH WEST "/>
    <x v="178"/>
    <n v="8039"/>
    <n v="0"/>
    <n v="3717"/>
    <n v="114"/>
    <n v="0"/>
    <n v="107"/>
    <n v="4234"/>
    <n v="0"/>
    <n v="349"/>
    <n v="56"/>
    <n v="0"/>
    <n v="7"/>
    <n v="628"/>
    <n v="590"/>
    <n v="2375"/>
    <n v="0"/>
    <n v="46"/>
    <n v="779"/>
    <n v="11756"/>
    <n v="4583"/>
    <n v="3200"/>
  </r>
  <r>
    <s v="Monthly-AE-May-2024.csv"/>
    <x v="10"/>
    <s v="RJZ"/>
    <s v="NHS ENGLAND LONDON"/>
    <x v="62"/>
    <n v="16286"/>
    <n v="0"/>
    <n v="9357"/>
    <n v="93"/>
    <n v="0"/>
    <n v="1319"/>
    <n v="6961"/>
    <n v="0"/>
    <n v="964"/>
    <n v="23"/>
    <n v="0"/>
    <n v="53"/>
    <n v="1714"/>
    <n v="840"/>
    <n v="2513"/>
    <n v="0"/>
    <n v="0"/>
    <n v="496"/>
    <n v="25643"/>
    <n v="7925"/>
    <n v="3009"/>
  </r>
  <r>
    <s v="Monthly-AE-May-2024.csv"/>
    <x v="10"/>
    <s v="RP5"/>
    <s v="NHS ENGLAND NORTH EAST AND YORKSHIRE "/>
    <x v="145"/>
    <n v="14013"/>
    <n v="0"/>
    <n v="4077"/>
    <n v="0"/>
    <n v="0"/>
    <n v="0"/>
    <n v="4958"/>
    <n v="0"/>
    <n v="2"/>
    <n v="0"/>
    <n v="0"/>
    <n v="0"/>
    <n v="989"/>
    <n v="201"/>
    <n v="3841"/>
    <n v="0"/>
    <n v="390"/>
    <n v="1237"/>
    <n v="18090"/>
    <n v="4960"/>
    <n v="5468"/>
  </r>
  <r>
    <s v="Monthly-AE-May-2024.csv"/>
    <x v="10"/>
    <s v="RXK"/>
    <s v="NHS ENGLAND MIDLANDS "/>
    <x v="119"/>
    <n v="15997"/>
    <n v="984"/>
    <n v="9467"/>
    <n v="1219"/>
    <n v="0"/>
    <n v="0"/>
    <n v="7637"/>
    <n v="92"/>
    <n v="333"/>
    <n v="270"/>
    <n v="0"/>
    <n v="0"/>
    <n v="1659"/>
    <n v="343"/>
    <n v="2854"/>
    <n v="0"/>
    <n v="0"/>
    <n v="411"/>
    <n v="26448"/>
    <n v="8062"/>
    <n v="3265"/>
  </r>
  <r>
    <s v="Monthly-AE-May-2024.csv"/>
    <x v="3"/>
    <s v="TOTAL"/>
    <s v="TOTAL"/>
    <x v="199"/>
    <n v="1439178"/>
    <n v="50602"/>
    <n v="841230"/>
    <n v="33543"/>
    <n v="644"/>
    <n v="51095"/>
    <n v="584646"/>
    <n v="2024"/>
    <n v="32615"/>
    <n v="9149"/>
    <n v="13"/>
    <n v="738"/>
    <n v="96215"/>
    <n v="42555"/>
    <n v="414156"/>
    <n v="1490"/>
    <n v="4558"/>
    <n v="144489"/>
    <n v="2331010"/>
    <n v="619285"/>
    <n v="564693"/>
  </r>
  <r>
    <s v="Monthly-AE-November-2024-revised.csv"/>
    <x v="11"/>
    <s v="NL7"/>
    <s v="NHS ENGLAND MIDLANDS "/>
    <x v="95"/>
    <n v="0"/>
    <n v="0"/>
    <n v="4350"/>
    <n v="0"/>
    <n v="0"/>
    <n v="0"/>
    <n v="0"/>
    <n v="0"/>
    <n v="0"/>
    <n v="0"/>
    <n v="0"/>
    <n v="0"/>
    <n v="0"/>
    <n v="0"/>
    <n v="0"/>
    <n v="0"/>
    <n v="0"/>
    <n v="0"/>
    <n v="4350"/>
    <n v="0"/>
    <n v="0"/>
  </r>
  <r>
    <s v="Monthly-AE-November-2024-revised.csv"/>
    <x v="11"/>
    <s v="RWY"/>
    <s v="NHS ENGLAND NORTH EAST AND YORKSHIRE "/>
    <x v="10"/>
    <n v="15295"/>
    <n v="0"/>
    <n v="0"/>
    <n v="0"/>
    <n v="0"/>
    <n v="0"/>
    <n v="5422"/>
    <n v="0"/>
    <n v="0"/>
    <n v="0"/>
    <n v="0"/>
    <n v="0"/>
    <n v="1160"/>
    <n v="16"/>
    <n v="3104"/>
    <n v="0"/>
    <n v="0"/>
    <n v="316"/>
    <n v="15295"/>
    <n v="5422"/>
    <n v="3420"/>
  </r>
  <r>
    <s v="Monthly-AE-November-2024-revised.csv"/>
    <x v="11"/>
    <s v="AAH"/>
    <s v="NHS ENGLAND SOUTH WEST "/>
    <x v="0"/>
    <n v="0"/>
    <n v="0"/>
    <n v="516"/>
    <n v="0"/>
    <n v="0"/>
    <n v="0"/>
    <n v="0"/>
    <n v="0"/>
    <n v="0"/>
    <n v="0"/>
    <n v="0"/>
    <n v="0"/>
    <n v="0"/>
    <n v="0"/>
    <n v="0"/>
    <n v="0"/>
    <n v="0"/>
    <n v="0"/>
    <n v="516"/>
    <n v="0"/>
    <n v="0"/>
  </r>
  <r>
    <s v="Monthly-AE-November-2024-revised.csv"/>
    <x v="11"/>
    <s v="AQN04"/>
    <s v="NHS ENGLAND SOUTH EAST "/>
    <x v="4"/>
    <n v="0"/>
    <n v="0"/>
    <n v="2593"/>
    <n v="0"/>
    <n v="0"/>
    <n v="12"/>
    <n v="0"/>
    <n v="0"/>
    <n v="1"/>
    <n v="0"/>
    <n v="0"/>
    <n v="0"/>
    <n v="0"/>
    <n v="0"/>
    <n v="0"/>
    <n v="0"/>
    <n v="0"/>
    <n v="0"/>
    <n v="2593"/>
    <n v="1"/>
    <n v="0"/>
  </r>
  <r>
    <s v="Monthly-AE-November-2024-revised.csv"/>
    <x v="11"/>
    <s v="C82038"/>
    <s v="NHS ENGLAND MIDLANDS "/>
    <x v="31"/>
    <n v="0"/>
    <n v="0"/>
    <n v="303"/>
    <n v="0"/>
    <n v="0"/>
    <n v="0"/>
    <n v="0"/>
    <n v="0"/>
    <n v="0"/>
    <n v="0"/>
    <n v="0"/>
    <n v="0"/>
    <n v="0"/>
    <n v="0"/>
    <n v="0"/>
    <n v="0"/>
    <n v="0"/>
    <n v="0"/>
    <n v="303"/>
    <n v="0"/>
    <n v="0"/>
  </r>
  <r>
    <s v="Monthly-AE-November-2024-revised.csv"/>
    <x v="11"/>
    <s v="L83087"/>
    <s v="NHS ENGLAND SOUTH WEST "/>
    <x v="5"/>
    <n v="0"/>
    <n v="0"/>
    <n v="73"/>
    <n v="0"/>
    <n v="0"/>
    <n v="0"/>
    <n v="0"/>
    <n v="0"/>
    <n v="0"/>
    <n v="0"/>
    <n v="0"/>
    <n v="0"/>
    <n v="0"/>
    <n v="0"/>
    <n v="0"/>
    <n v="0"/>
    <n v="0"/>
    <n v="0"/>
    <n v="73"/>
    <n v="0"/>
    <n v="0"/>
  </r>
  <r>
    <s v="Monthly-AE-November-2024-revised.csv"/>
    <x v="11"/>
    <s v="NQT5F"/>
    <s v="NHS ENGLAND NORTH WEST "/>
    <x v="20"/>
    <n v="0"/>
    <n v="0"/>
    <n v="1704"/>
    <n v="0"/>
    <n v="0"/>
    <n v="0"/>
    <n v="0"/>
    <n v="0"/>
    <n v="15"/>
    <n v="0"/>
    <n v="0"/>
    <n v="0"/>
    <n v="0"/>
    <n v="0"/>
    <n v="0"/>
    <n v="0"/>
    <n v="0"/>
    <n v="0"/>
    <n v="1704"/>
    <n v="15"/>
    <n v="0"/>
  </r>
  <r>
    <s v="Monthly-AE-November-2024-revised.csv"/>
    <x v="11"/>
    <s v="NQT5H"/>
    <s v="NHS ENGLAND SOUTH WEST "/>
    <x v="21"/>
    <n v="0"/>
    <n v="0"/>
    <n v="932"/>
    <n v="0"/>
    <n v="0"/>
    <n v="0"/>
    <n v="0"/>
    <n v="0"/>
    <n v="5"/>
    <n v="0"/>
    <n v="0"/>
    <n v="0"/>
    <n v="0"/>
    <n v="0"/>
    <n v="0"/>
    <n v="0"/>
    <n v="0"/>
    <n v="0"/>
    <n v="932"/>
    <n v="5"/>
    <n v="0"/>
  </r>
  <r>
    <s v="Monthly-AE-November-2024-revised.csv"/>
    <x v="11"/>
    <s v="NR3"/>
    <s v="NHS ENGLAND MIDLANDS "/>
    <x v="57"/>
    <n v="0"/>
    <n v="0"/>
    <n v="5559"/>
    <n v="0"/>
    <n v="0"/>
    <n v="271"/>
    <n v="0"/>
    <n v="0"/>
    <n v="358"/>
    <n v="0"/>
    <n v="0"/>
    <n v="0"/>
    <n v="0"/>
    <n v="0"/>
    <n v="0"/>
    <n v="0"/>
    <n v="0"/>
    <n v="0"/>
    <n v="5559"/>
    <n v="358"/>
    <n v="0"/>
  </r>
  <r>
    <s v="Monthly-AE-November-2024-revised.csv"/>
    <x v="11"/>
    <s v="NTV0B"/>
    <s v="NHS ENGLAND SOUTH EAST "/>
    <x v="23"/>
    <n v="0"/>
    <n v="0"/>
    <n v="2243"/>
    <n v="0"/>
    <n v="0"/>
    <n v="0"/>
    <n v="0"/>
    <n v="0"/>
    <n v="17"/>
    <n v="0"/>
    <n v="0"/>
    <n v="0"/>
    <n v="0"/>
    <n v="0"/>
    <n v="0"/>
    <n v="0"/>
    <n v="0"/>
    <n v="0"/>
    <n v="2243"/>
    <n v="17"/>
    <n v="0"/>
  </r>
  <r>
    <s v="Monthly-AE-November-2024-revised.csv"/>
    <x v="11"/>
    <s v="NTV0W"/>
    <s v="NHS ENGLAND SOUTH EAST "/>
    <x v="24"/>
    <n v="0"/>
    <n v="0"/>
    <n v="2435"/>
    <n v="0"/>
    <n v="0"/>
    <n v="0"/>
    <n v="0"/>
    <n v="0"/>
    <n v="25"/>
    <n v="0"/>
    <n v="0"/>
    <n v="0"/>
    <n v="0"/>
    <n v="0"/>
    <n v="0"/>
    <n v="0"/>
    <n v="0"/>
    <n v="0"/>
    <n v="2435"/>
    <n v="25"/>
    <n v="0"/>
  </r>
  <r>
    <s v="Monthly-AE-November-2024-revised.csv"/>
    <x v="11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n v="42"/>
  </r>
  <r>
    <s v="Monthly-AE-November-2024-revised.csv"/>
    <x v="11"/>
    <s v="RK9"/>
    <s v="NHS ENGLAND SOUTH WEST "/>
    <x v="139"/>
    <n v="9116"/>
    <n v="151"/>
    <n v="4749"/>
    <n v="0"/>
    <n v="0"/>
    <n v="0"/>
    <n v="4665"/>
    <n v="0"/>
    <n v="93"/>
    <n v="0"/>
    <n v="0"/>
    <n v="0"/>
    <n v="567"/>
    <n v="604"/>
    <n v="2876"/>
    <n v="0"/>
    <n v="0"/>
    <n v="1468"/>
    <n v="14016"/>
    <n v="4758"/>
    <n v="4344"/>
  </r>
  <r>
    <s v="Monthly-AE-November-2024-revised.csv"/>
    <x v="11"/>
    <s v="RW1"/>
    <s v="NHS ENGLAND SOUTH EAST "/>
    <x v="200"/>
    <n v="0"/>
    <n v="0"/>
    <n v="2822"/>
    <n v="0"/>
    <n v="0"/>
    <n v="0"/>
    <n v="0"/>
    <n v="0"/>
    <n v="40"/>
    <n v="0"/>
    <n v="0"/>
    <n v="0"/>
    <n v="0"/>
    <n v="0"/>
    <n v="0"/>
    <n v="0"/>
    <n v="0"/>
    <n v="133"/>
    <n v="2822"/>
    <n v="40"/>
    <n v="133"/>
  </r>
  <r>
    <s v="Monthly-AE-November-2024-revised.csv"/>
    <x v="11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21"/>
    <n v="0"/>
    <n v="0"/>
    <n v="121"/>
  </r>
  <r>
    <s v="Monthly-AE-November-2024-revised.csv"/>
    <x v="11"/>
    <s v="RYF"/>
    <s v="NHS ENGLAND SOUTH WEST "/>
    <x v="74"/>
    <n v="0"/>
    <n v="0"/>
    <n v="1581"/>
    <n v="0"/>
    <n v="0"/>
    <n v="17"/>
    <n v="0"/>
    <n v="0"/>
    <n v="95"/>
    <n v="0"/>
    <n v="0"/>
    <n v="1"/>
    <n v="0"/>
    <n v="0"/>
    <n v="0"/>
    <n v="0"/>
    <n v="0"/>
    <n v="0"/>
    <n v="1581"/>
    <n v="95"/>
    <n v="0"/>
  </r>
  <r>
    <s v="Monthly-AE-November-2024-revised.csv"/>
    <x v="11"/>
    <s v="Y02532"/>
    <s v="NHS ENGLAND NORTH WEST "/>
    <x v="15"/>
    <n v="0"/>
    <n v="0"/>
    <n v="1654"/>
    <n v="0"/>
    <n v="0"/>
    <n v="0"/>
    <n v="0"/>
    <n v="0"/>
    <n v="0"/>
    <n v="0"/>
    <n v="0"/>
    <n v="0"/>
    <n v="0"/>
    <n v="0"/>
    <n v="0"/>
    <n v="0"/>
    <n v="0"/>
    <n v="0"/>
    <n v="1654"/>
    <n v="0"/>
    <n v="0"/>
  </r>
  <r>
    <s v="Monthly-AE-November-2024-revised.csv"/>
    <x v="11"/>
    <s v="Y02615"/>
    <s v="NHS ENGLAND MIDLANDS "/>
    <x v="16"/>
    <n v="0"/>
    <n v="0"/>
    <n v="7178"/>
    <n v="0"/>
    <n v="0"/>
    <n v="0"/>
    <n v="0"/>
    <n v="0"/>
    <n v="0"/>
    <n v="0"/>
    <n v="0"/>
    <n v="0"/>
    <n v="0"/>
    <n v="0"/>
    <n v="0"/>
    <n v="0"/>
    <n v="0"/>
    <n v="0"/>
    <n v="7178"/>
    <n v="0"/>
    <n v="0"/>
  </r>
  <r>
    <s v="Monthly-AE-November-2024-revised.csv"/>
    <x v="11"/>
    <s v="Y07709"/>
    <s v="NHS ENGLAND SOUTH EAST "/>
    <x v="38"/>
    <n v="0"/>
    <n v="0"/>
    <n v="1973"/>
    <n v="0"/>
    <n v="0"/>
    <n v="0"/>
    <n v="0"/>
    <n v="0"/>
    <n v="0"/>
    <n v="0"/>
    <n v="0"/>
    <n v="0"/>
    <n v="0"/>
    <n v="0"/>
    <n v="0"/>
    <n v="0"/>
    <n v="0"/>
    <n v="0"/>
    <n v="1973"/>
    <n v="0"/>
    <n v="0"/>
  </r>
  <r>
    <s v="Monthly-AE-November-2024-revised.csv"/>
    <x v="11"/>
    <s v="NQTE4"/>
    <s v="NHS ENGLAND MIDLANDS "/>
    <x v="6"/>
    <n v="0"/>
    <n v="0"/>
    <n v="3160"/>
    <n v="0"/>
    <n v="0"/>
    <n v="0"/>
    <n v="0"/>
    <n v="0"/>
    <n v="0"/>
    <n v="0"/>
    <n v="0"/>
    <n v="0"/>
    <n v="0"/>
    <n v="0"/>
    <n v="0"/>
    <n v="0"/>
    <n v="0"/>
    <n v="0"/>
    <n v="3160"/>
    <n v="0"/>
    <n v="0"/>
  </r>
  <r>
    <s v="Monthly-AE-November-2024-revised.csv"/>
    <x v="11"/>
    <s v="RA9"/>
    <s v="NHS ENGLAND SOUTH WEST "/>
    <x v="7"/>
    <n v="6145"/>
    <n v="0"/>
    <n v="3036"/>
    <n v="470"/>
    <n v="0"/>
    <n v="152"/>
    <n v="2998"/>
    <n v="0"/>
    <n v="16"/>
    <n v="208"/>
    <n v="0"/>
    <n v="2"/>
    <n v="355"/>
    <n v="102"/>
    <n v="2155"/>
    <n v="0"/>
    <n v="0"/>
    <n v="1229"/>
    <n v="9181"/>
    <n v="3014"/>
    <n v="3384"/>
  </r>
  <r>
    <s v="Monthly-AE-November-2024-revised.csv"/>
    <x v="11"/>
    <s v="RBT"/>
    <s v="NHS ENGLAND NORTH WEST "/>
    <x v="130"/>
    <n v="7229"/>
    <n v="0"/>
    <n v="2646"/>
    <n v="0"/>
    <n v="0"/>
    <n v="48"/>
    <n v="4248"/>
    <n v="0"/>
    <n v="49"/>
    <n v="0"/>
    <n v="0"/>
    <n v="5"/>
    <n v="693"/>
    <n v="490"/>
    <n v="2460"/>
    <n v="0"/>
    <n v="0"/>
    <n v="1080"/>
    <n v="9875"/>
    <n v="4297"/>
    <n v="3540"/>
  </r>
  <r>
    <s v="Monthly-AE-November-2024-revised.csv"/>
    <x v="11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</r>
  <r>
    <s v="Monthly-AE-November-2024-revised.csv"/>
    <x v="11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6"/>
    <n v="66"/>
    <n v="0"/>
    <n v="0"/>
    <n v="72"/>
  </r>
  <r>
    <s v="Monthly-AE-November-2024-revised.csv"/>
    <x v="11"/>
    <s v="RXQ"/>
    <s v="NHS ENGLAND SOUTH EAST "/>
    <x v="11"/>
    <n v="10655"/>
    <n v="1136"/>
    <n v="3542"/>
    <n v="0"/>
    <n v="0"/>
    <n v="0"/>
    <n v="4531"/>
    <n v="0"/>
    <n v="357"/>
    <n v="0"/>
    <n v="0"/>
    <n v="0"/>
    <n v="271"/>
    <n v="264"/>
    <n v="3890"/>
    <n v="766"/>
    <n v="0"/>
    <n v="2024"/>
    <n v="15333"/>
    <n v="4888"/>
    <n v="6680"/>
  </r>
  <r>
    <s v="Monthly-AE-November-2024-revised.csv"/>
    <x v="11"/>
    <s v="RY4"/>
    <s v="NHS ENGLAND EAST OF ENGLAND "/>
    <x v="93"/>
    <n v="0"/>
    <n v="0"/>
    <n v="1002"/>
    <n v="0"/>
    <n v="0"/>
    <n v="0"/>
    <n v="0"/>
    <n v="0"/>
    <n v="12"/>
    <n v="0"/>
    <n v="0"/>
    <n v="0"/>
    <n v="0"/>
    <n v="0"/>
    <n v="0"/>
    <n v="0"/>
    <n v="0"/>
    <n v="0"/>
    <n v="1002"/>
    <n v="12"/>
    <n v="0"/>
  </r>
  <r>
    <s v="Monthly-AE-November-2024-revised.csv"/>
    <x v="11"/>
    <s v="RY7"/>
    <s v="NHS ENGLAND NORTH WEST "/>
    <x v="12"/>
    <n v="0"/>
    <n v="0"/>
    <n v="4293"/>
    <n v="0"/>
    <n v="0"/>
    <n v="0"/>
    <n v="0"/>
    <n v="0"/>
    <n v="153"/>
    <n v="0"/>
    <n v="0"/>
    <n v="0"/>
    <n v="0"/>
    <n v="0"/>
    <n v="0"/>
    <n v="0"/>
    <n v="0"/>
    <n v="0"/>
    <n v="4293"/>
    <n v="153"/>
    <n v="0"/>
  </r>
  <r>
    <s v="Monthly-AE-November-2024-revised.csv"/>
    <x v="11"/>
    <s v="Y02428"/>
    <s v="NHS ENGLAND EAST OF ENGLAND "/>
    <x v="49"/>
    <n v="0"/>
    <n v="0"/>
    <n v="3372"/>
    <n v="0"/>
    <n v="0"/>
    <n v="0"/>
    <n v="0"/>
    <n v="0"/>
    <n v="0"/>
    <n v="0"/>
    <n v="0"/>
    <n v="0"/>
    <n v="0"/>
    <n v="0"/>
    <n v="0"/>
    <n v="0"/>
    <n v="0"/>
    <n v="0"/>
    <n v="3372"/>
    <n v="0"/>
    <n v="0"/>
  </r>
  <r>
    <s v="Monthly-AE-November-2024-revised.csv"/>
    <x v="11"/>
    <s v="Y03218"/>
    <s v="NHS ENGLAND LONDON"/>
    <x v="18"/>
    <n v="0"/>
    <n v="0"/>
    <n v="1106"/>
    <n v="0"/>
    <n v="0"/>
    <n v="0"/>
    <n v="0"/>
    <n v="0"/>
    <n v="0"/>
    <n v="0"/>
    <n v="0"/>
    <n v="0"/>
    <n v="0"/>
    <n v="0"/>
    <n v="0"/>
    <n v="0"/>
    <n v="0"/>
    <n v="0"/>
    <n v="1106"/>
    <n v="0"/>
    <n v="0"/>
  </r>
  <r>
    <s v="Monthly-AE-November-2024-revised.csv"/>
    <x v="11"/>
    <s v="ACH01"/>
    <s v="NHS ENGLAND SOUTH EAST "/>
    <x v="50"/>
    <n v="0"/>
    <n v="0"/>
    <n v="5911"/>
    <n v="0"/>
    <n v="0"/>
    <n v="0"/>
    <n v="0"/>
    <n v="0"/>
    <n v="0"/>
    <n v="0"/>
    <n v="0"/>
    <n v="0"/>
    <n v="0"/>
    <n v="0"/>
    <n v="0"/>
    <n v="0"/>
    <n v="0"/>
    <n v="0"/>
    <n v="5911"/>
    <n v="0"/>
    <n v="0"/>
  </r>
  <r>
    <s v="Monthly-AE-November-2024-revised.csv"/>
    <x v="11"/>
    <s v="C82009"/>
    <s v="NHS ENGLAND MIDLANDS "/>
    <x v="123"/>
    <n v="0"/>
    <n v="0"/>
    <n v="282"/>
    <n v="0"/>
    <n v="0"/>
    <n v="0"/>
    <n v="0"/>
    <n v="0"/>
    <n v="0"/>
    <n v="0"/>
    <n v="0"/>
    <n v="0"/>
    <n v="0"/>
    <n v="0"/>
    <n v="0"/>
    <n v="0"/>
    <n v="0"/>
    <n v="0"/>
    <n v="282"/>
    <n v="0"/>
    <n v="0"/>
  </r>
  <r>
    <s v="Monthly-AE-November-2024-revised.csv"/>
    <x v="11"/>
    <s v="NTP11"/>
    <s v="NHS ENGLAND SOUTH EAST "/>
    <x v="34"/>
    <n v="0"/>
    <n v="0"/>
    <n v="5160"/>
    <n v="0"/>
    <n v="0"/>
    <n v="0"/>
    <n v="0"/>
    <n v="0"/>
    <n v="172"/>
    <n v="0"/>
    <n v="0"/>
    <n v="0"/>
    <n v="0"/>
    <n v="0"/>
    <n v="0"/>
    <n v="0"/>
    <n v="0"/>
    <n v="0"/>
    <n v="5160"/>
    <n v="172"/>
    <n v="0"/>
  </r>
  <r>
    <s v="Monthly-AE-November-2024-revised.csv"/>
    <x v="11"/>
    <s v="RA2"/>
    <s v="NHS ENGLAND SOUTH EAST "/>
    <x v="97"/>
    <n v="7022"/>
    <n v="0"/>
    <n v="1388"/>
    <n v="830"/>
    <n v="0"/>
    <n v="8"/>
    <n v="1933"/>
    <n v="0"/>
    <n v="0"/>
    <n v="198"/>
    <n v="0"/>
    <n v="0"/>
    <n v="182"/>
    <n v="3"/>
    <n v="2619"/>
    <n v="0"/>
    <n v="0"/>
    <n v="1098"/>
    <n v="8410"/>
    <n v="1933"/>
    <n v="3717"/>
  </r>
  <r>
    <s v="Monthly-AE-November-2024-revised.csv"/>
    <x v="11"/>
    <s v="RFF"/>
    <s v="NHS ENGLAND NORTH EAST AND YORKSHIRE "/>
    <x v="26"/>
    <n v="9113"/>
    <n v="0"/>
    <n v="0"/>
    <n v="31"/>
    <n v="0"/>
    <n v="0"/>
    <n v="3569"/>
    <n v="0"/>
    <n v="0"/>
    <n v="0"/>
    <n v="0"/>
    <n v="0"/>
    <n v="470"/>
    <n v="0"/>
    <n v="2998"/>
    <n v="0"/>
    <n v="0"/>
    <n v="547"/>
    <n v="9113"/>
    <n v="3569"/>
    <n v="3545"/>
  </r>
  <r>
    <s v="Monthly-AE-November-2024-revised.csv"/>
    <x v="11"/>
    <s v="RJN"/>
    <s v="NHS ENGLAND NORTH WEST "/>
    <x v="40"/>
    <n v="4281"/>
    <n v="0"/>
    <n v="0"/>
    <n v="72"/>
    <n v="0"/>
    <n v="44"/>
    <n v="2006"/>
    <n v="0"/>
    <n v="0"/>
    <n v="0"/>
    <n v="0"/>
    <n v="0"/>
    <n v="171"/>
    <n v="168"/>
    <n v="881"/>
    <n v="0"/>
    <n v="0"/>
    <n v="236"/>
    <n v="4281"/>
    <n v="2006"/>
    <n v="1117"/>
  </r>
  <r>
    <s v="Monthly-AE-November-2024-revised.csv"/>
    <x v="11"/>
    <s v="RNU"/>
    <s v="NHS ENGLAND SOUTH EAST "/>
    <x v="112"/>
    <n v="0"/>
    <n v="0"/>
    <n v="3746"/>
    <n v="0"/>
    <n v="0"/>
    <n v="0"/>
    <n v="0"/>
    <n v="0"/>
    <n v="339"/>
    <n v="0"/>
    <n v="0"/>
    <n v="0"/>
    <n v="0"/>
    <n v="0"/>
    <n v="0"/>
    <n v="0"/>
    <n v="0"/>
    <n v="0"/>
    <n v="3746"/>
    <n v="339"/>
    <n v="0"/>
  </r>
  <r>
    <s v="Monthly-AE-November-2024-revised.csv"/>
    <x v="11"/>
    <s v="RTP"/>
    <s v="NHS ENGLAND SOUTH EAST "/>
    <x v="66"/>
    <n v="11192"/>
    <n v="0"/>
    <n v="0"/>
    <n v="0"/>
    <n v="0"/>
    <n v="0"/>
    <n v="4397"/>
    <n v="0"/>
    <n v="0"/>
    <n v="0"/>
    <n v="0"/>
    <n v="0"/>
    <n v="659"/>
    <n v="549"/>
    <n v="3138"/>
    <n v="0"/>
    <n v="0"/>
    <n v="914"/>
    <n v="11192"/>
    <n v="4397"/>
    <n v="4052"/>
  </r>
  <r>
    <s v="Monthly-AE-November-2024-revised.csv"/>
    <x v="11"/>
    <s v="RV9"/>
    <s v="NHS ENGLAND NORTH EAST AND YORKSHIRE "/>
    <x v="67"/>
    <n v="0"/>
    <n v="0"/>
    <n v="1013"/>
    <n v="0"/>
    <n v="0"/>
    <n v="30"/>
    <n v="0"/>
    <n v="0"/>
    <n v="1"/>
    <n v="0"/>
    <n v="0"/>
    <n v="0"/>
    <n v="0"/>
    <n v="0"/>
    <n v="0"/>
    <n v="0"/>
    <n v="0"/>
    <n v="0"/>
    <n v="1013"/>
    <n v="1"/>
    <n v="0"/>
  </r>
  <r>
    <s v="Monthly-AE-November-2024-revised.csv"/>
    <x v="11"/>
    <s v="RY5"/>
    <s v="NHS ENGLAND MIDLANDS "/>
    <x v="121"/>
    <n v="0"/>
    <n v="0"/>
    <n v="7988"/>
    <n v="0"/>
    <n v="0"/>
    <n v="0"/>
    <n v="0"/>
    <n v="0"/>
    <n v="180"/>
    <n v="0"/>
    <n v="0"/>
    <n v="0"/>
    <n v="0"/>
    <n v="0"/>
    <n v="0"/>
    <n v="0"/>
    <n v="0"/>
    <n v="0"/>
    <n v="7988"/>
    <n v="180"/>
    <n v="0"/>
  </r>
  <r>
    <s v="Monthly-AE-November-2024-revised.csv"/>
    <x v="11"/>
    <s v="RY8"/>
    <s v="NHS ENGLAND MIDLANDS "/>
    <x v="13"/>
    <n v="0"/>
    <n v="0"/>
    <n v="6119"/>
    <n v="0"/>
    <n v="0"/>
    <n v="1810"/>
    <n v="0"/>
    <n v="0"/>
    <n v="36"/>
    <n v="0"/>
    <n v="0"/>
    <n v="3"/>
    <n v="0"/>
    <n v="0"/>
    <n v="0"/>
    <n v="0"/>
    <n v="0"/>
    <n v="0"/>
    <n v="6119"/>
    <n v="36"/>
    <n v="0"/>
  </r>
  <r>
    <s v="Monthly-AE-November-2024-revised.csv"/>
    <x v="11"/>
    <s v="DT301"/>
    <s v="NHS ENGLAND EAST OF ENGLAND "/>
    <x v="19"/>
    <n v="0"/>
    <n v="0"/>
    <n v="2106"/>
    <n v="0"/>
    <n v="0"/>
    <n v="0"/>
    <n v="0"/>
    <n v="0"/>
    <n v="43"/>
    <n v="0"/>
    <n v="0"/>
    <n v="0"/>
    <n v="0"/>
    <n v="0"/>
    <n v="0"/>
    <n v="0"/>
    <n v="0"/>
    <n v="0"/>
    <n v="2106"/>
    <n v="43"/>
    <n v="0"/>
  </r>
  <r>
    <s v="Monthly-AE-November-2024-revised.csv"/>
    <x v="11"/>
    <s v="NQT51"/>
    <s v="NHS ENGLAND SOUTH EAST "/>
    <x v="39"/>
    <n v="0"/>
    <n v="0"/>
    <n v="1008"/>
    <n v="0"/>
    <n v="0"/>
    <n v="0"/>
    <n v="0"/>
    <n v="0"/>
    <n v="0"/>
    <n v="0"/>
    <n v="0"/>
    <n v="0"/>
    <n v="0"/>
    <n v="0"/>
    <n v="0"/>
    <n v="0"/>
    <n v="0"/>
    <n v="0"/>
    <n v="1008"/>
    <n v="0"/>
    <n v="0"/>
  </r>
  <r>
    <s v="Monthly-AE-November-2024-revised.csv"/>
    <x v="11"/>
    <s v="R0B"/>
    <s v="NHS ENGLAND NORTH EAST AND YORKSHIRE "/>
    <x v="44"/>
    <n v="11925"/>
    <n v="1148"/>
    <n v="5849"/>
    <n v="586"/>
    <n v="0"/>
    <n v="1387"/>
    <n v="6023"/>
    <n v="20"/>
    <n v="324"/>
    <n v="274"/>
    <n v="0"/>
    <n v="46"/>
    <n v="770"/>
    <n v="11"/>
    <n v="4470"/>
    <n v="16"/>
    <n v="0"/>
    <n v="1443"/>
    <n v="18922"/>
    <n v="6367"/>
    <n v="5929"/>
  </r>
  <r>
    <s v="Monthly-AE-November-2024-revised.csv"/>
    <x v="11"/>
    <s v="RQX"/>
    <s v="NHS ENGLAND LONDON"/>
    <x v="36"/>
    <n v="10909"/>
    <n v="0"/>
    <n v="0"/>
    <n v="6"/>
    <n v="0"/>
    <n v="0"/>
    <n v="2475"/>
    <n v="0"/>
    <n v="0"/>
    <n v="0"/>
    <n v="0"/>
    <n v="0"/>
    <n v="260"/>
    <n v="36"/>
    <n v="1823"/>
    <n v="0"/>
    <n v="0"/>
    <n v="318"/>
    <n v="10909"/>
    <n v="2475"/>
    <n v="2141"/>
  </r>
  <r>
    <s v="Monthly-AE-November-2024-revised.csv"/>
    <x v="11"/>
    <s v="RRV"/>
    <s v="NHS ENGLAND LONDON"/>
    <x v="28"/>
    <n v="13190"/>
    <n v="0"/>
    <n v="0"/>
    <n v="429"/>
    <n v="0"/>
    <n v="0"/>
    <n v="4164"/>
    <n v="0"/>
    <n v="0"/>
    <n v="0"/>
    <n v="0"/>
    <n v="0"/>
    <n v="436"/>
    <n v="208"/>
    <n v="1359"/>
    <n v="0"/>
    <n v="0"/>
    <n v="261"/>
    <n v="13190"/>
    <n v="4164"/>
    <n v="1620"/>
  </r>
  <r>
    <s v="Monthly-AE-November-2024-revised.csv"/>
    <x v="11"/>
    <s v="RTD"/>
    <s v="NHS ENGLAND NORTH EAST AND YORKSHIRE "/>
    <x v="180"/>
    <n v="12663"/>
    <n v="1573"/>
    <n v="5335"/>
    <n v="0"/>
    <n v="0"/>
    <n v="992"/>
    <n v="5288"/>
    <n v="81"/>
    <n v="0"/>
    <n v="0"/>
    <n v="0"/>
    <n v="0"/>
    <n v="685"/>
    <n v="32"/>
    <n v="3685"/>
    <n v="23"/>
    <n v="0"/>
    <n v="2771"/>
    <n v="19571"/>
    <n v="5369"/>
    <n v="6479"/>
  </r>
  <r>
    <s v="Monthly-AE-November-2024-revised.csv"/>
    <x v="11"/>
    <s v="RXP"/>
    <s v="NHS ENGLAND NORTH EAST AND YORKSHIRE "/>
    <x v="161"/>
    <n v="13207"/>
    <n v="0"/>
    <n v="4126"/>
    <n v="0"/>
    <n v="0"/>
    <n v="7217"/>
    <n v="5892"/>
    <n v="0"/>
    <n v="0"/>
    <n v="0"/>
    <n v="0"/>
    <n v="0"/>
    <n v="2087"/>
    <n v="13"/>
    <n v="4389"/>
    <n v="0"/>
    <n v="0"/>
    <n v="727"/>
    <n v="17333"/>
    <n v="5892"/>
    <n v="5116"/>
  </r>
  <r>
    <s v="Monthly-AE-November-2024-revised.csv"/>
    <x v="11"/>
    <s v="Y02676"/>
    <s v="NHS ENGLAND SOUTH EAST "/>
    <x v="37"/>
    <n v="0"/>
    <n v="0"/>
    <n v="1925"/>
    <n v="0"/>
    <n v="0"/>
    <n v="0"/>
    <n v="0"/>
    <n v="0"/>
    <n v="16"/>
    <n v="0"/>
    <n v="0"/>
    <n v="0"/>
    <n v="0"/>
    <n v="0"/>
    <n v="0"/>
    <n v="0"/>
    <n v="0"/>
    <n v="0"/>
    <n v="1925"/>
    <n v="16"/>
    <n v="0"/>
  </r>
  <r>
    <s v="Monthly-AE-November-2024-revised.csv"/>
    <x v="11"/>
    <s v="RAX"/>
    <s v="NHS ENGLAND LONDON"/>
    <x v="201"/>
    <n v="7341"/>
    <n v="0"/>
    <n v="8383"/>
    <n v="0"/>
    <n v="0"/>
    <n v="0"/>
    <n v="3754"/>
    <n v="0"/>
    <n v="362"/>
    <n v="0"/>
    <n v="0"/>
    <n v="0"/>
    <n v="254"/>
    <n v="451"/>
    <n v="2363"/>
    <n v="0"/>
    <n v="194"/>
    <n v="295"/>
    <n v="15724"/>
    <n v="4116"/>
    <n v="2852"/>
  </r>
  <r>
    <s v="Monthly-AE-November-2024-revised.csv"/>
    <x v="11"/>
    <s v="RBD"/>
    <s v="NHS ENGLAND SOUTH WEST "/>
    <x v="101"/>
    <n v="4036"/>
    <n v="0"/>
    <n v="0"/>
    <n v="316"/>
    <n v="0"/>
    <n v="3806"/>
    <n v="1602"/>
    <n v="0"/>
    <n v="0"/>
    <n v="94"/>
    <n v="0"/>
    <n v="7"/>
    <n v="196"/>
    <n v="44"/>
    <n v="1771"/>
    <n v="0"/>
    <n v="0"/>
    <n v="524"/>
    <n v="4036"/>
    <n v="1602"/>
    <n v="2295"/>
  </r>
  <r>
    <s v="Monthly-AE-November-2024-revised.csv"/>
    <x v="11"/>
    <s v="RPC"/>
    <s v="NHS ENGLAND SOUTH EAST "/>
    <x v="27"/>
    <n v="0"/>
    <n v="0"/>
    <n v="1350"/>
    <n v="0"/>
    <n v="0"/>
    <n v="0"/>
    <n v="0"/>
    <n v="0"/>
    <n v="12"/>
    <n v="0"/>
    <n v="0"/>
    <n v="0"/>
    <n v="0"/>
    <n v="0"/>
    <n v="0"/>
    <n v="0"/>
    <n v="2"/>
    <n v="468"/>
    <n v="1350"/>
    <n v="12"/>
    <n v="470"/>
  </r>
  <r>
    <s v="Monthly-AE-November-2024-revised.csv"/>
    <x v="11"/>
    <s v="RTQ"/>
    <s v="NHS ENGLAND SOUTH WEST "/>
    <x v="115"/>
    <n v="0"/>
    <n v="0"/>
    <n v="7118"/>
    <n v="0"/>
    <n v="0"/>
    <n v="0"/>
    <n v="0"/>
    <n v="0"/>
    <n v="62"/>
    <n v="0"/>
    <n v="0"/>
    <n v="0"/>
    <n v="0"/>
    <n v="0"/>
    <n v="0"/>
    <n v="0"/>
    <n v="0"/>
    <n v="14"/>
    <n v="7118"/>
    <n v="62"/>
    <n v="14"/>
  </r>
  <r>
    <s v="Monthly-AE-November-2024-revised.csv"/>
    <x v="11"/>
    <s v="RWJ"/>
    <s v="NHS ENGLAND NORTH WEST "/>
    <x v="158"/>
    <n v="7857"/>
    <n v="0"/>
    <n v="1079"/>
    <n v="277"/>
    <n v="0"/>
    <n v="69"/>
    <n v="3311"/>
    <n v="0"/>
    <n v="38"/>
    <n v="115"/>
    <n v="0"/>
    <n v="1"/>
    <n v="712"/>
    <n v="397"/>
    <n v="2798"/>
    <n v="0"/>
    <n v="78"/>
    <n v="863"/>
    <n v="8936"/>
    <n v="3349"/>
    <n v="3739"/>
  </r>
  <r>
    <s v="Monthly-AE-November-2024-revised.csv"/>
    <x v="11"/>
    <s v="RWX"/>
    <s v="NHS ENGLAND SOUTH EAST "/>
    <x v="173"/>
    <n v="0"/>
    <n v="0"/>
    <n v="1313"/>
    <n v="0"/>
    <n v="0"/>
    <n v="0"/>
    <n v="0"/>
    <n v="0"/>
    <n v="7"/>
    <n v="0"/>
    <n v="0"/>
    <n v="0"/>
    <n v="0"/>
    <n v="0"/>
    <n v="0"/>
    <n v="0"/>
    <n v="33"/>
    <n v="0"/>
    <n v="1313"/>
    <n v="7"/>
    <n v="33"/>
  </r>
  <r>
    <s v="Monthly-AE-November-2024-revised.csv"/>
    <x v="11"/>
    <s v="RYR"/>
    <s v="NHS ENGLAND SOUTH EAST "/>
    <x v="122"/>
    <n v="22593"/>
    <n v="1372"/>
    <n v="5366"/>
    <n v="1319"/>
    <n v="0"/>
    <n v="1143"/>
    <n v="10126"/>
    <n v="52"/>
    <n v="564"/>
    <n v="464"/>
    <n v="0"/>
    <n v="32"/>
    <n v="764"/>
    <n v="908"/>
    <n v="8644"/>
    <n v="30"/>
    <n v="49"/>
    <n v="1416"/>
    <n v="29331"/>
    <n v="10742"/>
    <n v="10139"/>
  </r>
  <r>
    <s v="Monthly-AE-November-2024-revised.csv"/>
    <x v="11"/>
    <s v="RYY"/>
    <s v="NHS ENGLAND SOUTH EAST "/>
    <x v="48"/>
    <n v="0"/>
    <n v="0"/>
    <n v="9426"/>
    <n v="0"/>
    <n v="0"/>
    <n v="0"/>
    <n v="0"/>
    <n v="0"/>
    <n v="20"/>
    <n v="0"/>
    <n v="0"/>
    <n v="0"/>
    <n v="0"/>
    <n v="0"/>
    <n v="0"/>
    <n v="0"/>
    <n v="0"/>
    <n v="0"/>
    <n v="9426"/>
    <n v="20"/>
    <n v="0"/>
  </r>
  <r>
    <s v="Monthly-AE-November-2024-revised.csv"/>
    <x v="11"/>
    <s v="Y02147"/>
    <s v="NHS ENGLAND LONDON"/>
    <x v="29"/>
    <n v="0"/>
    <n v="0"/>
    <n v="7837"/>
    <n v="0"/>
    <n v="0"/>
    <n v="607"/>
    <n v="0"/>
    <n v="0"/>
    <n v="252"/>
    <n v="0"/>
    <n v="0"/>
    <n v="7"/>
    <n v="0"/>
    <n v="0"/>
    <n v="0"/>
    <n v="0"/>
    <n v="0"/>
    <n v="0"/>
    <n v="7837"/>
    <n v="252"/>
    <n v="0"/>
  </r>
  <r>
    <s v="Monthly-AE-November-2024-revised.csv"/>
    <x v="11"/>
    <s v="G0Q0L"/>
    <s v="NHS ENGLAND LONDON"/>
    <x v="32"/>
    <n v="0"/>
    <n v="0"/>
    <n v="2882"/>
    <n v="0"/>
    <n v="0"/>
    <n v="0"/>
    <n v="0"/>
    <n v="0"/>
    <n v="20"/>
    <n v="0"/>
    <n v="0"/>
    <n v="0"/>
    <n v="0"/>
    <n v="0"/>
    <n v="0"/>
    <n v="0"/>
    <n v="0"/>
    <n v="0"/>
    <n v="2882"/>
    <n v="20"/>
    <n v="0"/>
  </r>
  <r>
    <s v="Monthly-AE-November-2024-revised.csv"/>
    <x v="11"/>
    <s v="K6K0R"/>
    <s v="NHS ENGLAND LONDON"/>
    <x v="33"/>
    <n v="0"/>
    <n v="0"/>
    <n v="2902"/>
    <n v="0"/>
    <n v="0"/>
    <n v="0"/>
    <n v="0"/>
    <n v="0"/>
    <n v="9"/>
    <n v="0"/>
    <n v="0"/>
    <n v="0"/>
    <n v="0"/>
    <n v="0"/>
    <n v="0"/>
    <n v="0"/>
    <n v="0"/>
    <n v="0"/>
    <n v="2902"/>
    <n v="9"/>
    <n v="0"/>
  </r>
  <r>
    <s v="Monthly-AE-November-2024-revised.csv"/>
    <x v="11"/>
    <s v="NLX"/>
    <s v="NHS ENGLAND SOUTH WEST "/>
    <x v="195"/>
    <n v="0"/>
    <n v="0"/>
    <n v="7982"/>
    <n v="0"/>
    <n v="0"/>
    <n v="278"/>
    <n v="0"/>
    <n v="0"/>
    <n v="447"/>
    <n v="0"/>
    <n v="0"/>
    <n v="39"/>
    <n v="0"/>
    <n v="0"/>
    <n v="0"/>
    <n v="0"/>
    <n v="0"/>
    <n v="0"/>
    <n v="7982"/>
    <n v="447"/>
    <n v="0"/>
  </r>
  <r>
    <s v="Monthly-AE-November-2024-revised.csv"/>
    <x v="11"/>
    <s v="NTPAD"/>
    <s v="NHS ENGLAND SOUTH EAST "/>
    <x v="22"/>
    <n v="0"/>
    <n v="0"/>
    <n v="5647"/>
    <n v="0"/>
    <n v="0"/>
    <n v="203"/>
    <n v="0"/>
    <n v="0"/>
    <n v="222"/>
    <n v="0"/>
    <n v="0"/>
    <n v="2"/>
    <n v="0"/>
    <n v="0"/>
    <n v="0"/>
    <n v="0"/>
    <n v="0"/>
    <n v="0"/>
    <n v="5647"/>
    <n v="222"/>
    <n v="0"/>
  </r>
  <r>
    <s v="Monthly-AE-November-2024-revised.csv"/>
    <x v="11"/>
    <s v="NV693"/>
    <s v="NHS ENGLAND NORTH WEST "/>
    <x v="76"/>
    <n v="0"/>
    <n v="0"/>
    <n v="899"/>
    <n v="0"/>
    <n v="0"/>
    <n v="0"/>
    <n v="0"/>
    <n v="0"/>
    <n v="0"/>
    <n v="0"/>
    <n v="0"/>
    <n v="0"/>
    <n v="0"/>
    <n v="0"/>
    <n v="0"/>
    <n v="0"/>
    <n v="0"/>
    <n v="0"/>
    <n v="899"/>
    <n v="0"/>
    <n v="0"/>
  </r>
  <r>
    <s v="Monthly-AE-November-2024-revised.csv"/>
    <x v="11"/>
    <s v="R0D"/>
    <s v="NHS ENGLAND SOUTH WEST "/>
    <x v="77"/>
    <n v="13107"/>
    <n v="0"/>
    <n v="4597"/>
    <n v="0"/>
    <n v="0"/>
    <n v="0"/>
    <n v="5292"/>
    <n v="0"/>
    <n v="0"/>
    <n v="0"/>
    <n v="0"/>
    <n v="0"/>
    <n v="752"/>
    <n v="120"/>
    <n v="4285"/>
    <n v="4"/>
    <n v="0"/>
    <n v="2534"/>
    <n v="17704"/>
    <n v="5292"/>
    <n v="6823"/>
  </r>
  <r>
    <s v="Monthly-AE-November-2024-revised.csv"/>
    <x v="11"/>
    <s v="R1F"/>
    <s v="NHS ENGLAND SOUTH EAST "/>
    <x v="127"/>
    <n v="4191"/>
    <n v="261"/>
    <n v="1375"/>
    <n v="14"/>
    <n v="0"/>
    <n v="20"/>
    <n v="1575"/>
    <n v="0"/>
    <n v="0"/>
    <n v="5"/>
    <n v="0"/>
    <n v="0"/>
    <n v="144"/>
    <n v="45"/>
    <n v="1094"/>
    <n v="0"/>
    <n v="0"/>
    <n v="304"/>
    <n v="5827"/>
    <n v="1575"/>
    <n v="1398"/>
  </r>
  <r>
    <s v="Monthly-AE-November-2024-revised.csv"/>
    <x v="11"/>
    <s v="RA7"/>
    <s v="NHS ENGLAND SOUTH WEST "/>
    <x v="78"/>
    <n v="16427"/>
    <n v="2334"/>
    <n v="0"/>
    <n v="0"/>
    <n v="0"/>
    <n v="0"/>
    <n v="6438"/>
    <n v="161"/>
    <n v="0"/>
    <n v="0"/>
    <n v="0"/>
    <n v="0"/>
    <n v="1332"/>
    <n v="530"/>
    <n v="5439"/>
    <n v="14"/>
    <n v="0"/>
    <n v="1506"/>
    <n v="18761"/>
    <n v="6599"/>
    <n v="6959"/>
  </r>
  <r>
    <s v="Monthly-AE-November-2024-revised.csv"/>
    <x v="11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0"/>
    <n v="181"/>
  </r>
  <r>
    <s v="Monthly-AE-November-2024-revised.csv"/>
    <x v="11"/>
    <s v="REF"/>
    <s v="NHS ENGLAND SOUTH WEST "/>
    <x v="60"/>
    <n v="5764"/>
    <n v="0"/>
    <n v="10707"/>
    <n v="0"/>
    <n v="0"/>
    <n v="0"/>
    <n v="3047"/>
    <n v="0"/>
    <n v="665"/>
    <n v="0"/>
    <n v="0"/>
    <n v="0"/>
    <n v="579"/>
    <n v="607"/>
    <n v="2314"/>
    <n v="0"/>
    <n v="92"/>
    <n v="1310"/>
    <n v="16471"/>
    <n v="3712"/>
    <n v="3716"/>
  </r>
  <r>
    <s v="Monthly-AE-November-2024-revised.csv"/>
    <x v="11"/>
    <s v="RGR"/>
    <s v="NHS ENGLAND EAST OF ENGLAND "/>
    <x v="192"/>
    <n v="7755"/>
    <n v="0"/>
    <n v="595"/>
    <n v="43"/>
    <n v="0"/>
    <n v="0"/>
    <n v="2998"/>
    <n v="0"/>
    <n v="0"/>
    <n v="0"/>
    <n v="0"/>
    <n v="0"/>
    <n v="464"/>
    <n v="524"/>
    <n v="1883"/>
    <n v="0"/>
    <n v="0"/>
    <n v="335"/>
    <n v="8350"/>
    <n v="2998"/>
    <n v="2218"/>
  </r>
  <r>
    <s v="Monthly-AE-November-2024-revised.csv"/>
    <x v="11"/>
    <s v="RJC"/>
    <s v="NHS ENGLAND MIDLANDS "/>
    <x v="138"/>
    <n v="8706"/>
    <n v="0"/>
    <n v="340"/>
    <n v="0"/>
    <n v="0"/>
    <n v="0"/>
    <n v="3167"/>
    <n v="0"/>
    <n v="0"/>
    <n v="0"/>
    <n v="0"/>
    <n v="0"/>
    <n v="434"/>
    <n v="39"/>
    <n v="2476"/>
    <n v="0"/>
    <n v="0"/>
    <n v="886"/>
    <n v="9046"/>
    <n v="3167"/>
    <n v="3362"/>
  </r>
  <r>
    <s v="Monthly-AE-November-2024-revised.csv"/>
    <x v="11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0"/>
    <n v="0"/>
    <n v="27"/>
  </r>
  <r>
    <s v="Monthly-AE-November-2024-revised.csv"/>
    <x v="11"/>
    <s v="RL4"/>
    <s v="NHS ENGLAND MIDLANDS "/>
    <x v="85"/>
    <n v="12780"/>
    <n v="0"/>
    <n v="8560"/>
    <n v="86"/>
    <n v="0"/>
    <n v="836"/>
    <n v="4285"/>
    <n v="0"/>
    <n v="389"/>
    <n v="20"/>
    <n v="0"/>
    <n v="5"/>
    <n v="861"/>
    <n v="644"/>
    <n v="5839"/>
    <n v="0"/>
    <n v="0"/>
    <n v="1042"/>
    <n v="21340"/>
    <n v="4674"/>
    <n v="6881"/>
  </r>
  <r>
    <s v="Monthly-AE-November-2024-revised.csv"/>
    <x v="11"/>
    <s v="RLQ"/>
    <s v="NHS ENGLAND MIDLANDS "/>
    <x v="86"/>
    <n v="6074"/>
    <n v="1077"/>
    <n v="125"/>
    <n v="123"/>
    <n v="0"/>
    <n v="0"/>
    <n v="2581"/>
    <n v="0"/>
    <n v="0"/>
    <n v="26"/>
    <n v="0"/>
    <n v="0"/>
    <n v="408"/>
    <n v="257"/>
    <n v="1466"/>
    <n v="0"/>
    <n v="0"/>
    <n v="165"/>
    <n v="7276"/>
    <n v="2581"/>
    <n v="1631"/>
  </r>
  <r>
    <s v="Monthly-AE-November-2024-revised.csv"/>
    <x v="11"/>
    <s v="RNQ"/>
    <s v="NHS ENGLAND MIDLANDS "/>
    <x v="64"/>
    <n v="10036"/>
    <n v="0"/>
    <n v="9057"/>
    <n v="329"/>
    <n v="0"/>
    <n v="0"/>
    <n v="4244"/>
    <n v="0"/>
    <n v="193"/>
    <n v="0"/>
    <n v="0"/>
    <n v="0"/>
    <n v="1557"/>
    <n v="0"/>
    <n v="2021"/>
    <n v="0"/>
    <n v="0"/>
    <n v="233"/>
    <n v="19093"/>
    <n v="4437"/>
    <n v="2254"/>
  </r>
  <r>
    <s v="Monthly-AE-November-2024-revised.csv"/>
    <x v="11"/>
    <s v="RNZ"/>
    <s v="NHS ENGLAND SOUTH WEST "/>
    <x v="144"/>
    <n v="4604"/>
    <n v="299"/>
    <n v="1724"/>
    <n v="145"/>
    <n v="0"/>
    <n v="0"/>
    <n v="1982"/>
    <n v="0"/>
    <n v="0"/>
    <n v="65"/>
    <n v="0"/>
    <n v="0"/>
    <n v="478"/>
    <n v="17"/>
    <n v="1306"/>
    <n v="0"/>
    <n v="0"/>
    <n v="1049"/>
    <n v="6627"/>
    <n v="1982"/>
    <n v="2355"/>
  </r>
  <r>
    <s v="Monthly-AE-November-2024-revised.csv"/>
    <x v="11"/>
    <s v="RP6"/>
    <s v="NHS ENGLAND LONDON"/>
    <x v="65"/>
    <n v="0"/>
    <n v="5659"/>
    <n v="0"/>
    <n v="0"/>
    <n v="0"/>
    <n v="0"/>
    <n v="0"/>
    <n v="92"/>
    <n v="0"/>
    <n v="0"/>
    <n v="0"/>
    <n v="0"/>
    <n v="0"/>
    <n v="0"/>
    <n v="0"/>
    <n v="2"/>
    <n v="0"/>
    <n v="218"/>
    <n v="5659"/>
    <n v="92"/>
    <n v="220"/>
  </r>
  <r>
    <s v="Monthly-AE-November-2024-revised.csv"/>
    <x v="11"/>
    <s v="RW4"/>
    <s v="NHS ENGLAND NORTH WEST "/>
    <x v="42"/>
    <n v="0"/>
    <n v="0"/>
    <n v="13642"/>
    <n v="0"/>
    <n v="0"/>
    <n v="0"/>
    <n v="0"/>
    <n v="0"/>
    <n v="262"/>
    <n v="0"/>
    <n v="0"/>
    <n v="0"/>
    <n v="0"/>
    <n v="0"/>
    <n v="0"/>
    <n v="0"/>
    <n v="0"/>
    <n v="46"/>
    <n v="13642"/>
    <n v="262"/>
    <n v="46"/>
  </r>
  <r>
    <s v="Monthly-AE-November-2024-revised.csv"/>
    <x v="11"/>
    <s v="RXR"/>
    <s v="NHS ENGLAND NORTH WEST "/>
    <x v="92"/>
    <n v="13334"/>
    <n v="0"/>
    <n v="9844"/>
    <n v="0"/>
    <n v="0"/>
    <n v="0"/>
    <n v="4741"/>
    <n v="0"/>
    <n v="628"/>
    <n v="0"/>
    <n v="0"/>
    <n v="0"/>
    <n v="430"/>
    <n v="1164"/>
    <n v="4052"/>
    <n v="0"/>
    <n v="73"/>
    <n v="1791"/>
    <n v="23178"/>
    <n v="5369"/>
    <n v="5916"/>
  </r>
  <r>
    <s v="Monthly-AE-November-2024-revised.csv"/>
    <x v="11"/>
    <s v="RXW"/>
    <s v="NHS ENGLAND MIDLANDS "/>
    <x v="120"/>
    <n v="10500"/>
    <n v="0"/>
    <n v="2421"/>
    <n v="0"/>
    <n v="0"/>
    <n v="0"/>
    <n v="6116"/>
    <n v="0"/>
    <n v="250"/>
    <n v="0"/>
    <n v="0"/>
    <n v="0"/>
    <n v="358"/>
    <n v="1562"/>
    <n v="3301"/>
    <n v="0"/>
    <n v="189"/>
    <n v="2053"/>
    <n v="12921"/>
    <n v="6366"/>
    <n v="5543"/>
  </r>
  <r>
    <s v="Monthly-AE-November-2024-revised.csv"/>
    <x v="11"/>
    <s v="RYX"/>
    <s v="NHS ENGLAND LONDON"/>
    <x v="75"/>
    <n v="0"/>
    <n v="0"/>
    <n v="12011"/>
    <n v="0"/>
    <n v="0"/>
    <n v="489"/>
    <n v="0"/>
    <n v="0"/>
    <n v="190"/>
    <n v="0"/>
    <n v="0"/>
    <n v="10"/>
    <n v="0"/>
    <n v="0"/>
    <n v="0"/>
    <n v="0"/>
    <n v="0"/>
    <n v="0"/>
    <n v="12011"/>
    <n v="190"/>
    <n v="0"/>
  </r>
  <r>
    <s v="Monthly-AE-November-2024-revised.csv"/>
    <x v="11"/>
    <s v="AXG"/>
    <s v="NHS ENGLAND SOUTH WEST "/>
    <x v="30"/>
    <n v="0"/>
    <n v="0"/>
    <n v="2194"/>
    <n v="0"/>
    <n v="0"/>
    <n v="0"/>
    <n v="0"/>
    <n v="0"/>
    <n v="25"/>
    <n v="0"/>
    <n v="0"/>
    <n v="0"/>
    <n v="0"/>
    <n v="0"/>
    <n v="0"/>
    <n v="0"/>
    <n v="0"/>
    <n v="0"/>
    <n v="2194"/>
    <n v="25"/>
    <n v="0"/>
  </r>
  <r>
    <s v="Monthly-AE-November-2024-revised.csv"/>
    <x v="11"/>
    <s v="NDJ"/>
    <s v="NHS ENGLAND SOUTH EAST "/>
    <x v="51"/>
    <n v="0"/>
    <n v="0"/>
    <n v="2120"/>
    <n v="0"/>
    <n v="0"/>
    <n v="0"/>
    <n v="0"/>
    <n v="0"/>
    <n v="0"/>
    <n v="0"/>
    <n v="0"/>
    <n v="0"/>
    <n v="0"/>
    <n v="0"/>
    <n v="0"/>
    <n v="0"/>
    <n v="0"/>
    <n v="0"/>
    <n v="2120"/>
    <n v="0"/>
    <n v="0"/>
  </r>
  <r>
    <s v="Monthly-AE-November-2024-revised.csv"/>
    <x v="11"/>
    <s v="RAE"/>
    <s v="NHS ENGLAND NORTH EAST AND YORKSHIRE "/>
    <x v="79"/>
    <n v="9509"/>
    <n v="891"/>
    <n v="3183"/>
    <n v="0"/>
    <n v="0"/>
    <n v="0"/>
    <n v="2531"/>
    <n v="0"/>
    <n v="0"/>
    <n v="0"/>
    <n v="0"/>
    <n v="0"/>
    <n v="731"/>
    <n v="116"/>
    <n v="2577"/>
    <n v="0"/>
    <n v="57"/>
    <n v="1442"/>
    <n v="13583"/>
    <n v="2531"/>
    <n v="4076"/>
  </r>
  <r>
    <s v="Monthly-AE-November-2024-revised.csv"/>
    <x v="11"/>
    <s v="RAJ"/>
    <s v="NHS ENGLAND EAST OF ENGLAND "/>
    <x v="98"/>
    <n v="30826"/>
    <n v="0"/>
    <n v="5416"/>
    <n v="4"/>
    <n v="0"/>
    <n v="2"/>
    <n v="10484"/>
    <n v="0"/>
    <n v="360"/>
    <n v="0"/>
    <n v="0"/>
    <n v="1"/>
    <n v="2760"/>
    <n v="66"/>
    <n v="8908"/>
    <n v="0"/>
    <n v="202"/>
    <n v="1270"/>
    <n v="36242"/>
    <n v="10844"/>
    <n v="10380"/>
  </r>
  <r>
    <s v="Monthly-AE-November-2024-revised.csv"/>
    <x v="11"/>
    <s v="RCD"/>
    <s v="NHS ENGLAND NORTH EAST AND YORKSHIRE "/>
    <x v="184"/>
    <n v="5062"/>
    <n v="0"/>
    <n v="889"/>
    <n v="351"/>
    <n v="0"/>
    <n v="19"/>
    <n v="1889"/>
    <n v="0"/>
    <n v="1"/>
    <n v="90"/>
    <n v="0"/>
    <n v="0"/>
    <n v="406"/>
    <n v="96"/>
    <n v="1131"/>
    <n v="0"/>
    <n v="0"/>
    <n v="328"/>
    <n v="5951"/>
    <n v="1890"/>
    <n v="1459"/>
  </r>
  <r>
    <s v="Monthly-AE-November-2024-revised.csv"/>
    <x v="11"/>
    <s v="RF4"/>
    <s v="NHS ENGLAND LONDON"/>
    <x v="167"/>
    <n v="13817"/>
    <n v="2346"/>
    <n v="13830"/>
    <n v="0"/>
    <n v="0"/>
    <n v="0"/>
    <n v="6410"/>
    <n v="339"/>
    <n v="145"/>
    <n v="0"/>
    <n v="0"/>
    <n v="0"/>
    <n v="728"/>
    <n v="709"/>
    <n v="8036"/>
    <n v="0"/>
    <n v="0"/>
    <n v="377"/>
    <n v="29993"/>
    <n v="6894"/>
    <n v="8413"/>
  </r>
  <r>
    <s v="Monthly-AE-November-2024-revised.csv"/>
    <x v="11"/>
    <s v="RJ6"/>
    <s v="NHS ENGLAND LONDON"/>
    <x v="136"/>
    <n v="13200"/>
    <n v="0"/>
    <n v="5254"/>
    <n v="1"/>
    <n v="0"/>
    <n v="0"/>
    <n v="5194"/>
    <n v="0"/>
    <n v="0"/>
    <n v="0"/>
    <n v="0"/>
    <n v="0"/>
    <n v="464"/>
    <n v="503"/>
    <n v="1417"/>
    <n v="0"/>
    <n v="0"/>
    <n v="114"/>
    <n v="18454"/>
    <n v="5194"/>
    <n v="1531"/>
  </r>
  <r>
    <s v="Monthly-AE-November-2024-revised.csv"/>
    <x v="11"/>
    <s v="RJE"/>
    <s v="NHS ENGLAND MIDLANDS "/>
    <x v="84"/>
    <n v="13436"/>
    <n v="450"/>
    <n v="7891"/>
    <n v="794"/>
    <n v="0"/>
    <n v="580"/>
    <n v="7449"/>
    <n v="0"/>
    <n v="256"/>
    <n v="429"/>
    <n v="0"/>
    <n v="25"/>
    <n v="881"/>
    <n v="1077"/>
    <n v="5264"/>
    <n v="0"/>
    <n v="0"/>
    <n v="3097"/>
    <n v="21777"/>
    <n v="7705"/>
    <n v="8361"/>
  </r>
  <r>
    <s v="Monthly-AE-November-2024-revised.csv"/>
    <x v="11"/>
    <s v="RJR"/>
    <s v="NHS ENGLAND NORTH WEST "/>
    <x v="108"/>
    <n v="5109"/>
    <n v="0"/>
    <n v="2292"/>
    <n v="0"/>
    <n v="0"/>
    <n v="0"/>
    <n v="2886"/>
    <n v="0"/>
    <n v="246"/>
    <n v="0"/>
    <n v="0"/>
    <n v="0"/>
    <n v="203"/>
    <n v="700"/>
    <n v="1686"/>
    <n v="0"/>
    <n v="0"/>
    <n v="1392"/>
    <n v="7401"/>
    <n v="3132"/>
    <n v="3078"/>
  </r>
  <r>
    <s v="Monthly-AE-November-2024-revised.csv"/>
    <x v="11"/>
    <s v="RJZ"/>
    <s v="NHS ENGLAND LONDON"/>
    <x v="62"/>
    <n v="15478"/>
    <n v="0"/>
    <n v="8859"/>
    <n v="79"/>
    <n v="0"/>
    <n v="1114"/>
    <n v="6876"/>
    <n v="0"/>
    <n v="420"/>
    <n v="25"/>
    <n v="0"/>
    <n v="0"/>
    <n v="1662"/>
    <n v="776"/>
    <n v="3897"/>
    <n v="0"/>
    <n v="0"/>
    <n v="274"/>
    <n v="24337"/>
    <n v="7296"/>
    <n v="4171"/>
  </r>
  <r>
    <s v="Monthly-AE-November-2024-revised.csv"/>
    <x v="11"/>
    <s v="RKB"/>
    <s v="NHS ENGLAND MIDLANDS "/>
    <x v="140"/>
    <n v="12296"/>
    <n v="860"/>
    <n v="6320"/>
    <n v="0"/>
    <n v="0"/>
    <n v="0"/>
    <n v="6019"/>
    <n v="94"/>
    <n v="488"/>
    <n v="0"/>
    <n v="0"/>
    <n v="0"/>
    <n v="104"/>
    <n v="32"/>
    <n v="1716"/>
    <n v="41"/>
    <n v="139"/>
    <n v="589"/>
    <n v="19476"/>
    <n v="6601"/>
    <n v="2485"/>
  </r>
  <r>
    <s v="Monthly-AE-November-2024-revised.csv"/>
    <x v="11"/>
    <s v="RN7"/>
    <s v="NHS ENGLAND SOUTH EAST "/>
    <x v="171"/>
    <n v="11574"/>
    <n v="0"/>
    <n v="3844"/>
    <n v="0"/>
    <n v="0"/>
    <n v="0"/>
    <n v="3989"/>
    <n v="0"/>
    <n v="15"/>
    <n v="0"/>
    <n v="0"/>
    <n v="0"/>
    <n v="638"/>
    <n v="276"/>
    <n v="3419"/>
    <n v="0"/>
    <n v="0"/>
    <n v="431"/>
    <n v="15418"/>
    <n v="4004"/>
    <n v="3850"/>
  </r>
  <r>
    <s v="Monthly-AE-November-2024-revised.csv"/>
    <x v="11"/>
    <s v="RNN"/>
    <s v="NHS ENGLAND NORTH EAST AND YORKSHIRE "/>
    <x v="111"/>
    <n v="8745"/>
    <n v="0"/>
    <n v="1654"/>
    <n v="328"/>
    <n v="0"/>
    <n v="34"/>
    <n v="3829"/>
    <n v="0"/>
    <n v="45"/>
    <n v="94"/>
    <n v="0"/>
    <n v="2"/>
    <n v="740"/>
    <n v="451"/>
    <n v="2448"/>
    <n v="0"/>
    <n v="0"/>
    <n v="844"/>
    <n v="10399"/>
    <n v="3874"/>
    <n v="3292"/>
  </r>
  <r>
    <s v="Monthly-AE-November-2024-revised.csv"/>
    <x v="11"/>
    <s v="RQW"/>
    <s v="NHS ENGLAND EAST OF ENGLAND "/>
    <x v="148"/>
    <n v="7812"/>
    <n v="0"/>
    <n v="1855"/>
    <n v="0"/>
    <n v="0"/>
    <n v="623"/>
    <n v="4639"/>
    <n v="0"/>
    <n v="0"/>
    <n v="0"/>
    <n v="0"/>
    <n v="0"/>
    <n v="556"/>
    <n v="117"/>
    <n v="1756"/>
    <n v="0"/>
    <n v="0"/>
    <n v="218"/>
    <n v="9667"/>
    <n v="4639"/>
    <n v="1974"/>
  </r>
  <r>
    <s v="Monthly-AE-November-2024-revised.csv"/>
    <x v="11"/>
    <s v="RTK"/>
    <s v="NHS ENGLAND SOUTH EAST "/>
    <x v="114"/>
    <n v="10468"/>
    <n v="0"/>
    <n v="0"/>
    <n v="0"/>
    <n v="0"/>
    <n v="0"/>
    <n v="3559"/>
    <n v="0"/>
    <n v="0"/>
    <n v="0"/>
    <n v="0"/>
    <n v="0"/>
    <n v="539"/>
    <n v="329"/>
    <n v="2769"/>
    <n v="0"/>
    <n v="0"/>
    <n v="509"/>
    <n v="10468"/>
    <n v="3559"/>
    <n v="3278"/>
  </r>
  <r>
    <s v="Monthly-AE-November-2024-revised.csv"/>
    <x v="11"/>
    <s v="RTR"/>
    <s v="NHS ENGLAND NORTH EAST AND YORKSHIRE "/>
    <x v="153"/>
    <n v="7812"/>
    <n v="0"/>
    <n v="8991"/>
    <n v="0"/>
    <n v="0"/>
    <n v="1655"/>
    <n v="3855"/>
    <n v="0"/>
    <n v="731"/>
    <n v="0"/>
    <n v="0"/>
    <n v="69"/>
    <n v="345"/>
    <n v="17"/>
    <n v="2683"/>
    <n v="0"/>
    <n v="125"/>
    <n v="2335"/>
    <n v="16803"/>
    <n v="4586"/>
    <n v="5143"/>
  </r>
  <r>
    <s v="Monthly-AE-November-2024-revised.csv"/>
    <x v="11"/>
    <s v="RTX"/>
    <s v="NHS ENGLAND NORTH WEST "/>
    <x v="172"/>
    <n v="9073"/>
    <n v="0"/>
    <n v="2921"/>
    <n v="139"/>
    <n v="0"/>
    <n v="842"/>
    <n v="3095"/>
    <n v="0"/>
    <n v="74"/>
    <n v="11"/>
    <n v="0"/>
    <n v="55"/>
    <n v="592"/>
    <n v="377"/>
    <n v="3241"/>
    <n v="0"/>
    <n v="28"/>
    <n v="1039"/>
    <n v="11994"/>
    <n v="3169"/>
    <n v="4308"/>
  </r>
  <r>
    <s v="Monthly-AE-November-2024-revised.csv"/>
    <x v="11"/>
    <s v="RWG"/>
    <s v="NHS ENGLAND EAST OF ENGLAND "/>
    <x v="47"/>
    <n v="8588"/>
    <n v="0"/>
    <n v="7456"/>
    <n v="0"/>
    <n v="0"/>
    <n v="771"/>
    <n v="3719"/>
    <n v="0"/>
    <n v="330"/>
    <n v="0"/>
    <n v="0"/>
    <n v="0"/>
    <n v="847"/>
    <n v="21"/>
    <n v="4208"/>
    <n v="0"/>
    <n v="0"/>
    <n v="565"/>
    <n v="16044"/>
    <n v="4049"/>
    <n v="4773"/>
  </r>
  <r>
    <s v="Monthly-AE-November-2024-revised.csv"/>
    <x v="11"/>
    <s v="RWP"/>
    <s v="NHS ENGLAND MIDLANDS "/>
    <x v="68"/>
    <n v="13411"/>
    <n v="0"/>
    <n v="5203"/>
    <n v="33"/>
    <n v="0"/>
    <n v="0"/>
    <n v="8428"/>
    <n v="0"/>
    <n v="72"/>
    <n v="10"/>
    <n v="0"/>
    <n v="0"/>
    <n v="681"/>
    <n v="261"/>
    <n v="2878"/>
    <n v="0"/>
    <n v="0"/>
    <n v="760"/>
    <n v="18614"/>
    <n v="8500"/>
    <n v="3638"/>
  </r>
  <r>
    <s v="Monthly-AE-November-2024-revised.csv"/>
    <x v="11"/>
    <s v="ARN03"/>
    <s v="NHS ENGLAND NORTH EAST AND YORKSHIRE "/>
    <x v="164"/>
    <n v="0"/>
    <n v="0"/>
    <n v="2104"/>
    <n v="0"/>
    <n v="0"/>
    <n v="280"/>
    <n v="0"/>
    <n v="0"/>
    <n v="0"/>
    <n v="0"/>
    <n v="0"/>
    <n v="0"/>
    <n v="0"/>
    <n v="0"/>
    <n v="0"/>
    <n v="0"/>
    <n v="0"/>
    <n v="0"/>
    <n v="2104"/>
    <n v="0"/>
    <n v="0"/>
  </r>
  <r>
    <s v="Monthly-AE-November-2024-revised.csv"/>
    <x v="11"/>
    <s v="NNJ07"/>
    <s v="NHS ENGLAND MIDLANDS "/>
    <x v="52"/>
    <n v="0"/>
    <n v="0"/>
    <n v="6472"/>
    <n v="0"/>
    <n v="0"/>
    <n v="612"/>
    <n v="0"/>
    <n v="0"/>
    <n v="38"/>
    <n v="0"/>
    <n v="0"/>
    <n v="0"/>
    <n v="0"/>
    <n v="0"/>
    <n v="0"/>
    <n v="0"/>
    <n v="0"/>
    <n v="0"/>
    <n v="6472"/>
    <n v="38"/>
    <n v="0"/>
  </r>
  <r>
    <s v="Monthly-AE-November-2024-revised.csv"/>
    <x v="11"/>
    <s v="NNJ0H"/>
    <s v="NHS ENGLAND MIDLANDS "/>
    <x v="53"/>
    <n v="0"/>
    <n v="0"/>
    <n v="198"/>
    <n v="0"/>
    <n v="0"/>
    <n v="2094"/>
    <n v="0"/>
    <n v="0"/>
    <n v="1"/>
    <n v="0"/>
    <n v="0"/>
    <n v="0"/>
    <n v="0"/>
    <n v="0"/>
    <n v="0"/>
    <n v="0"/>
    <n v="0"/>
    <n v="0"/>
    <n v="198"/>
    <n v="1"/>
    <n v="0"/>
  </r>
  <r>
    <s v="Monthly-AE-November-2024-revised.csv"/>
    <x v="11"/>
    <s v="NNJ12"/>
    <s v="NHS ENGLAND MIDLANDS "/>
    <x v="54"/>
    <n v="0"/>
    <n v="0"/>
    <n v="100"/>
    <n v="0"/>
    <n v="0"/>
    <n v="401"/>
    <n v="0"/>
    <n v="0"/>
    <n v="0"/>
    <n v="0"/>
    <n v="0"/>
    <n v="0"/>
    <n v="0"/>
    <n v="0"/>
    <n v="0"/>
    <n v="0"/>
    <n v="0"/>
    <n v="0"/>
    <n v="100"/>
    <n v="0"/>
    <n v="0"/>
  </r>
  <r>
    <s v="Monthly-AE-November-2024-revised.csv"/>
    <x v="11"/>
    <s v="NNJ13"/>
    <s v="NHS ENGLAND MIDLANDS "/>
    <x v="55"/>
    <n v="0"/>
    <n v="0"/>
    <n v="68"/>
    <n v="0"/>
    <n v="0"/>
    <n v="360"/>
    <n v="0"/>
    <n v="0"/>
    <n v="0"/>
    <n v="0"/>
    <n v="0"/>
    <n v="0"/>
    <n v="0"/>
    <n v="0"/>
    <n v="0"/>
    <n v="0"/>
    <n v="0"/>
    <n v="0"/>
    <n v="68"/>
    <n v="0"/>
    <n v="0"/>
  </r>
  <r>
    <s v="Monthly-AE-November-2024-revised.csv"/>
    <x v="11"/>
    <s v="NNJ14"/>
    <s v="NHS ENGLAND MIDLANDS "/>
    <x v="191"/>
    <n v="0"/>
    <n v="0"/>
    <n v="479"/>
    <n v="0"/>
    <n v="0"/>
    <n v="2174"/>
    <n v="0"/>
    <n v="0"/>
    <n v="0"/>
    <n v="0"/>
    <n v="0"/>
    <n v="0"/>
    <n v="0"/>
    <n v="0"/>
    <n v="0"/>
    <n v="0"/>
    <n v="0"/>
    <n v="0"/>
    <n v="479"/>
    <n v="0"/>
    <n v="0"/>
  </r>
  <r>
    <s v="Monthly-AE-November-2024-revised.csv"/>
    <x v="11"/>
    <s v="NNJ15"/>
    <s v="NHS ENGLAND MIDLANDS "/>
    <x v="56"/>
    <n v="0"/>
    <n v="0"/>
    <n v="63"/>
    <n v="0"/>
    <n v="0"/>
    <n v="381"/>
    <n v="0"/>
    <n v="0"/>
    <n v="0"/>
    <n v="0"/>
    <n v="0"/>
    <n v="0"/>
    <n v="0"/>
    <n v="0"/>
    <n v="0"/>
    <n v="0"/>
    <n v="0"/>
    <n v="0"/>
    <n v="63"/>
    <n v="0"/>
    <n v="0"/>
  </r>
  <r>
    <s v="Monthly-AE-November-2024-revised.csv"/>
    <x v="11"/>
    <s v="NNJ"/>
    <s v="NHS ENGLAND MIDLANDS "/>
    <x v="43"/>
    <n v="0"/>
    <n v="0"/>
    <n v="2044"/>
    <n v="0"/>
    <n v="0"/>
    <n v="0"/>
    <n v="0"/>
    <n v="0"/>
    <n v="19"/>
    <n v="0"/>
    <n v="0"/>
    <n v="0"/>
    <n v="0"/>
    <n v="0"/>
    <n v="0"/>
    <n v="0"/>
    <n v="0"/>
    <n v="0"/>
    <n v="2044"/>
    <n v="19"/>
    <n v="0"/>
  </r>
  <r>
    <s v="Monthly-AE-November-2024-revised.csv"/>
    <x v="11"/>
    <s v="RAS"/>
    <s v="NHS ENGLAND LONDON"/>
    <x v="182"/>
    <n v="6270"/>
    <n v="0"/>
    <n v="7004"/>
    <n v="0"/>
    <n v="0"/>
    <n v="0"/>
    <n v="3743"/>
    <n v="0"/>
    <n v="222"/>
    <n v="0"/>
    <n v="0"/>
    <n v="0"/>
    <n v="464"/>
    <n v="14"/>
    <n v="1902"/>
    <n v="0"/>
    <n v="0"/>
    <n v="134"/>
    <n v="13274"/>
    <n v="3965"/>
    <n v="2036"/>
  </r>
  <r>
    <s v="Monthly-AE-November-2024-revised.csv"/>
    <x v="11"/>
    <s v="RC9"/>
    <s v="NHS ENGLAND EAST OF ENGLAND "/>
    <x v="131"/>
    <n v="16716"/>
    <n v="0"/>
    <n v="8434"/>
    <n v="0"/>
    <n v="0"/>
    <n v="1038"/>
    <n v="6826"/>
    <n v="0"/>
    <n v="0"/>
    <n v="0"/>
    <n v="0"/>
    <n v="0"/>
    <n v="80"/>
    <n v="36"/>
    <n v="5026"/>
    <n v="0"/>
    <n v="0"/>
    <n v="2040"/>
    <n v="25150"/>
    <n v="6826"/>
    <n v="7066"/>
  </r>
  <r>
    <s v="Monthly-AE-November-2024-revised.csv"/>
    <x v="11"/>
    <s v="RCF"/>
    <s v="NHS ENGLAND NORTH EAST AND YORKSHIRE "/>
    <x v="104"/>
    <n v="5652"/>
    <n v="212"/>
    <n v="0"/>
    <n v="513"/>
    <n v="0"/>
    <n v="0"/>
    <n v="2577"/>
    <n v="0"/>
    <n v="0"/>
    <n v="0"/>
    <n v="0"/>
    <n v="0"/>
    <n v="528"/>
    <n v="135"/>
    <n v="1587"/>
    <n v="0"/>
    <n v="0"/>
    <n v="556"/>
    <n v="5864"/>
    <n v="2577"/>
    <n v="2143"/>
  </r>
  <r>
    <s v="Monthly-AE-November-2024-revised.csv"/>
    <x v="11"/>
    <s v="RCU"/>
    <s v="NHS ENGLAND NORTH EAST AND YORKSHIRE "/>
    <x v="81"/>
    <n v="5219"/>
    <n v="0"/>
    <n v="518"/>
    <n v="325"/>
    <n v="0"/>
    <n v="35"/>
    <n v="654"/>
    <n v="0"/>
    <n v="0"/>
    <n v="46"/>
    <n v="0"/>
    <n v="0"/>
    <n v="15"/>
    <n v="0"/>
    <n v="1245"/>
    <n v="0"/>
    <n v="0"/>
    <n v="102"/>
    <n v="5737"/>
    <n v="654"/>
    <n v="1347"/>
  </r>
  <r>
    <s v="Monthly-AE-November-2024-revised.csv"/>
    <x v="11"/>
    <s v="RCX"/>
    <s v="NHS ENGLAND EAST OF ENGLAND "/>
    <x v="185"/>
    <n v="6813"/>
    <n v="0"/>
    <n v="1200"/>
    <n v="0"/>
    <n v="0"/>
    <n v="0"/>
    <n v="2912"/>
    <n v="0"/>
    <n v="0"/>
    <n v="0"/>
    <n v="0"/>
    <n v="0"/>
    <n v="294"/>
    <n v="97"/>
    <n v="2051"/>
    <n v="0"/>
    <n v="0"/>
    <n v="300"/>
    <n v="8013"/>
    <n v="2912"/>
    <n v="2351"/>
  </r>
  <r>
    <s v="Monthly-AE-November-2024-revised.csv"/>
    <x v="11"/>
    <s v="RDR"/>
    <s v="NHS ENGLAND SOUTH EAST "/>
    <x v="166"/>
    <n v="0"/>
    <n v="0"/>
    <n v="11428"/>
    <n v="0"/>
    <n v="0"/>
    <n v="0"/>
    <n v="0"/>
    <n v="0"/>
    <n v="77"/>
    <n v="0"/>
    <n v="0"/>
    <n v="0"/>
    <n v="0"/>
    <n v="0"/>
    <n v="0"/>
    <n v="0"/>
    <n v="0"/>
    <n v="1"/>
    <n v="11428"/>
    <n v="77"/>
    <n v="1"/>
  </r>
  <r>
    <s v="Monthly-AE-November-2024-revised.csv"/>
    <x v="11"/>
    <s v="REP"/>
    <s v="NHS ENGLAND NORTH WEST "/>
    <x v="83"/>
    <n v="0"/>
    <n v="1231"/>
    <n v="0"/>
    <n v="0"/>
    <n v="125"/>
    <n v="0"/>
    <n v="0"/>
    <n v="113"/>
    <n v="0"/>
    <n v="0"/>
    <n v="0"/>
    <n v="0"/>
    <n v="0"/>
    <n v="0"/>
    <n v="0"/>
    <n v="96"/>
    <n v="0"/>
    <n v="19"/>
    <n v="1231"/>
    <n v="113"/>
    <n v="115"/>
  </r>
  <r>
    <s v="Monthly-AE-November-2024-revised.csv"/>
    <x v="11"/>
    <s v="RGP"/>
    <s v="NHS ENGLAND EAST OF ENGLAND "/>
    <x v="61"/>
    <n v="7287"/>
    <n v="0"/>
    <n v="1326"/>
    <n v="0"/>
    <n v="0"/>
    <n v="0"/>
    <n v="3175"/>
    <n v="0"/>
    <n v="0"/>
    <n v="0"/>
    <n v="0"/>
    <n v="0"/>
    <n v="525"/>
    <n v="339"/>
    <n v="1604"/>
    <n v="0"/>
    <n v="0"/>
    <n v="450"/>
    <n v="8613"/>
    <n v="3175"/>
    <n v="2054"/>
  </r>
  <r>
    <s v="Monthly-AE-November-2024-revised.csv"/>
    <x v="11"/>
    <s v="RGT"/>
    <s v="NHS ENGLAND EAST OF ENGLAND "/>
    <x v="107"/>
    <n v="10816"/>
    <n v="0"/>
    <n v="5404"/>
    <n v="245"/>
    <n v="0"/>
    <n v="322"/>
    <n v="5423"/>
    <n v="0"/>
    <n v="121"/>
    <n v="72"/>
    <n v="0"/>
    <n v="9"/>
    <n v="553"/>
    <n v="527"/>
    <n v="2741"/>
    <n v="0"/>
    <n v="32"/>
    <n v="477"/>
    <n v="16220"/>
    <n v="5544"/>
    <n v="3250"/>
  </r>
  <r>
    <s v="Monthly-AE-November-2024-revised.csv"/>
    <x v="11"/>
    <s v="RH5"/>
    <s v="NHS ENGLAND SOUTH WEST "/>
    <x v="175"/>
    <n v="12368"/>
    <n v="0"/>
    <n v="8991"/>
    <n v="0"/>
    <n v="0"/>
    <n v="0"/>
    <n v="5926"/>
    <n v="0"/>
    <n v="148"/>
    <n v="0"/>
    <n v="0"/>
    <n v="0"/>
    <n v="620"/>
    <n v="114"/>
    <n v="3201"/>
    <n v="0"/>
    <n v="0"/>
    <n v="1790"/>
    <n v="21359"/>
    <n v="6074"/>
    <n v="4991"/>
  </r>
  <r>
    <s v="Monthly-AE-November-2024-revised.csv"/>
    <x v="11"/>
    <s v="RHM"/>
    <s v="NHS ENGLAND SOUTH EAST "/>
    <x v="134"/>
    <n v="12029"/>
    <n v="1176"/>
    <n v="0"/>
    <n v="292"/>
    <n v="0"/>
    <n v="0"/>
    <n v="5287"/>
    <n v="72"/>
    <n v="0"/>
    <n v="122"/>
    <n v="0"/>
    <n v="0"/>
    <n v="433"/>
    <n v="5"/>
    <n v="3804"/>
    <n v="9"/>
    <n v="0"/>
    <n v="1532"/>
    <n v="13205"/>
    <n v="5359"/>
    <n v="5345"/>
  </r>
  <r>
    <s v="Monthly-AE-November-2024-revised.csv"/>
    <x v="11"/>
    <s v="RLT"/>
    <s v="NHS ENGLAND MIDLANDS "/>
    <x v="141"/>
    <n v="7489"/>
    <n v="0"/>
    <n v="1710"/>
    <n v="0"/>
    <n v="0"/>
    <n v="0"/>
    <n v="2619"/>
    <n v="0"/>
    <n v="60"/>
    <n v="0"/>
    <n v="0"/>
    <n v="0"/>
    <n v="678"/>
    <n v="141"/>
    <n v="1129"/>
    <n v="0"/>
    <n v="0"/>
    <n v="0"/>
    <n v="9199"/>
    <n v="2679"/>
    <n v="1129"/>
  </r>
  <r>
    <s v="Monthly-AE-November-2024-revised.csv"/>
    <x v="11"/>
    <s v="RMP"/>
    <s v="NHS ENGLAND NORTH WEST "/>
    <x v="143"/>
    <n v="8628"/>
    <n v="0"/>
    <n v="3185"/>
    <n v="406"/>
    <n v="0"/>
    <n v="371"/>
    <n v="4077"/>
    <n v="0"/>
    <n v="8"/>
    <n v="0"/>
    <n v="0"/>
    <n v="0"/>
    <n v="419"/>
    <n v="541"/>
    <n v="1826"/>
    <n v="0"/>
    <n v="0"/>
    <n v="297"/>
    <n v="11813"/>
    <n v="4085"/>
    <n v="2123"/>
  </r>
  <r>
    <s v="Monthly-AE-November-2024-revised.csv"/>
    <x v="11"/>
    <s v="RN5"/>
    <s v="NHS ENGLAND SOUTH EAST "/>
    <x v="110"/>
    <n v="11951"/>
    <n v="80"/>
    <n v="1329"/>
    <n v="0"/>
    <n v="0"/>
    <n v="114"/>
    <n v="5735"/>
    <n v="0"/>
    <n v="60"/>
    <n v="0"/>
    <n v="0"/>
    <n v="0"/>
    <n v="432"/>
    <n v="128"/>
    <n v="4314"/>
    <n v="10"/>
    <n v="35"/>
    <n v="1213"/>
    <n v="13360"/>
    <n v="5795"/>
    <n v="5572"/>
  </r>
  <r>
    <s v="Monthly-AE-November-2024-revised.csv"/>
    <x v="11"/>
    <s v="RNS"/>
    <s v="NHS ENGLAND MIDLANDS "/>
    <x v="41"/>
    <n v="9745"/>
    <n v="559"/>
    <n v="2487"/>
    <n v="1405"/>
    <n v="0"/>
    <n v="179"/>
    <n v="4460"/>
    <n v="11"/>
    <n v="303"/>
    <n v="567"/>
    <n v="0"/>
    <n v="17"/>
    <n v="482"/>
    <n v="825"/>
    <n v="2161"/>
    <n v="0"/>
    <n v="0"/>
    <n v="940"/>
    <n v="12791"/>
    <n v="4774"/>
    <n v="3101"/>
  </r>
  <r>
    <s v="Monthly-AE-November-2024-revised.csv"/>
    <x v="11"/>
    <s v="RQM"/>
    <s v="NHS ENGLAND LONDON"/>
    <x v="147"/>
    <n v="19742"/>
    <n v="0"/>
    <n v="6519"/>
    <n v="561"/>
    <n v="0"/>
    <n v="0"/>
    <n v="6684"/>
    <n v="0"/>
    <n v="218"/>
    <n v="0"/>
    <n v="0"/>
    <n v="0"/>
    <n v="1324"/>
    <n v="52"/>
    <n v="2894"/>
    <n v="0"/>
    <n v="0"/>
    <n v="354"/>
    <n v="26261"/>
    <n v="6902"/>
    <n v="3248"/>
  </r>
  <r>
    <s v="Monthly-AE-November-2024-revised.csv"/>
    <x v="11"/>
    <s v="RR8"/>
    <s v="NHS ENGLAND NORTH EAST AND YORKSHIRE "/>
    <x v="149"/>
    <n v="18099"/>
    <n v="664"/>
    <n v="12091"/>
    <n v="42"/>
    <n v="0"/>
    <n v="80"/>
    <n v="7911"/>
    <n v="0"/>
    <n v="267"/>
    <n v="11"/>
    <n v="0"/>
    <n v="0"/>
    <n v="1826"/>
    <n v="403"/>
    <n v="3769"/>
    <n v="0"/>
    <n v="0"/>
    <n v="1179"/>
    <n v="30854"/>
    <n v="8178"/>
    <n v="4948"/>
  </r>
  <r>
    <s v="Monthly-AE-November-2024-revised.csv"/>
    <x v="11"/>
    <s v="RRF"/>
    <s v="NHS ENGLAND NORTH WEST "/>
    <x v="150"/>
    <n v="7061"/>
    <n v="0"/>
    <n v="5353"/>
    <n v="0"/>
    <n v="0"/>
    <n v="0"/>
    <n v="3765"/>
    <n v="0"/>
    <n v="135"/>
    <n v="0"/>
    <n v="0"/>
    <n v="0"/>
    <n v="1245"/>
    <n v="474"/>
    <n v="2301"/>
    <n v="0"/>
    <n v="0"/>
    <n v="702"/>
    <n v="12414"/>
    <n v="3900"/>
    <n v="3003"/>
  </r>
  <r>
    <s v="Monthly-AE-November-2024-revised.csv"/>
    <x v="11"/>
    <s v="RRK"/>
    <s v="NHS ENGLAND MIDLANDS "/>
    <x v="87"/>
    <n v="35046"/>
    <n v="307"/>
    <n v="1602"/>
    <n v="11"/>
    <n v="0"/>
    <n v="219"/>
    <n v="15409"/>
    <n v="0"/>
    <n v="56"/>
    <n v="3"/>
    <n v="0"/>
    <n v="10"/>
    <n v="2475"/>
    <n v="1853"/>
    <n v="10365"/>
    <n v="0"/>
    <n v="0"/>
    <n v="7065"/>
    <n v="36955"/>
    <n v="15465"/>
    <n v="17430"/>
  </r>
  <r>
    <s v="Monthly-AE-November-2024-revised.csv"/>
    <x v="11"/>
    <s v="RVV"/>
    <s v="NHS ENGLAND SOUTH EAST "/>
    <x v="155"/>
    <n v="13201"/>
    <n v="0"/>
    <n v="12737"/>
    <n v="0"/>
    <n v="0"/>
    <n v="0"/>
    <n v="6113"/>
    <n v="0"/>
    <n v="594"/>
    <n v="0"/>
    <n v="0"/>
    <n v="0"/>
    <n v="618"/>
    <n v="1121"/>
    <n v="3170"/>
    <n v="0"/>
    <n v="595"/>
    <n v="502"/>
    <n v="25938"/>
    <n v="6707"/>
    <n v="4267"/>
  </r>
  <r>
    <s v="Monthly-AE-November-2024-revised.csv"/>
    <x v="11"/>
    <s v="RVW"/>
    <s v="NHS ENGLAND NORTH EAST AND YORKSHIRE "/>
    <x v="90"/>
    <n v="5092"/>
    <n v="0"/>
    <n v="11553"/>
    <n v="0"/>
    <n v="0"/>
    <n v="0"/>
    <n v="2971"/>
    <n v="0"/>
    <n v="45"/>
    <n v="0"/>
    <n v="0"/>
    <n v="0"/>
    <n v="273"/>
    <n v="25"/>
    <n v="1715"/>
    <n v="0"/>
    <n v="491"/>
    <n v="2536"/>
    <n v="16645"/>
    <n v="3016"/>
    <n v="4742"/>
  </r>
  <r>
    <s v="Monthly-AE-November-2024-revised.csv"/>
    <x v="11"/>
    <s v="RWE"/>
    <s v="NHS ENGLAND MIDLANDS "/>
    <x v="117"/>
    <n v="23225"/>
    <n v="1952"/>
    <n v="0"/>
    <n v="0"/>
    <n v="0"/>
    <n v="0"/>
    <n v="10469"/>
    <n v="119"/>
    <n v="0"/>
    <n v="0"/>
    <n v="0"/>
    <n v="0"/>
    <n v="1556"/>
    <n v="1108"/>
    <n v="6523"/>
    <n v="7"/>
    <n v="0"/>
    <n v="3534"/>
    <n v="25177"/>
    <n v="10588"/>
    <n v="10064"/>
  </r>
  <r>
    <s v="Monthly-AE-November-2024-revised.csv"/>
    <x v="11"/>
    <s v="RWF"/>
    <s v="NHS ENGLAND SOUTH EAST "/>
    <x v="118"/>
    <n v="18553"/>
    <n v="0"/>
    <n v="2124"/>
    <n v="849"/>
    <n v="0"/>
    <n v="168"/>
    <n v="3865"/>
    <n v="0"/>
    <n v="8"/>
    <n v="125"/>
    <n v="0"/>
    <n v="0"/>
    <n v="964"/>
    <n v="80"/>
    <n v="5106"/>
    <n v="0"/>
    <n v="0"/>
    <n v="938"/>
    <n v="20677"/>
    <n v="3873"/>
    <n v="6044"/>
  </r>
  <r>
    <s v="Monthly-AE-November-2024-revised.csv"/>
    <x v="11"/>
    <s v="RWH"/>
    <s v="NHS ENGLAND EAST OF ENGLAND "/>
    <x v="157"/>
    <n v="9357"/>
    <n v="0"/>
    <n v="7669"/>
    <n v="1"/>
    <n v="0"/>
    <n v="0"/>
    <n v="5297"/>
    <n v="0"/>
    <n v="286"/>
    <n v="0"/>
    <n v="0"/>
    <n v="0"/>
    <n v="179"/>
    <n v="86"/>
    <n v="3296"/>
    <n v="0"/>
    <n v="101"/>
    <n v="243"/>
    <n v="17026"/>
    <n v="5583"/>
    <n v="3640"/>
  </r>
  <r>
    <s v="Monthly-AE-November-2024-revised.csv"/>
    <x v="11"/>
    <s v="RXC"/>
    <s v="NHS ENGLAND SOUTH EAST "/>
    <x v="70"/>
    <n v="8336"/>
    <n v="0"/>
    <n v="2261"/>
    <n v="2071"/>
    <n v="0"/>
    <n v="1488"/>
    <n v="3998"/>
    <n v="0"/>
    <n v="79"/>
    <n v="0"/>
    <n v="0"/>
    <n v="0"/>
    <n v="250"/>
    <n v="42"/>
    <n v="3210"/>
    <n v="0"/>
    <n v="0"/>
    <n v="397"/>
    <n v="10597"/>
    <n v="4077"/>
    <n v="3607"/>
  </r>
  <r>
    <s v="Monthly-AE-November-2024-revised.csv"/>
    <x v="11"/>
    <s v="RXL"/>
    <s v="NHS ENGLAND NORTH WEST "/>
    <x v="72"/>
    <n v="8663"/>
    <n v="0"/>
    <n v="9773"/>
    <n v="340"/>
    <n v="0"/>
    <n v="250"/>
    <n v="4055"/>
    <n v="0"/>
    <n v="71"/>
    <n v="102"/>
    <n v="0"/>
    <n v="0"/>
    <n v="393"/>
    <n v="652"/>
    <n v="2527"/>
    <n v="0"/>
    <n v="0"/>
    <n v="1629"/>
    <n v="18436"/>
    <n v="4126"/>
    <n v="4156"/>
  </r>
  <r>
    <s v="Monthly-AE-November-2024-revised.csv"/>
    <x v="11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2"/>
    <n v="60"/>
    <n v="0"/>
    <n v="0"/>
    <n v="62"/>
  </r>
  <r>
    <s v="Monthly-AE-November-2024-revised.csv"/>
    <x v="11"/>
    <s v="C83023"/>
    <s v="NHS ENGLAND MIDLANDS "/>
    <x v="190"/>
    <n v="0"/>
    <n v="0"/>
    <n v="496"/>
    <n v="0"/>
    <n v="0"/>
    <n v="0"/>
    <n v="0"/>
    <n v="0"/>
    <n v="0"/>
    <n v="0"/>
    <n v="0"/>
    <n v="0"/>
    <n v="0"/>
    <n v="0"/>
    <n v="0"/>
    <n v="0"/>
    <n v="0"/>
    <n v="1"/>
    <n v="496"/>
    <n v="0"/>
    <n v="1"/>
  </r>
  <r>
    <s v="Monthly-AE-November-2024-revised.csv"/>
    <x v="11"/>
    <s v="NNF09"/>
    <s v="NHS ENGLAND NORTH EAST AND YORKSHIRE "/>
    <x v="124"/>
    <n v="0"/>
    <n v="0"/>
    <n v="3623"/>
    <n v="0"/>
    <n v="0"/>
    <n v="0"/>
    <n v="0"/>
    <n v="0"/>
    <n v="250"/>
    <n v="0"/>
    <n v="0"/>
    <n v="0"/>
    <n v="0"/>
    <n v="0"/>
    <n v="0"/>
    <n v="0"/>
    <n v="0"/>
    <n v="0"/>
    <n v="3623"/>
    <n v="250"/>
    <n v="0"/>
  </r>
  <r>
    <s v="Monthly-AE-November-2024-revised.csv"/>
    <x v="11"/>
    <s v="NNF16"/>
    <s v="NHS ENGLAND NORTH EAST AND YORKSHIRE "/>
    <x v="198"/>
    <n v="0"/>
    <n v="0"/>
    <n v="1362"/>
    <n v="0"/>
    <n v="0"/>
    <n v="0"/>
    <n v="0"/>
    <n v="0"/>
    <n v="0"/>
    <n v="0"/>
    <n v="0"/>
    <n v="0"/>
    <n v="0"/>
    <n v="0"/>
    <n v="0"/>
    <n v="0"/>
    <n v="0"/>
    <n v="0"/>
    <n v="1362"/>
    <n v="0"/>
    <n v="0"/>
  </r>
  <r>
    <s v="Monthly-AE-November-2024-revised.csv"/>
    <x v="11"/>
    <s v="NNF94"/>
    <s v="NHS ENGLAND NORTH EAST AND YORKSHIRE "/>
    <x v="125"/>
    <n v="0"/>
    <n v="0"/>
    <n v="2655"/>
    <n v="0"/>
    <n v="0"/>
    <n v="0"/>
    <n v="0"/>
    <n v="0"/>
    <n v="220"/>
    <n v="0"/>
    <n v="0"/>
    <n v="0"/>
    <n v="0"/>
    <n v="0"/>
    <n v="0"/>
    <n v="0"/>
    <n v="0"/>
    <n v="0"/>
    <n v="2655"/>
    <n v="220"/>
    <n v="0"/>
  </r>
  <r>
    <s v="Monthly-AE-November-2024-revised.csv"/>
    <x v="11"/>
    <s v="NNFA7"/>
    <s v="NHS ENGLAND NORTH EAST AND YORKSHIRE "/>
    <x v="126"/>
    <n v="0"/>
    <n v="0"/>
    <n v="1560"/>
    <n v="0"/>
    <n v="0"/>
    <n v="0"/>
    <n v="0"/>
    <n v="0"/>
    <n v="7"/>
    <n v="0"/>
    <n v="0"/>
    <n v="0"/>
    <n v="0"/>
    <n v="0"/>
    <n v="0"/>
    <n v="0"/>
    <n v="0"/>
    <n v="0"/>
    <n v="1560"/>
    <n v="7"/>
    <n v="0"/>
  </r>
  <r>
    <s v="Monthly-AE-November-2024-revised.csv"/>
    <x v="11"/>
    <s v="R1D"/>
    <s v="NHS ENGLAND MIDLANDS "/>
    <x v="58"/>
    <n v="0"/>
    <n v="0"/>
    <n v="2850"/>
    <n v="0"/>
    <n v="0"/>
    <n v="0"/>
    <n v="0"/>
    <n v="0"/>
    <n v="5"/>
    <n v="0"/>
    <n v="0"/>
    <n v="0"/>
    <n v="0"/>
    <n v="0"/>
    <n v="0"/>
    <n v="0"/>
    <n v="0"/>
    <n v="0"/>
    <n v="2850"/>
    <n v="5"/>
    <n v="0"/>
  </r>
  <r>
    <s v="Monthly-AE-November-2024-revised.csv"/>
    <x v="11"/>
    <s v="RAL"/>
    <s v="NHS ENGLAND LONDON"/>
    <x v="99"/>
    <n v="17661"/>
    <n v="0"/>
    <n v="8788"/>
    <n v="0"/>
    <n v="0"/>
    <n v="0"/>
    <n v="6401"/>
    <n v="0"/>
    <n v="211"/>
    <n v="0"/>
    <n v="0"/>
    <n v="0"/>
    <n v="1076"/>
    <n v="718"/>
    <n v="3813"/>
    <n v="0"/>
    <n v="0"/>
    <n v="527"/>
    <n v="26449"/>
    <n v="6612"/>
    <n v="4340"/>
  </r>
  <r>
    <s v="Monthly-AE-November-2024-revised.csv"/>
    <x v="11"/>
    <s v="RAP"/>
    <s v="NHS ENGLAND LONDON"/>
    <x v="129"/>
    <n v="8411"/>
    <n v="433"/>
    <n v="6738"/>
    <n v="68"/>
    <n v="0"/>
    <n v="65"/>
    <n v="4967"/>
    <n v="0"/>
    <n v="713"/>
    <n v="31"/>
    <n v="0"/>
    <n v="7"/>
    <n v="231"/>
    <n v="874"/>
    <n v="1450"/>
    <n v="0"/>
    <n v="170"/>
    <n v="64"/>
    <n v="15582"/>
    <n v="5680"/>
    <n v="1684"/>
  </r>
  <r>
    <s v="Monthly-AE-November-2024-revised.csv"/>
    <x v="11"/>
    <s v="RBK"/>
    <s v="NHS ENGLAND MIDLANDS "/>
    <x v="102"/>
    <n v="9841"/>
    <n v="0"/>
    <n v="4584"/>
    <n v="14"/>
    <n v="0"/>
    <n v="144"/>
    <n v="3490"/>
    <n v="0"/>
    <n v="291"/>
    <n v="4"/>
    <n v="0"/>
    <n v="0"/>
    <n v="1182"/>
    <n v="133"/>
    <n v="4115"/>
    <n v="0"/>
    <n v="0"/>
    <n v="863"/>
    <n v="14425"/>
    <n v="3781"/>
    <n v="4978"/>
  </r>
  <r>
    <s v="Monthly-AE-November-2024-revised.csv"/>
    <x v="11"/>
    <s v="RBN"/>
    <s v="NHS ENGLAND NORTH WEST "/>
    <x v="174"/>
    <n v="17192"/>
    <n v="0"/>
    <n v="7066"/>
    <n v="439"/>
    <n v="0"/>
    <n v="0"/>
    <n v="6415"/>
    <n v="0"/>
    <n v="103"/>
    <n v="80"/>
    <n v="0"/>
    <n v="0"/>
    <n v="617"/>
    <n v="381"/>
    <n v="7587"/>
    <n v="0"/>
    <n v="0"/>
    <n v="620"/>
    <n v="24258"/>
    <n v="6518"/>
    <n v="8207"/>
  </r>
  <r>
    <s v="Monthly-AE-November-2024-revised.csv"/>
    <x v="11"/>
    <s v="RDE"/>
    <s v="NHS ENGLAND EAST OF ENGLAND "/>
    <x v="132"/>
    <n v="12745"/>
    <n v="0"/>
    <n v="14789"/>
    <n v="707"/>
    <n v="0"/>
    <n v="539"/>
    <n v="7100"/>
    <n v="0"/>
    <n v="451"/>
    <n v="0"/>
    <n v="0"/>
    <n v="0"/>
    <n v="1105"/>
    <n v="440"/>
    <n v="6576"/>
    <n v="0"/>
    <n v="350"/>
    <n v="1006"/>
    <n v="27534"/>
    <n v="7551"/>
    <n v="7932"/>
  </r>
  <r>
    <s v="Monthly-AE-November-2024-revised.csv"/>
    <x v="11"/>
    <s v="RDU"/>
    <s v="NHS ENGLAND SOUTH EAST "/>
    <x v="82"/>
    <n v="22368"/>
    <n v="885"/>
    <n v="10583"/>
    <n v="0"/>
    <n v="0"/>
    <n v="0"/>
    <n v="10181"/>
    <n v="4"/>
    <n v="164"/>
    <n v="0"/>
    <n v="0"/>
    <n v="0"/>
    <n v="1825"/>
    <n v="360"/>
    <n v="6253"/>
    <n v="0"/>
    <n v="0"/>
    <n v="94"/>
    <n v="33836"/>
    <n v="10349"/>
    <n v="6347"/>
  </r>
  <r>
    <s v="Monthly-AE-November-2024-revised.csv"/>
    <x v="11"/>
    <s v="REM"/>
    <s v="NHS ENGLAND NORTH WEST "/>
    <x v="35"/>
    <n v="15519"/>
    <n v="1791"/>
    <n v="8023"/>
    <n v="463"/>
    <n v="0"/>
    <n v="0"/>
    <n v="8126"/>
    <n v="97"/>
    <n v="177"/>
    <n v="94"/>
    <n v="0"/>
    <n v="0"/>
    <n v="2060"/>
    <n v="1092"/>
    <n v="4588"/>
    <n v="0"/>
    <n v="0"/>
    <n v="2398"/>
    <n v="25333"/>
    <n v="8400"/>
    <n v="6986"/>
  </r>
  <r>
    <s v="Monthly-AE-November-2024-revised.csv"/>
    <x v="11"/>
    <s v="RFS"/>
    <s v="NHS ENGLAND MIDLANDS "/>
    <x v="133"/>
    <n v="6922"/>
    <n v="0"/>
    <n v="5861"/>
    <n v="307"/>
    <n v="0"/>
    <n v="146"/>
    <n v="3553"/>
    <n v="0"/>
    <n v="323"/>
    <n v="138"/>
    <n v="0"/>
    <n v="18"/>
    <n v="961"/>
    <n v="192"/>
    <n v="2871"/>
    <n v="0"/>
    <n v="268"/>
    <n v="581"/>
    <n v="12783"/>
    <n v="3876"/>
    <n v="3720"/>
  </r>
  <r>
    <s v="Monthly-AE-November-2024-revised.csv"/>
    <x v="11"/>
    <s v="RGN"/>
    <s v="NHS ENGLAND EAST OF ENGLAND "/>
    <x v="106"/>
    <n v="14924"/>
    <n v="0"/>
    <n v="4326"/>
    <n v="409"/>
    <n v="0"/>
    <n v="446"/>
    <n v="6609"/>
    <n v="0"/>
    <n v="264"/>
    <n v="105"/>
    <n v="0"/>
    <n v="23"/>
    <n v="526"/>
    <n v="809"/>
    <n v="3732"/>
    <n v="0"/>
    <n v="59"/>
    <n v="1733"/>
    <n v="19250"/>
    <n v="6873"/>
    <n v="5524"/>
  </r>
  <r>
    <s v="Monthly-AE-November-2024-revised.csv"/>
    <x v="11"/>
    <s v="RH8"/>
    <s v="NHS ENGLAND SOUTH WEST "/>
    <x v="186"/>
    <n v="12241"/>
    <n v="0"/>
    <n v="4182"/>
    <n v="1280"/>
    <n v="0"/>
    <n v="65"/>
    <n v="5101"/>
    <n v="0"/>
    <n v="25"/>
    <n v="453"/>
    <n v="0"/>
    <n v="0"/>
    <n v="1445"/>
    <n v="87"/>
    <n v="4244"/>
    <n v="0"/>
    <n v="0"/>
    <n v="2233"/>
    <n v="16423"/>
    <n v="5126"/>
    <n v="6477"/>
  </r>
  <r>
    <s v="Monthly-AE-November-2024-revised.csv"/>
    <x v="11"/>
    <s v="RHQ"/>
    <s v="NHS ENGLAND NORTH EAST AND YORKSHIRE "/>
    <x v="168"/>
    <n v="9085"/>
    <n v="1138"/>
    <n v="7648"/>
    <n v="333"/>
    <n v="2"/>
    <n v="948"/>
    <n v="5323"/>
    <n v="0"/>
    <n v="238"/>
    <n v="175"/>
    <n v="0"/>
    <n v="21"/>
    <n v="1482"/>
    <n v="16"/>
    <n v="3762"/>
    <n v="0"/>
    <n v="0"/>
    <n v="3039"/>
    <n v="17871"/>
    <n v="5561"/>
    <n v="6801"/>
  </r>
  <r>
    <s v="Monthly-AE-November-2024-revised.csv"/>
    <x v="11"/>
    <s v="RK5"/>
    <s v="NHS ENGLAND MIDLANDS "/>
    <x v="109"/>
    <n v="10534"/>
    <n v="0"/>
    <n v="5660"/>
    <n v="354"/>
    <n v="0"/>
    <n v="155"/>
    <n v="4958"/>
    <n v="0"/>
    <n v="435"/>
    <n v="203"/>
    <n v="0"/>
    <n v="4"/>
    <n v="814"/>
    <n v="162"/>
    <n v="3804"/>
    <n v="0"/>
    <n v="1"/>
    <n v="267"/>
    <n v="16194"/>
    <n v="5393"/>
    <n v="4072"/>
  </r>
  <r>
    <s v="Monthly-AE-November-2024-revised.csv"/>
    <x v="11"/>
    <s v="RKE"/>
    <s v="NHS ENGLAND LONDON"/>
    <x v="170"/>
    <n v="9302"/>
    <n v="0"/>
    <n v="0"/>
    <n v="0"/>
    <n v="0"/>
    <n v="0"/>
    <n v="2715"/>
    <n v="0"/>
    <n v="0"/>
    <n v="0"/>
    <n v="0"/>
    <n v="0"/>
    <n v="251"/>
    <n v="233"/>
    <n v="1437"/>
    <n v="0"/>
    <n v="0"/>
    <n v="46"/>
    <n v="9302"/>
    <n v="2715"/>
    <n v="1483"/>
  </r>
  <r>
    <s v="Monthly-AE-November-2024-revised.csv"/>
    <x v="11"/>
    <s v="RM1"/>
    <s v="NHS ENGLAND EAST OF ENGLAND "/>
    <x v="142"/>
    <n v="12235"/>
    <n v="0"/>
    <n v="8247"/>
    <n v="0"/>
    <n v="0"/>
    <n v="0"/>
    <n v="3991"/>
    <n v="0"/>
    <n v="1"/>
    <n v="0"/>
    <n v="0"/>
    <n v="0"/>
    <n v="981"/>
    <n v="213"/>
    <n v="2625"/>
    <n v="0"/>
    <n v="0"/>
    <n v="1658"/>
    <n v="20482"/>
    <n v="3992"/>
    <n v="4283"/>
  </r>
  <r>
    <s v="Monthly-AE-November-2024-revised.csv"/>
    <x v="11"/>
    <s v="RM3"/>
    <s v="NHS ENGLAND NORTH WEST "/>
    <x v="193"/>
    <n v="26130"/>
    <n v="0"/>
    <n v="9115"/>
    <n v="0"/>
    <n v="0"/>
    <n v="0"/>
    <n v="12047"/>
    <n v="0"/>
    <n v="559"/>
    <n v="0"/>
    <n v="0"/>
    <n v="0"/>
    <n v="1252"/>
    <n v="1166"/>
    <n v="7384"/>
    <n v="0"/>
    <n v="407"/>
    <n v="2012"/>
    <n v="35245"/>
    <n v="12606"/>
    <n v="9803"/>
  </r>
  <r>
    <s v="Monthly-AE-November-2024-revised.csv"/>
    <x v="11"/>
    <s v="RN3"/>
    <s v="NHS ENGLAND SOUTH WEST "/>
    <x v="179"/>
    <n v="5572"/>
    <n v="0"/>
    <n v="5356"/>
    <n v="0"/>
    <n v="0"/>
    <n v="0"/>
    <n v="2443"/>
    <n v="0"/>
    <n v="397"/>
    <n v="0"/>
    <n v="0"/>
    <n v="0"/>
    <n v="568"/>
    <n v="241"/>
    <n v="2425"/>
    <n v="0"/>
    <n v="0"/>
    <n v="1340"/>
    <n v="10928"/>
    <n v="2840"/>
    <n v="3765"/>
  </r>
  <r>
    <s v="Monthly-AE-November-2024-revised.csv"/>
    <x v="11"/>
    <s v="RNA"/>
    <s v="NHS ENGLAND MIDLANDS "/>
    <x v="63"/>
    <n v="9439"/>
    <n v="0"/>
    <n v="5014"/>
    <n v="0"/>
    <n v="0"/>
    <n v="719"/>
    <n v="2494"/>
    <n v="0"/>
    <n v="255"/>
    <n v="0"/>
    <n v="0"/>
    <n v="0"/>
    <n v="2171"/>
    <n v="93"/>
    <n v="3750"/>
    <n v="0"/>
    <n v="0"/>
    <n v="2291"/>
    <n v="14453"/>
    <n v="2749"/>
    <n v="6041"/>
  </r>
  <r>
    <s v="Monthly-AE-November-2024-revised.csv"/>
    <x v="11"/>
    <s v="RP5"/>
    <s v="NHS ENGLAND NORTH EAST AND YORKSHIRE "/>
    <x v="145"/>
    <n v="13455"/>
    <n v="0"/>
    <n v="4061"/>
    <n v="0"/>
    <n v="0"/>
    <n v="0"/>
    <n v="4740"/>
    <n v="0"/>
    <n v="0"/>
    <n v="0"/>
    <n v="0"/>
    <n v="0"/>
    <n v="946"/>
    <n v="153"/>
    <n v="4164"/>
    <n v="0"/>
    <n v="484"/>
    <n v="1189"/>
    <n v="17516"/>
    <n v="4740"/>
    <n v="5837"/>
  </r>
  <r>
    <s v="Monthly-AE-November-2024-revised.csv"/>
    <x v="11"/>
    <s v="RPA"/>
    <s v="NHS ENGLAND SOUTH EAST "/>
    <x v="146"/>
    <n v="9121"/>
    <n v="0"/>
    <n v="6396"/>
    <n v="360"/>
    <n v="0"/>
    <n v="1254"/>
    <n v="3152"/>
    <n v="0"/>
    <n v="646"/>
    <n v="92"/>
    <n v="0"/>
    <n v="0"/>
    <n v="327"/>
    <n v="771"/>
    <n v="1690"/>
    <n v="0"/>
    <n v="0"/>
    <n v="602"/>
    <n v="15517"/>
    <n v="3798"/>
    <n v="2292"/>
  </r>
  <r>
    <s v="Monthly-AE-November-2024-revised.csv"/>
    <x v="11"/>
    <s v="RTE"/>
    <s v="NHS ENGLAND SOUTH WEST "/>
    <x v="151"/>
    <n v="13057"/>
    <n v="0"/>
    <n v="0"/>
    <n v="240"/>
    <n v="0"/>
    <n v="0"/>
    <n v="4981"/>
    <n v="0"/>
    <n v="0"/>
    <n v="75"/>
    <n v="0"/>
    <n v="0"/>
    <n v="411"/>
    <n v="403"/>
    <n v="2716"/>
    <n v="0"/>
    <n v="0"/>
    <n v="2226"/>
    <n v="13057"/>
    <n v="4981"/>
    <n v="4942"/>
  </r>
  <r>
    <s v="Monthly-AE-November-2024-revised.csv"/>
    <x v="11"/>
    <s v="RTF"/>
    <s v="NHS ENGLAND NORTH EAST AND YORKSHIRE "/>
    <x v="152"/>
    <n v="9857"/>
    <n v="0"/>
    <n v="11634"/>
    <n v="0"/>
    <n v="0"/>
    <n v="0"/>
    <n v="2621"/>
    <n v="0"/>
    <n v="10"/>
    <n v="0"/>
    <n v="0"/>
    <n v="0"/>
    <n v="56"/>
    <n v="0"/>
    <n v="4042"/>
    <n v="0"/>
    <n v="40"/>
    <n v="450"/>
    <n v="21491"/>
    <n v="2631"/>
    <n v="4532"/>
  </r>
  <r>
    <s v="Monthly-AE-November-2024-revised.csv"/>
    <x v="11"/>
    <s v="RTG"/>
    <s v="NHS ENGLAND MIDLANDS "/>
    <x v="88"/>
    <n v="20055"/>
    <n v="0"/>
    <n v="9846"/>
    <n v="1968"/>
    <n v="0"/>
    <n v="22"/>
    <n v="9733"/>
    <n v="0"/>
    <n v="5"/>
    <n v="446"/>
    <n v="0"/>
    <n v="0"/>
    <n v="1167"/>
    <n v="1228"/>
    <n v="3984"/>
    <n v="0"/>
    <n v="0"/>
    <n v="1937"/>
    <n v="29901"/>
    <n v="9738"/>
    <n v="5921"/>
  </r>
  <r>
    <s v="Monthly-AE-November-2024-revised.csv"/>
    <x v="11"/>
    <s v="RVJ"/>
    <s v="NHS ENGLAND SOUTH WEST "/>
    <x v="89"/>
    <n v="9087"/>
    <n v="0"/>
    <n v="0"/>
    <n v="12"/>
    <n v="0"/>
    <n v="0"/>
    <n v="4072"/>
    <n v="0"/>
    <n v="0"/>
    <n v="4"/>
    <n v="0"/>
    <n v="0"/>
    <n v="518"/>
    <n v="526"/>
    <n v="3000"/>
    <n v="0"/>
    <n v="0"/>
    <n v="2023"/>
    <n v="9087"/>
    <n v="4072"/>
    <n v="5023"/>
  </r>
  <r>
    <s v="Monthly-AE-November-2024-revised.csv"/>
    <x v="11"/>
    <s v="RWA"/>
    <s v="NHS ENGLAND NORTH EAST AND YORKSHIRE "/>
    <x v="116"/>
    <n v="9659"/>
    <n v="0"/>
    <n v="4715"/>
    <n v="0"/>
    <n v="0"/>
    <n v="0"/>
    <n v="5741"/>
    <n v="0"/>
    <n v="271"/>
    <n v="0"/>
    <n v="0"/>
    <n v="0"/>
    <n v="976"/>
    <n v="481"/>
    <n v="3693"/>
    <n v="0"/>
    <n v="0"/>
    <n v="2205"/>
    <n v="14374"/>
    <n v="6012"/>
    <n v="5898"/>
  </r>
  <r>
    <s v="Monthly-AE-November-2024-revised.csv"/>
    <x v="11"/>
    <s v="RWD"/>
    <s v="NHS ENGLAND MIDLANDS "/>
    <x v="202"/>
    <n v="10824"/>
    <n v="0"/>
    <n v="9784"/>
    <n v="0"/>
    <n v="0"/>
    <n v="0"/>
    <n v="6337"/>
    <n v="0"/>
    <n v="1381"/>
    <n v="0"/>
    <n v="0"/>
    <n v="0"/>
    <n v="1214"/>
    <n v="874"/>
    <n v="4644"/>
    <n v="0"/>
    <n v="0"/>
    <n v="1160"/>
    <n v="20608"/>
    <n v="7718"/>
    <n v="5804"/>
  </r>
  <r>
    <s v="Monthly-AE-November-2024-revised.csv"/>
    <x v="11"/>
    <s v="RWW"/>
    <s v="NHS ENGLAND NORTH WEST "/>
    <x v="159"/>
    <n v="6927"/>
    <n v="0"/>
    <n v="2912"/>
    <n v="273"/>
    <n v="0"/>
    <n v="77"/>
    <n v="3572"/>
    <n v="0"/>
    <n v="107"/>
    <n v="88"/>
    <n v="0"/>
    <n v="1"/>
    <n v="745"/>
    <n v="498"/>
    <n v="1855"/>
    <n v="0"/>
    <n v="0"/>
    <n v="146"/>
    <n v="9839"/>
    <n v="3679"/>
    <n v="2001"/>
  </r>
  <r>
    <s v="Monthly-AE-November-2024-revised.csv"/>
    <x v="11"/>
    <s v="RXN"/>
    <s v="NHS ENGLAND NORTH WEST "/>
    <x v="91"/>
    <n v="12214"/>
    <n v="0"/>
    <n v="3531"/>
    <n v="242"/>
    <n v="0"/>
    <n v="58"/>
    <n v="4689"/>
    <n v="0"/>
    <n v="96"/>
    <n v="38"/>
    <n v="0"/>
    <n v="1"/>
    <n v="1071"/>
    <n v="358"/>
    <n v="3302"/>
    <n v="0"/>
    <n v="101"/>
    <n v="1367"/>
    <n v="15745"/>
    <n v="4785"/>
    <n v="4770"/>
  </r>
  <r>
    <s v="Monthly-AE-November-2024-revised.csv"/>
    <x v="11"/>
    <s v="RYJ"/>
    <s v="NHS ENGLAND LONDON"/>
    <x v="163"/>
    <n v="11799"/>
    <n v="3680"/>
    <n v="7326"/>
    <n v="0"/>
    <n v="0"/>
    <n v="487"/>
    <n v="4774"/>
    <n v="50"/>
    <n v="456"/>
    <n v="0"/>
    <n v="0"/>
    <n v="0"/>
    <n v="628"/>
    <n v="312"/>
    <n v="3907"/>
    <n v="0"/>
    <n v="0"/>
    <n v="1097"/>
    <n v="22805"/>
    <n v="5280"/>
    <n v="5004"/>
  </r>
  <r>
    <s v="Monthly-AE-November-2024-revised.csv"/>
    <x v="11"/>
    <s v="AJN"/>
    <s v="NHS ENGLAND NORTH EAST AND YORKSHIRE "/>
    <x v="94"/>
    <n v="0"/>
    <n v="0"/>
    <n v="321"/>
    <n v="0"/>
    <n v="0"/>
    <n v="0"/>
    <n v="0"/>
    <n v="0"/>
    <n v="0"/>
    <n v="0"/>
    <n v="0"/>
    <n v="0"/>
    <n v="0"/>
    <n v="0"/>
    <n v="0"/>
    <n v="0"/>
    <n v="0"/>
    <n v="0"/>
    <n v="321"/>
    <n v="0"/>
    <n v="0"/>
  </r>
  <r>
    <s v="Monthly-AE-November-2024-revised.csv"/>
    <x v="11"/>
    <s v="R1H"/>
    <s v="NHS ENGLAND LONDON"/>
    <x v="96"/>
    <n v="25692"/>
    <n v="985"/>
    <n v="17220"/>
    <n v="0"/>
    <n v="0"/>
    <n v="0"/>
    <n v="11813"/>
    <n v="58"/>
    <n v="1289"/>
    <n v="0"/>
    <n v="0"/>
    <n v="0"/>
    <n v="1139"/>
    <n v="1064"/>
    <n v="4448"/>
    <n v="2"/>
    <n v="59"/>
    <n v="1124"/>
    <n v="43897"/>
    <n v="13160"/>
    <n v="5633"/>
  </r>
  <r>
    <s v="Monthly-AE-November-2024-revised.csv"/>
    <x v="11"/>
    <s v="RBS"/>
    <s v="NHS ENGLAND NORTH WEST "/>
    <x v="80"/>
    <n v="6277"/>
    <n v="0"/>
    <n v="0"/>
    <n v="0"/>
    <n v="0"/>
    <n v="0"/>
    <n v="1663"/>
    <n v="0"/>
    <n v="0"/>
    <n v="0"/>
    <n v="0"/>
    <n v="0"/>
    <n v="1"/>
    <n v="0"/>
    <n v="957"/>
    <n v="0"/>
    <n v="0"/>
    <n v="340"/>
    <n v="6277"/>
    <n v="1663"/>
    <n v="1297"/>
  </r>
  <r>
    <s v="Monthly-AE-November-2024-revised.csv"/>
    <x v="11"/>
    <s v="RD1"/>
    <s v="NHS ENGLAND SOUTH WEST "/>
    <x v="165"/>
    <n v="8488"/>
    <n v="0"/>
    <n v="0"/>
    <n v="0"/>
    <n v="0"/>
    <n v="0"/>
    <n v="3715"/>
    <n v="0"/>
    <n v="0"/>
    <n v="0"/>
    <n v="0"/>
    <n v="0"/>
    <n v="785"/>
    <n v="131"/>
    <n v="2484"/>
    <n v="0"/>
    <n v="7"/>
    <n v="1733"/>
    <n v="8488"/>
    <n v="3715"/>
    <n v="4224"/>
  </r>
  <r>
    <s v="Monthly-AE-November-2024-revised.csv"/>
    <x v="11"/>
    <s v="RFR"/>
    <s v="NHS ENGLAND NORTH EAST AND YORKSHIRE "/>
    <x v="45"/>
    <n v="8946"/>
    <n v="0"/>
    <n v="0"/>
    <n v="0"/>
    <n v="0"/>
    <n v="0"/>
    <n v="3391"/>
    <n v="0"/>
    <n v="0"/>
    <n v="0"/>
    <n v="0"/>
    <n v="0"/>
    <n v="612"/>
    <n v="16"/>
    <n v="1941"/>
    <n v="0"/>
    <n v="0"/>
    <n v="368"/>
    <n v="8946"/>
    <n v="3391"/>
    <n v="2309"/>
  </r>
  <r>
    <s v="Monthly-AE-November-2024-revised.csv"/>
    <x v="11"/>
    <s v="RJ2"/>
    <s v="NHS ENGLAND LONDON"/>
    <x v="169"/>
    <n v="14664"/>
    <n v="0"/>
    <n v="10734"/>
    <n v="0"/>
    <n v="0"/>
    <n v="0"/>
    <n v="7608"/>
    <n v="0"/>
    <n v="1390"/>
    <n v="0"/>
    <n v="0"/>
    <n v="0"/>
    <n v="1166"/>
    <n v="795"/>
    <n v="4682"/>
    <n v="0"/>
    <n v="0"/>
    <n v="1369"/>
    <n v="25398"/>
    <n v="8998"/>
    <n v="6051"/>
  </r>
  <r>
    <s v="Monthly-AE-November-2024-revised.csv"/>
    <x v="11"/>
    <s v="RJL"/>
    <s v="NHS ENGLAND NORTH EAST AND YORKSHIRE "/>
    <x v="188"/>
    <n v="8858"/>
    <n v="0"/>
    <n v="6963"/>
    <n v="0"/>
    <n v="0"/>
    <n v="396"/>
    <n v="4148"/>
    <n v="0"/>
    <n v="55"/>
    <n v="0"/>
    <n v="0"/>
    <n v="6"/>
    <n v="607"/>
    <n v="699"/>
    <n v="5656"/>
    <n v="0"/>
    <n v="0"/>
    <n v="492"/>
    <n v="15821"/>
    <n v="4203"/>
    <n v="6148"/>
  </r>
  <r>
    <s v="Monthly-AE-November-2024-revised.csv"/>
    <x v="11"/>
    <s v="RR7"/>
    <s v="NHS ENGLAND NORTH EAST AND YORKSHIRE "/>
    <x v="113"/>
    <n v="6257"/>
    <n v="0"/>
    <n v="3351"/>
    <n v="20"/>
    <n v="0"/>
    <n v="3"/>
    <n v="2570"/>
    <n v="0"/>
    <n v="19"/>
    <n v="9"/>
    <n v="0"/>
    <n v="0"/>
    <n v="1028"/>
    <n v="1"/>
    <n v="1592"/>
    <n v="0"/>
    <n v="0"/>
    <n v="54"/>
    <n v="9608"/>
    <n v="2589"/>
    <n v="1646"/>
  </r>
  <r>
    <s v="Monthly-AE-November-2024-revised.csv"/>
    <x v="11"/>
    <s v="RVR"/>
    <s v="NHS ENGLAND LONDON"/>
    <x v="154"/>
    <n v="11520"/>
    <n v="314"/>
    <n v="1354"/>
    <n v="461"/>
    <n v="0"/>
    <n v="36"/>
    <n v="3620"/>
    <n v="0"/>
    <n v="99"/>
    <n v="73"/>
    <n v="0"/>
    <n v="0"/>
    <n v="381"/>
    <n v="652"/>
    <n v="2072"/>
    <n v="2"/>
    <n v="0"/>
    <n v="131"/>
    <n v="13188"/>
    <n v="3719"/>
    <n v="2205"/>
  </r>
  <r>
    <s v="Monthly-AE-November-2024-revised.csv"/>
    <x v="11"/>
    <s v="RX1"/>
    <s v="NHS ENGLAND MIDLANDS "/>
    <x v="69"/>
    <n v="16379"/>
    <n v="1715"/>
    <n v="266"/>
    <n v="0"/>
    <n v="0"/>
    <n v="0"/>
    <n v="8610"/>
    <n v="278"/>
    <n v="19"/>
    <n v="0"/>
    <n v="0"/>
    <n v="0"/>
    <n v="381"/>
    <n v="387"/>
    <n v="4581"/>
    <n v="0"/>
    <n v="0"/>
    <n v="4498"/>
    <n v="18360"/>
    <n v="8907"/>
    <n v="9079"/>
  </r>
  <r>
    <s v="Monthly-AE-November-2024-revised.csv"/>
    <x v="11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681"/>
    <n v="0"/>
    <n v="0"/>
    <n v="681"/>
  </r>
  <r>
    <s v="Monthly-AE-November-2024-revised.csv"/>
    <x v="11"/>
    <s v="RD8"/>
    <s v="NHS ENGLAND EAST OF ENGLAND "/>
    <x v="105"/>
    <n v="8345"/>
    <n v="0"/>
    <n v="5293"/>
    <n v="589"/>
    <n v="0"/>
    <n v="159"/>
    <n v="3457"/>
    <n v="0"/>
    <n v="214"/>
    <n v="239"/>
    <n v="0"/>
    <n v="0"/>
    <n v="717"/>
    <n v="0"/>
    <n v="2069"/>
    <n v="0"/>
    <n v="0"/>
    <n v="553"/>
    <n v="13638"/>
    <n v="3671"/>
    <n v="2622"/>
  </r>
  <r>
    <s v="Monthly-AE-November-2024-revised.csv"/>
    <x v="11"/>
    <s v="RHU"/>
    <s v="NHS ENGLAND SOUTH EAST "/>
    <x v="194"/>
    <n v="9838"/>
    <n v="758"/>
    <n v="2829"/>
    <n v="1451"/>
    <n v="0"/>
    <n v="792"/>
    <n v="4855"/>
    <n v="4"/>
    <n v="55"/>
    <n v="780"/>
    <n v="0"/>
    <n v="6"/>
    <n v="1441"/>
    <n v="58"/>
    <n v="3387"/>
    <n v="0"/>
    <n v="0"/>
    <n v="2649"/>
    <n v="13425"/>
    <n v="4914"/>
    <n v="6036"/>
  </r>
  <r>
    <s v="Monthly-AE-November-2024-revised.csv"/>
    <x v="11"/>
    <s v="RY2"/>
    <s v="NHS ENGLAND NORTH WEST "/>
    <x v="73"/>
    <n v="0"/>
    <n v="0"/>
    <n v="2989"/>
    <n v="0"/>
    <n v="0"/>
    <n v="174"/>
    <n v="0"/>
    <n v="0"/>
    <n v="72"/>
    <n v="0"/>
    <n v="0"/>
    <n v="3"/>
    <n v="0"/>
    <n v="0"/>
    <n v="0"/>
    <n v="0"/>
    <n v="0"/>
    <n v="0"/>
    <n v="2989"/>
    <n v="72"/>
    <n v="0"/>
  </r>
  <r>
    <s v="Monthly-AE-November-2024-revised.csv"/>
    <x v="11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November-2024-revised.csv"/>
    <x v="11"/>
    <s v="RCB"/>
    <s v="NHS ENGLAND NORTH EAST AND YORKSHIRE "/>
    <x v="103"/>
    <n v="10945"/>
    <n v="361"/>
    <n v="6330"/>
    <n v="0"/>
    <n v="0"/>
    <n v="0"/>
    <n v="6389"/>
    <n v="0"/>
    <n v="245"/>
    <n v="0"/>
    <n v="0"/>
    <n v="0"/>
    <n v="850"/>
    <n v="883"/>
    <n v="4655"/>
    <n v="0"/>
    <n v="0"/>
    <n v="1651"/>
    <n v="17636"/>
    <n v="6634"/>
    <n v="6306"/>
  </r>
  <r>
    <s v="Monthly-AE-November-2024-revised.csv"/>
    <x v="11"/>
    <s v="RMC"/>
    <s v="NHS ENGLAND NORTH WEST "/>
    <x v="178"/>
    <n v="8295"/>
    <n v="0"/>
    <n v="3598"/>
    <n v="55"/>
    <n v="0"/>
    <n v="50"/>
    <n v="4308"/>
    <n v="0"/>
    <n v="170"/>
    <n v="19"/>
    <n v="0"/>
    <n v="1"/>
    <n v="512"/>
    <n v="585"/>
    <n v="2480"/>
    <n v="0"/>
    <n v="84"/>
    <n v="796"/>
    <n v="11893"/>
    <n v="4478"/>
    <n v="3360"/>
  </r>
  <r>
    <s v="Monthly-AE-November-2024-revised.csv"/>
    <x v="11"/>
    <s v="RBL"/>
    <s v="NHS ENGLAND NORTH WEST "/>
    <x v="183"/>
    <n v="5970"/>
    <n v="0"/>
    <n v="3067"/>
    <n v="0"/>
    <n v="0"/>
    <n v="195"/>
    <n v="3101"/>
    <n v="0"/>
    <n v="29"/>
    <n v="0"/>
    <n v="0"/>
    <n v="1"/>
    <n v="303"/>
    <n v="693"/>
    <n v="1549"/>
    <n v="0"/>
    <n v="0"/>
    <n v="1491"/>
    <n v="9037"/>
    <n v="3130"/>
    <n v="3040"/>
  </r>
  <r>
    <s v="Monthly-AE-November-2024-revised.csv"/>
    <x v="11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91"/>
    <n v="0"/>
    <n v="0"/>
    <n v="191"/>
  </r>
  <r>
    <s v="Monthly-AE-November-2024-revised.csv"/>
    <x v="11"/>
    <s v="RHW"/>
    <s v="NHS ENGLAND SOUTH EAST "/>
    <x v="187"/>
    <n v="11076"/>
    <n v="2259"/>
    <n v="1332"/>
    <n v="904"/>
    <n v="24"/>
    <n v="0"/>
    <n v="4378"/>
    <n v="15"/>
    <n v="0"/>
    <n v="306"/>
    <n v="0"/>
    <n v="0"/>
    <n v="545"/>
    <n v="1"/>
    <n v="2477"/>
    <n v="0"/>
    <n v="0"/>
    <n v="368"/>
    <n v="14667"/>
    <n v="4393"/>
    <n v="2845"/>
  </r>
  <r>
    <s v="Monthly-AE-November-2024-revised.csv"/>
    <x v="11"/>
    <s v="RJ7"/>
    <s v="NHS ENGLAND LONDON"/>
    <x v="137"/>
    <n v="9271"/>
    <n v="0"/>
    <n v="3242"/>
    <n v="560"/>
    <n v="0"/>
    <n v="0"/>
    <n v="3019"/>
    <n v="0"/>
    <n v="0"/>
    <n v="105"/>
    <n v="0"/>
    <n v="0"/>
    <n v="574"/>
    <n v="689"/>
    <n v="2709"/>
    <n v="0"/>
    <n v="0"/>
    <n v="801"/>
    <n v="12513"/>
    <n v="3019"/>
    <n v="3510"/>
  </r>
  <r>
    <s v="Monthly-AE-November-2024-revised.csv"/>
    <x v="11"/>
    <s v="RQ3"/>
    <s v="NHS ENGLAND MIDLANDS "/>
    <x v="189"/>
    <n v="6522"/>
    <n v="0"/>
    <n v="0"/>
    <n v="0"/>
    <n v="0"/>
    <n v="0"/>
    <n v="2458"/>
    <n v="0"/>
    <n v="0"/>
    <n v="0"/>
    <n v="0"/>
    <n v="0"/>
    <n v="2"/>
    <n v="52"/>
    <n v="1196"/>
    <n v="0"/>
    <n v="0"/>
    <n v="151"/>
    <n v="6522"/>
    <n v="2458"/>
    <n v="1347"/>
  </r>
  <r>
    <s v="Monthly-AE-November-2024-revised.csv"/>
    <x v="11"/>
    <s v="RJ1"/>
    <s v="NHS ENGLAND LONDON"/>
    <x v="135"/>
    <n v="10740"/>
    <n v="777"/>
    <n v="7075"/>
    <n v="0"/>
    <n v="0"/>
    <n v="0"/>
    <n v="4483"/>
    <n v="29"/>
    <n v="253"/>
    <n v="0"/>
    <n v="0"/>
    <n v="0"/>
    <n v="144"/>
    <n v="75"/>
    <n v="2255"/>
    <n v="0"/>
    <n v="0"/>
    <n v="264"/>
    <n v="18592"/>
    <n v="4765"/>
    <n v="2519"/>
  </r>
  <r>
    <s v="Monthly-AE-November-2024-revised.csv"/>
    <x v="11"/>
    <s v="RTH"/>
    <s v="NHS ENGLAND SOUTH EAST "/>
    <x v="196"/>
    <n v="12714"/>
    <n v="1760"/>
    <n v="2407"/>
    <n v="1737"/>
    <n v="0"/>
    <n v="147"/>
    <n v="5265"/>
    <n v="0"/>
    <n v="5"/>
    <n v="579"/>
    <n v="0"/>
    <n v="1"/>
    <n v="1032"/>
    <n v="0"/>
    <n v="4782"/>
    <n v="114"/>
    <n v="14"/>
    <n v="4342"/>
    <n v="16881"/>
    <n v="5270"/>
    <n v="9252"/>
  </r>
  <r>
    <s v="Monthly-AE-November-2024-revised.csv"/>
    <x v="11"/>
    <s v="RXK"/>
    <s v="NHS ENGLAND MIDLANDS "/>
    <x v="119"/>
    <n v="12424"/>
    <n v="1139"/>
    <n v="9388"/>
    <n v="566"/>
    <n v="0"/>
    <n v="0"/>
    <n v="5856"/>
    <n v="231"/>
    <n v="492"/>
    <n v="0"/>
    <n v="0"/>
    <n v="0"/>
    <n v="962"/>
    <n v="113"/>
    <n v="2638"/>
    <n v="0"/>
    <n v="0"/>
    <n v="543"/>
    <n v="22951"/>
    <n v="6579"/>
    <n v="3181"/>
  </r>
  <r>
    <s v="Monthly-AE-November-2024-revised.csv"/>
    <x v="11"/>
    <s v="R0A"/>
    <s v="NHS ENGLAND NORTH WEST "/>
    <x v="181"/>
    <n v="26244"/>
    <n v="2817"/>
    <n v="11453"/>
    <n v="3394"/>
    <n v="456"/>
    <n v="1013"/>
    <n v="13551"/>
    <n v="87"/>
    <n v="850"/>
    <n v="1707"/>
    <n v="9"/>
    <n v="115"/>
    <n v="4172"/>
    <n v="263"/>
    <n v="5795"/>
    <n v="131"/>
    <n v="167"/>
    <n v="445"/>
    <n v="40514"/>
    <n v="14488"/>
    <n v="6538"/>
  </r>
  <r>
    <s v="Monthly-AE-November-2024-revised.csv"/>
    <x v="11"/>
    <s v="RXF"/>
    <s v="NHS ENGLAND NORTH EAST AND YORKSHIRE "/>
    <x v="160"/>
    <n v="16762"/>
    <n v="106"/>
    <n v="5926"/>
    <n v="120"/>
    <n v="0"/>
    <n v="84"/>
    <n v="7212"/>
    <n v="0"/>
    <n v="396"/>
    <n v="2"/>
    <n v="0"/>
    <n v="0"/>
    <n v="2286"/>
    <n v="736"/>
    <n v="3492"/>
    <n v="0"/>
    <n v="153"/>
    <n v="897"/>
    <n v="22794"/>
    <n v="7608"/>
    <n v="4542"/>
  </r>
  <r>
    <s v="Monthly-AE-November-2024-revised.csv"/>
    <x v="11"/>
    <s v="8J094"/>
    <s v="NHS ENGLAND MIDLANDS "/>
    <x v="2"/>
    <n v="0"/>
    <n v="0"/>
    <n v="0"/>
    <n v="0"/>
    <n v="0"/>
    <n v="2011"/>
    <n v="0"/>
    <n v="0"/>
    <n v="0"/>
    <n v="0"/>
    <n v="0"/>
    <n v="0"/>
    <n v="0"/>
    <n v="0"/>
    <n v="0"/>
    <n v="0"/>
    <n v="0"/>
    <n v="0"/>
    <n v="0"/>
    <n v="0"/>
    <n v="0"/>
  </r>
  <r>
    <s v="Monthly-AE-November-2024-revised.csv"/>
    <x v="11"/>
    <s v="Y03007"/>
    <s v="NHS ENGLAND MIDLANDS "/>
    <x v="17"/>
    <n v="0"/>
    <n v="0"/>
    <n v="0"/>
    <n v="0"/>
    <n v="0"/>
    <n v="2520"/>
    <n v="0"/>
    <n v="0"/>
    <n v="0"/>
    <n v="0"/>
    <n v="0"/>
    <n v="0"/>
    <n v="0"/>
    <n v="0"/>
    <n v="0"/>
    <n v="0"/>
    <n v="0"/>
    <n v="0"/>
    <n v="0"/>
    <n v="0"/>
    <n v="0"/>
  </r>
  <r>
    <s v="Monthly-AE-November-2024-revised.csv"/>
    <x v="11"/>
    <s v="AD913"/>
    <s v="NHS ENGLAND LONDON"/>
    <x v="3"/>
    <n v="0"/>
    <n v="0"/>
    <n v="3498"/>
    <n v="0"/>
    <n v="0"/>
    <n v="271"/>
    <n v="0"/>
    <n v="0"/>
    <n v="57"/>
    <n v="0"/>
    <n v="0"/>
    <n v="0"/>
    <n v="0"/>
    <n v="0"/>
    <n v="0"/>
    <n v="0"/>
    <n v="0"/>
    <n v="0"/>
    <n v="3498"/>
    <n v="57"/>
    <n v="0"/>
  </r>
  <r>
    <s v="Monthly-AE-November-2024-revised.csv"/>
    <x v="11"/>
    <s v="R1K"/>
    <s v="NHS ENGLAND LONDON"/>
    <x v="128"/>
    <n v="13834"/>
    <n v="0"/>
    <n v="15339"/>
    <n v="0"/>
    <n v="0"/>
    <n v="0"/>
    <n v="7833"/>
    <n v="0"/>
    <n v="369"/>
    <n v="0"/>
    <n v="0"/>
    <n v="0"/>
    <n v="753"/>
    <n v="557"/>
    <n v="6245"/>
    <n v="0"/>
    <n v="0"/>
    <n v="316"/>
    <n v="29173"/>
    <n v="8202"/>
    <n v="6561"/>
  </r>
  <r>
    <s v="Monthly-AE-November-2024-revised.csv"/>
    <x v="3"/>
    <s v="TOTAL"/>
    <s v="TOTAL"/>
    <x v="199"/>
    <n v="1396858"/>
    <n v="46656"/>
    <n v="791064"/>
    <n v="31192"/>
    <n v="607"/>
    <n v="48621"/>
    <n v="605301"/>
    <n v="2007"/>
    <n v="27102"/>
    <n v="9021"/>
    <n v="9"/>
    <n v="556"/>
    <n v="94991"/>
    <n v="45791"/>
    <n v="407955"/>
    <n v="1267"/>
    <n v="4887"/>
    <n v="138052"/>
    <n v="2234578"/>
    <n v="634410"/>
    <n v="552161"/>
  </r>
  <r>
    <s v="Monthly-AE-October-2024-revised.csv"/>
    <x v="12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October-2024-revised.csv"/>
    <x v="12"/>
    <s v="Y02428"/>
    <s v="NHS ENGLAND EAST OF ENGLAND "/>
    <x v="49"/>
    <n v="0"/>
    <n v="0"/>
    <n v="2787"/>
    <n v="0"/>
    <n v="0"/>
    <n v="0"/>
    <n v="0"/>
    <n v="0"/>
    <n v="0"/>
    <n v="0"/>
    <n v="0"/>
    <n v="0"/>
    <n v="0"/>
    <n v="0"/>
    <n v="0"/>
    <n v="0"/>
    <n v="0"/>
    <n v="0"/>
    <n v="2787"/>
    <n v="0"/>
    <n v="0"/>
  </r>
  <r>
    <s v="Monthly-AE-October-2024-revised.csv"/>
    <x v="12"/>
    <s v="Y02615"/>
    <s v="NHS ENGLAND MIDLANDS "/>
    <x v="16"/>
    <n v="0"/>
    <n v="0"/>
    <n v="6852"/>
    <n v="0"/>
    <n v="0"/>
    <n v="0"/>
    <n v="0"/>
    <n v="0"/>
    <n v="0"/>
    <n v="0"/>
    <n v="0"/>
    <n v="0"/>
    <n v="0"/>
    <n v="0"/>
    <n v="0"/>
    <n v="0"/>
    <n v="0"/>
    <n v="0"/>
    <n v="6852"/>
    <n v="0"/>
    <n v="0"/>
  </r>
  <r>
    <s v="Monthly-AE-October-2024-revised.csv"/>
    <x v="12"/>
    <s v="AQN04"/>
    <s v="NHS ENGLAND SOUTH EAST "/>
    <x v="4"/>
    <n v="0"/>
    <n v="0"/>
    <n v="2755"/>
    <n v="0"/>
    <n v="0"/>
    <n v="9"/>
    <n v="0"/>
    <n v="0"/>
    <n v="13"/>
    <n v="0"/>
    <n v="0"/>
    <n v="0"/>
    <n v="0"/>
    <n v="0"/>
    <n v="0"/>
    <n v="0"/>
    <n v="0"/>
    <n v="0"/>
    <n v="2755"/>
    <n v="13"/>
    <n v="0"/>
  </r>
  <r>
    <s v="Monthly-AE-October-2024-revised.csv"/>
    <x v="12"/>
    <s v="C82009"/>
    <s v="NHS ENGLAND MIDLANDS "/>
    <x v="123"/>
    <n v="0"/>
    <n v="0"/>
    <n v="266"/>
    <n v="0"/>
    <n v="0"/>
    <n v="0"/>
    <n v="0"/>
    <n v="0"/>
    <n v="0"/>
    <n v="0"/>
    <n v="0"/>
    <n v="0"/>
    <n v="0"/>
    <n v="0"/>
    <n v="0"/>
    <n v="0"/>
    <n v="0"/>
    <n v="0"/>
    <n v="266"/>
    <n v="0"/>
    <n v="0"/>
  </r>
  <r>
    <s v="Monthly-AE-October-2024-revised.csv"/>
    <x v="12"/>
    <s v="L83087"/>
    <s v="NHS ENGLAND SOUTH WEST "/>
    <x v="5"/>
    <n v="0"/>
    <n v="0"/>
    <n v="82"/>
    <n v="0"/>
    <n v="0"/>
    <n v="0"/>
    <n v="0"/>
    <n v="0"/>
    <n v="0"/>
    <n v="0"/>
    <n v="0"/>
    <n v="0"/>
    <n v="0"/>
    <n v="0"/>
    <n v="0"/>
    <n v="0"/>
    <n v="0"/>
    <n v="0"/>
    <n v="82"/>
    <n v="0"/>
    <n v="0"/>
  </r>
  <r>
    <s v="Monthly-AE-October-2024-revised.csv"/>
    <x v="12"/>
    <s v="NDJ"/>
    <s v="NHS ENGLAND SOUTH EAST "/>
    <x v="51"/>
    <n v="0"/>
    <n v="0"/>
    <n v="2300"/>
    <n v="0"/>
    <n v="0"/>
    <n v="0"/>
    <n v="0"/>
    <n v="0"/>
    <n v="0"/>
    <n v="0"/>
    <n v="0"/>
    <n v="0"/>
    <n v="0"/>
    <n v="0"/>
    <n v="0"/>
    <n v="0"/>
    <n v="0"/>
    <n v="0"/>
    <n v="2300"/>
    <n v="0"/>
    <n v="0"/>
  </r>
  <r>
    <s v="Monthly-AE-October-2024-revised.csv"/>
    <x v="12"/>
    <s v="NQT5F"/>
    <s v="NHS ENGLAND NORTH WEST "/>
    <x v="20"/>
    <n v="0"/>
    <n v="0"/>
    <n v="1873"/>
    <n v="0"/>
    <n v="0"/>
    <n v="0"/>
    <n v="0"/>
    <n v="0"/>
    <n v="12"/>
    <n v="0"/>
    <n v="0"/>
    <n v="0"/>
    <n v="0"/>
    <n v="0"/>
    <n v="0"/>
    <n v="0"/>
    <n v="0"/>
    <n v="0"/>
    <n v="1873"/>
    <n v="12"/>
    <n v="0"/>
  </r>
  <r>
    <s v="Monthly-AE-October-2024-revised.csv"/>
    <x v="12"/>
    <s v="NQT5H"/>
    <s v="NHS ENGLAND SOUTH WEST "/>
    <x v="21"/>
    <n v="0"/>
    <n v="0"/>
    <n v="1044"/>
    <n v="0"/>
    <n v="0"/>
    <n v="0"/>
    <n v="0"/>
    <n v="0"/>
    <n v="6"/>
    <n v="0"/>
    <n v="0"/>
    <n v="0"/>
    <n v="0"/>
    <n v="0"/>
    <n v="0"/>
    <n v="0"/>
    <n v="0"/>
    <n v="0"/>
    <n v="1044"/>
    <n v="6"/>
    <n v="0"/>
  </r>
  <r>
    <s v="Monthly-AE-October-2024-revised.csv"/>
    <x v="12"/>
    <s v="NQTE4"/>
    <s v="NHS ENGLAND MIDLANDS "/>
    <x v="6"/>
    <n v="0"/>
    <n v="0"/>
    <n v="3204"/>
    <n v="0"/>
    <n v="0"/>
    <n v="0"/>
    <n v="0"/>
    <n v="0"/>
    <n v="0"/>
    <n v="0"/>
    <n v="0"/>
    <n v="0"/>
    <n v="0"/>
    <n v="0"/>
    <n v="0"/>
    <n v="0"/>
    <n v="0"/>
    <n v="0"/>
    <n v="3204"/>
    <n v="0"/>
    <n v="0"/>
  </r>
  <r>
    <s v="Monthly-AE-October-2024-revised.csv"/>
    <x v="12"/>
    <s v="NTV0B"/>
    <s v="NHS ENGLAND SOUTH EAST "/>
    <x v="23"/>
    <n v="0"/>
    <n v="0"/>
    <n v="2395"/>
    <n v="0"/>
    <n v="0"/>
    <n v="0"/>
    <n v="0"/>
    <n v="0"/>
    <n v="47"/>
    <n v="0"/>
    <n v="0"/>
    <n v="0"/>
    <n v="0"/>
    <n v="0"/>
    <n v="0"/>
    <n v="0"/>
    <n v="0"/>
    <n v="0"/>
    <n v="2395"/>
    <n v="47"/>
    <n v="0"/>
  </r>
  <r>
    <s v="Monthly-AE-October-2024-revised.csv"/>
    <x v="12"/>
    <s v="NTV0W"/>
    <s v="NHS ENGLAND SOUTH EAST "/>
    <x v="24"/>
    <n v="0"/>
    <n v="0"/>
    <n v="2422"/>
    <n v="0"/>
    <n v="0"/>
    <n v="0"/>
    <n v="0"/>
    <n v="0"/>
    <n v="47"/>
    <n v="0"/>
    <n v="0"/>
    <n v="0"/>
    <n v="0"/>
    <n v="0"/>
    <n v="0"/>
    <n v="0"/>
    <n v="0"/>
    <n v="0"/>
    <n v="2422"/>
    <n v="47"/>
    <n v="0"/>
  </r>
  <r>
    <s v="Monthly-AE-October-2024-revised.csv"/>
    <x v="12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0"/>
    <n v="0"/>
    <n v="41"/>
  </r>
  <r>
    <s v="Monthly-AE-October-2024-revised.csv"/>
    <x v="12"/>
    <s v="RBT"/>
    <s v="NHS ENGLAND NORTH WEST "/>
    <x v="130"/>
    <n v="7453"/>
    <n v="0"/>
    <n v="2880"/>
    <n v="0"/>
    <n v="0"/>
    <n v="72"/>
    <n v="4423"/>
    <n v="0"/>
    <n v="43"/>
    <n v="0"/>
    <n v="0"/>
    <n v="9"/>
    <n v="605"/>
    <n v="636"/>
    <n v="2615"/>
    <n v="0"/>
    <n v="0"/>
    <n v="1171"/>
    <n v="10333"/>
    <n v="4466"/>
    <n v="3786"/>
  </r>
  <r>
    <s v="Monthly-AE-October-2024-revised.csv"/>
    <x v="12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4"/>
  </r>
  <r>
    <s v="Monthly-AE-October-2024-revised.csv"/>
    <x v="12"/>
    <s v="RTP"/>
    <s v="NHS ENGLAND SOUTH EAST "/>
    <x v="66"/>
    <n v="10996"/>
    <n v="0"/>
    <n v="0"/>
    <n v="0"/>
    <n v="0"/>
    <n v="0"/>
    <n v="4244"/>
    <n v="0"/>
    <n v="0"/>
    <n v="0"/>
    <n v="0"/>
    <n v="0"/>
    <n v="579"/>
    <n v="582"/>
    <n v="3052"/>
    <n v="0"/>
    <n v="0"/>
    <n v="912"/>
    <n v="10996"/>
    <n v="4244"/>
    <n v="3964"/>
  </r>
  <r>
    <s v="Monthly-AE-October-2024-revised.csv"/>
    <x v="12"/>
    <s v="RW1"/>
    <s v="NHS ENGLAND SOUTH EAST "/>
    <x v="200"/>
    <n v="0"/>
    <n v="0"/>
    <n v="2922"/>
    <n v="0"/>
    <n v="0"/>
    <n v="0"/>
    <n v="0"/>
    <n v="0"/>
    <n v="18"/>
    <n v="0"/>
    <n v="0"/>
    <n v="0"/>
    <n v="0"/>
    <n v="0"/>
    <n v="0"/>
    <n v="0"/>
    <n v="2"/>
    <n v="126"/>
    <n v="2922"/>
    <n v="18"/>
    <n v="128"/>
  </r>
  <r>
    <s v="Monthly-AE-October-2024-revised.csv"/>
    <x v="12"/>
    <s v="RWY"/>
    <s v="NHS ENGLAND NORTH EAST AND YORKSHIRE "/>
    <x v="10"/>
    <n v="15686"/>
    <n v="0"/>
    <n v="0"/>
    <n v="0"/>
    <n v="0"/>
    <n v="0"/>
    <n v="5137"/>
    <n v="0"/>
    <n v="0"/>
    <n v="0"/>
    <n v="0"/>
    <n v="0"/>
    <n v="1329"/>
    <n v="3"/>
    <n v="3198"/>
    <n v="0"/>
    <n v="0"/>
    <n v="316"/>
    <n v="15686"/>
    <n v="5137"/>
    <n v="3514"/>
  </r>
  <r>
    <s v="Monthly-AE-October-2024-revised.csv"/>
    <x v="12"/>
    <s v="RY7"/>
    <s v="NHS ENGLAND NORTH WEST "/>
    <x v="12"/>
    <n v="0"/>
    <n v="0"/>
    <n v="4591"/>
    <n v="0"/>
    <n v="0"/>
    <n v="0"/>
    <n v="0"/>
    <n v="0"/>
    <n v="155"/>
    <n v="0"/>
    <n v="0"/>
    <n v="0"/>
    <n v="0"/>
    <n v="0"/>
    <n v="0"/>
    <n v="0"/>
    <n v="0"/>
    <n v="0"/>
    <n v="4591"/>
    <n v="155"/>
    <n v="0"/>
  </r>
  <r>
    <s v="Monthly-AE-October-2024-revised.csv"/>
    <x v="12"/>
    <s v="RYF"/>
    <s v="NHS ENGLAND SOUTH WEST "/>
    <x v="74"/>
    <n v="0"/>
    <n v="0"/>
    <n v="1598"/>
    <n v="0"/>
    <n v="0"/>
    <n v="7"/>
    <n v="0"/>
    <n v="0"/>
    <n v="69"/>
    <n v="0"/>
    <n v="0"/>
    <n v="0"/>
    <n v="0"/>
    <n v="0"/>
    <n v="0"/>
    <n v="0"/>
    <n v="0"/>
    <n v="0"/>
    <n v="1598"/>
    <n v="69"/>
    <n v="0"/>
  </r>
  <r>
    <s v="Monthly-AE-October-2024-revised.csv"/>
    <x v="12"/>
    <s v="Y02532"/>
    <s v="NHS ENGLAND NORTH WEST "/>
    <x v="15"/>
    <n v="0"/>
    <n v="0"/>
    <n v="1595"/>
    <n v="0"/>
    <n v="0"/>
    <n v="0"/>
    <n v="0"/>
    <n v="0"/>
    <n v="0"/>
    <n v="0"/>
    <n v="0"/>
    <n v="0"/>
    <n v="0"/>
    <n v="0"/>
    <n v="0"/>
    <n v="0"/>
    <n v="0"/>
    <n v="0"/>
    <n v="1595"/>
    <n v="0"/>
    <n v="0"/>
  </r>
  <r>
    <s v="Monthly-AE-October-2024-revised.csv"/>
    <x v="12"/>
    <s v="Y03218"/>
    <s v="NHS ENGLAND LONDON"/>
    <x v="18"/>
    <n v="0"/>
    <n v="0"/>
    <n v="1107"/>
    <n v="0"/>
    <n v="0"/>
    <n v="0"/>
    <n v="0"/>
    <n v="0"/>
    <n v="0"/>
    <n v="0"/>
    <n v="0"/>
    <n v="0"/>
    <n v="0"/>
    <n v="0"/>
    <n v="0"/>
    <n v="0"/>
    <n v="0"/>
    <n v="0"/>
    <n v="1107"/>
    <n v="0"/>
    <n v="0"/>
  </r>
  <r>
    <s v="Monthly-AE-October-2024-revised.csv"/>
    <x v="12"/>
    <s v="Y07709"/>
    <s v="NHS ENGLAND SOUTH EAST "/>
    <x v="38"/>
    <n v="0"/>
    <n v="0"/>
    <n v="2043"/>
    <n v="0"/>
    <n v="0"/>
    <n v="0"/>
    <n v="0"/>
    <n v="0"/>
    <n v="0"/>
    <n v="0"/>
    <n v="0"/>
    <n v="0"/>
    <n v="0"/>
    <n v="0"/>
    <n v="0"/>
    <n v="0"/>
    <n v="0"/>
    <n v="0"/>
    <n v="2043"/>
    <n v="0"/>
    <n v="0"/>
  </r>
  <r>
    <s v="Monthly-AE-October-2024-revised.csv"/>
    <x v="12"/>
    <s v="AAH"/>
    <s v="NHS ENGLAND SOUTH WEST "/>
    <x v="0"/>
    <n v="0"/>
    <n v="0"/>
    <n v="499"/>
    <n v="0"/>
    <n v="0"/>
    <n v="0"/>
    <n v="0"/>
    <n v="0"/>
    <n v="0"/>
    <n v="0"/>
    <n v="0"/>
    <n v="0"/>
    <n v="0"/>
    <n v="0"/>
    <n v="0"/>
    <n v="0"/>
    <n v="0"/>
    <n v="0"/>
    <n v="499"/>
    <n v="0"/>
    <n v="0"/>
  </r>
  <r>
    <s v="Monthly-AE-October-2024-revised.csv"/>
    <x v="12"/>
    <s v="C82038"/>
    <s v="NHS ENGLAND MIDLANDS "/>
    <x v="31"/>
    <n v="0"/>
    <n v="0"/>
    <n v="324"/>
    <n v="0"/>
    <n v="0"/>
    <n v="0"/>
    <n v="0"/>
    <n v="0"/>
    <n v="0"/>
    <n v="0"/>
    <n v="0"/>
    <n v="0"/>
    <n v="0"/>
    <n v="0"/>
    <n v="0"/>
    <n v="0"/>
    <n v="0"/>
    <n v="0"/>
    <n v="324"/>
    <n v="0"/>
    <n v="0"/>
  </r>
  <r>
    <s v="Monthly-AE-October-2024-revised.csv"/>
    <x v="12"/>
    <s v="DT301"/>
    <s v="NHS ENGLAND EAST OF ENGLAND "/>
    <x v="19"/>
    <n v="0"/>
    <n v="0"/>
    <n v="2202"/>
    <n v="0"/>
    <n v="0"/>
    <n v="0"/>
    <n v="0"/>
    <n v="0"/>
    <n v="60"/>
    <n v="0"/>
    <n v="0"/>
    <n v="0"/>
    <n v="0"/>
    <n v="0"/>
    <n v="0"/>
    <n v="0"/>
    <n v="0"/>
    <n v="0"/>
    <n v="2202"/>
    <n v="60"/>
    <n v="0"/>
  </r>
  <r>
    <s v="Monthly-AE-October-2024-revised.csv"/>
    <x v="12"/>
    <s v="G0Q0L"/>
    <s v="NHS ENGLAND LONDON"/>
    <x v="32"/>
    <n v="0"/>
    <n v="0"/>
    <n v="3009"/>
    <n v="0"/>
    <n v="0"/>
    <n v="0"/>
    <n v="0"/>
    <n v="0"/>
    <n v="8"/>
    <n v="0"/>
    <n v="0"/>
    <n v="0"/>
    <n v="0"/>
    <n v="0"/>
    <n v="0"/>
    <n v="0"/>
    <n v="0"/>
    <n v="0"/>
    <n v="3009"/>
    <n v="8"/>
    <n v="0"/>
  </r>
  <r>
    <s v="Monthly-AE-October-2024-revised.csv"/>
    <x v="12"/>
    <s v="K6K0R"/>
    <s v="NHS ENGLAND LONDON"/>
    <x v="33"/>
    <n v="0"/>
    <n v="0"/>
    <n v="2924"/>
    <n v="0"/>
    <n v="0"/>
    <n v="0"/>
    <n v="0"/>
    <n v="0"/>
    <n v="10"/>
    <n v="0"/>
    <n v="0"/>
    <n v="0"/>
    <n v="0"/>
    <n v="0"/>
    <n v="0"/>
    <n v="0"/>
    <n v="0"/>
    <n v="0"/>
    <n v="2924"/>
    <n v="10"/>
    <n v="0"/>
  </r>
  <r>
    <s v="Monthly-AE-October-2024-revised.csv"/>
    <x v="12"/>
    <s v="RJN"/>
    <s v="NHS ENGLAND NORTH WEST "/>
    <x v="40"/>
    <n v="4608"/>
    <n v="0"/>
    <n v="0"/>
    <n v="75"/>
    <n v="0"/>
    <n v="45"/>
    <n v="2299"/>
    <n v="0"/>
    <n v="0"/>
    <n v="0"/>
    <n v="0"/>
    <n v="0"/>
    <n v="220"/>
    <n v="252"/>
    <n v="918"/>
    <n v="0"/>
    <n v="0"/>
    <n v="251"/>
    <n v="4608"/>
    <n v="2299"/>
    <n v="1169"/>
  </r>
  <r>
    <s v="Monthly-AE-October-2024-revised.csv"/>
    <x v="12"/>
    <s v="RJR"/>
    <s v="NHS ENGLAND NORTH WEST "/>
    <x v="108"/>
    <n v="5106"/>
    <n v="0"/>
    <n v="2425"/>
    <n v="0"/>
    <n v="0"/>
    <n v="0"/>
    <n v="2859"/>
    <n v="0"/>
    <n v="208"/>
    <n v="0"/>
    <n v="0"/>
    <n v="0"/>
    <n v="253"/>
    <n v="717"/>
    <n v="1730"/>
    <n v="0"/>
    <n v="0"/>
    <n v="1558"/>
    <n v="7531"/>
    <n v="3067"/>
    <n v="3288"/>
  </r>
  <r>
    <s v="Monthly-AE-October-2024-revised.csv"/>
    <x v="12"/>
    <s v="ACH01"/>
    <s v="NHS ENGLAND SOUTH EAST "/>
    <x v="50"/>
    <n v="0"/>
    <n v="0"/>
    <n v="6208"/>
    <n v="0"/>
    <n v="0"/>
    <n v="0"/>
    <n v="0"/>
    <n v="0"/>
    <n v="0"/>
    <n v="0"/>
    <n v="0"/>
    <n v="0"/>
    <n v="0"/>
    <n v="0"/>
    <n v="0"/>
    <n v="0"/>
    <n v="0"/>
    <n v="0"/>
    <n v="6208"/>
    <n v="0"/>
    <n v="0"/>
  </r>
  <r>
    <s v="Monthly-AE-October-2024-revised.csv"/>
    <x v="12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73"/>
    <n v="0"/>
    <n v="0"/>
    <n v="173"/>
  </r>
  <r>
    <s v="Monthly-AE-October-2024-revised.csv"/>
    <x v="12"/>
    <s v="RW4"/>
    <s v="NHS ENGLAND NORTH WEST "/>
    <x v="42"/>
    <n v="0"/>
    <n v="0"/>
    <n v="14327"/>
    <n v="0"/>
    <n v="0"/>
    <n v="0"/>
    <n v="0"/>
    <n v="0"/>
    <n v="411"/>
    <n v="0"/>
    <n v="0"/>
    <n v="0"/>
    <n v="0"/>
    <n v="0"/>
    <n v="0"/>
    <n v="0"/>
    <n v="0"/>
    <n v="55"/>
    <n v="14327"/>
    <n v="411"/>
    <n v="55"/>
  </r>
  <r>
    <s v="Monthly-AE-October-2024-revised.csv"/>
    <x v="12"/>
    <s v="C83023"/>
    <s v="NHS ENGLAND MIDLANDS "/>
    <x v="190"/>
    <n v="0"/>
    <n v="0"/>
    <n v="434"/>
    <n v="0"/>
    <n v="0"/>
    <n v="0"/>
    <n v="0"/>
    <n v="0"/>
    <n v="0"/>
    <n v="0"/>
    <n v="0"/>
    <n v="0"/>
    <n v="0"/>
    <n v="0"/>
    <n v="0"/>
    <n v="0"/>
    <n v="0"/>
    <n v="1"/>
    <n v="434"/>
    <n v="0"/>
    <n v="1"/>
  </r>
  <r>
    <s v="Monthly-AE-October-2024-revised.csv"/>
    <x v="12"/>
    <s v="REM"/>
    <s v="NHS ENGLAND NORTH WEST "/>
    <x v="35"/>
    <n v="16042"/>
    <n v="1858"/>
    <n v="8708"/>
    <n v="551"/>
    <n v="0"/>
    <n v="0"/>
    <n v="8082"/>
    <n v="81"/>
    <n v="339"/>
    <n v="114"/>
    <n v="0"/>
    <n v="0"/>
    <n v="2014"/>
    <n v="1021"/>
    <n v="5136"/>
    <n v="0"/>
    <n v="0"/>
    <n v="3252"/>
    <n v="26608"/>
    <n v="8502"/>
    <n v="8388"/>
  </r>
  <r>
    <s v="Monthly-AE-October-2024-revised.csv"/>
    <x v="12"/>
    <s v="RJL"/>
    <s v="NHS ENGLAND NORTH EAST AND YORKSHIRE "/>
    <x v="188"/>
    <n v="8854"/>
    <n v="0"/>
    <n v="6531"/>
    <n v="0"/>
    <n v="0"/>
    <n v="435"/>
    <n v="4323"/>
    <n v="0"/>
    <n v="40"/>
    <n v="0"/>
    <n v="0"/>
    <n v="1"/>
    <n v="653"/>
    <n v="859"/>
    <n v="5610"/>
    <n v="0"/>
    <n v="0"/>
    <n v="497"/>
    <n v="15385"/>
    <n v="4363"/>
    <n v="6107"/>
  </r>
  <r>
    <s v="Monthly-AE-October-2024-revised.csv"/>
    <x v="12"/>
    <s v="RQX"/>
    <s v="NHS ENGLAND LONDON"/>
    <x v="36"/>
    <n v="11338"/>
    <n v="0"/>
    <n v="0"/>
    <n v="0"/>
    <n v="0"/>
    <n v="0"/>
    <n v="2134"/>
    <n v="0"/>
    <n v="0"/>
    <n v="0"/>
    <n v="0"/>
    <n v="0"/>
    <n v="229"/>
    <n v="26"/>
    <n v="1843"/>
    <n v="0"/>
    <n v="0"/>
    <n v="370"/>
    <n v="11338"/>
    <n v="2134"/>
    <n v="2213"/>
  </r>
  <r>
    <s v="Monthly-AE-October-2024-revised.csv"/>
    <x v="12"/>
    <s v="RDU"/>
    <s v="NHS ENGLAND SOUTH EAST "/>
    <x v="82"/>
    <n v="23210"/>
    <n v="1062"/>
    <n v="11372"/>
    <n v="0"/>
    <n v="0"/>
    <n v="0"/>
    <n v="11292"/>
    <n v="1"/>
    <n v="135"/>
    <n v="0"/>
    <n v="0"/>
    <n v="0"/>
    <n v="2018"/>
    <n v="259"/>
    <n v="6400"/>
    <n v="0"/>
    <n v="0"/>
    <n v="108"/>
    <n v="35644"/>
    <n v="11428"/>
    <n v="6508"/>
  </r>
  <r>
    <s v="Monthly-AE-October-2024-revised.csv"/>
    <x v="12"/>
    <s v="RXQ"/>
    <s v="NHS ENGLAND SOUTH EAST "/>
    <x v="11"/>
    <n v="11010"/>
    <n v="1194"/>
    <n v="3747"/>
    <n v="0"/>
    <n v="0"/>
    <n v="0"/>
    <n v="4402"/>
    <n v="0"/>
    <n v="287"/>
    <n v="0"/>
    <n v="0"/>
    <n v="0"/>
    <n v="323"/>
    <n v="347"/>
    <n v="4054"/>
    <n v="805"/>
    <n v="0"/>
    <n v="2106"/>
    <n v="15951"/>
    <n v="4689"/>
    <n v="6965"/>
  </r>
  <r>
    <s v="Monthly-AE-October-2024-revised.csv"/>
    <x v="12"/>
    <s v="RFF"/>
    <s v="NHS ENGLAND NORTH EAST AND YORKSHIRE "/>
    <x v="26"/>
    <n v="9029"/>
    <n v="0"/>
    <n v="0"/>
    <n v="42"/>
    <n v="0"/>
    <n v="0"/>
    <n v="3373"/>
    <n v="0"/>
    <n v="0"/>
    <n v="0"/>
    <n v="0"/>
    <n v="0"/>
    <n v="511"/>
    <n v="0"/>
    <n v="3045"/>
    <n v="0"/>
    <n v="0"/>
    <n v="559"/>
    <n v="9029"/>
    <n v="3373"/>
    <n v="3604"/>
  </r>
  <r>
    <s v="Monthly-AE-October-2024-revised.csv"/>
    <x v="12"/>
    <s v="NL7"/>
    <s v="NHS ENGLAND MIDLANDS "/>
    <x v="95"/>
    <n v="0"/>
    <n v="0"/>
    <n v="3896"/>
    <n v="0"/>
    <n v="0"/>
    <n v="0"/>
    <n v="0"/>
    <n v="0"/>
    <n v="0"/>
    <n v="0"/>
    <n v="0"/>
    <n v="0"/>
    <n v="0"/>
    <n v="0"/>
    <n v="0"/>
    <n v="0"/>
    <n v="0"/>
    <n v="0"/>
    <n v="3896"/>
    <n v="0"/>
    <n v="0"/>
  </r>
  <r>
    <s v="Monthly-AE-October-2024-revised.csv"/>
    <x v="12"/>
    <s v="RFR"/>
    <s v="NHS ENGLAND NORTH EAST AND YORKSHIRE "/>
    <x v="45"/>
    <n v="9227"/>
    <n v="0"/>
    <n v="0"/>
    <n v="0"/>
    <n v="0"/>
    <n v="0"/>
    <n v="3451"/>
    <n v="0"/>
    <n v="0"/>
    <n v="0"/>
    <n v="0"/>
    <n v="0"/>
    <n v="788"/>
    <n v="24"/>
    <n v="2005"/>
    <n v="0"/>
    <n v="0"/>
    <n v="390"/>
    <n v="9227"/>
    <n v="3451"/>
    <n v="2395"/>
  </r>
  <r>
    <s v="Monthly-AE-October-2024-revised.csv"/>
    <x v="12"/>
    <s v="RGP"/>
    <s v="NHS ENGLAND EAST OF ENGLAND "/>
    <x v="61"/>
    <n v="7574"/>
    <n v="0"/>
    <n v="1382"/>
    <n v="0"/>
    <n v="0"/>
    <n v="0"/>
    <n v="3200"/>
    <n v="0"/>
    <n v="0"/>
    <n v="0"/>
    <n v="0"/>
    <n v="0"/>
    <n v="637"/>
    <n v="444"/>
    <n v="1714"/>
    <n v="0"/>
    <n v="0"/>
    <n v="509"/>
    <n v="8956"/>
    <n v="3200"/>
    <n v="2223"/>
  </r>
  <r>
    <s v="Monthly-AE-October-2024-revised.csv"/>
    <x v="12"/>
    <s v="RGR"/>
    <s v="NHS ENGLAND EAST OF ENGLAND "/>
    <x v="192"/>
    <n v="7823"/>
    <n v="0"/>
    <n v="650"/>
    <n v="31"/>
    <n v="0"/>
    <n v="0"/>
    <n v="2997"/>
    <n v="0"/>
    <n v="0"/>
    <n v="0"/>
    <n v="0"/>
    <n v="0"/>
    <n v="511"/>
    <n v="512"/>
    <n v="1885"/>
    <n v="0"/>
    <n v="0"/>
    <n v="375"/>
    <n v="8473"/>
    <n v="2997"/>
    <n v="2260"/>
  </r>
  <r>
    <s v="Monthly-AE-October-2024-revised.csv"/>
    <x v="12"/>
    <s v="RLQ"/>
    <s v="NHS ENGLAND MIDLANDS "/>
    <x v="86"/>
    <n v="6115"/>
    <n v="1155"/>
    <n v="123"/>
    <n v="175"/>
    <n v="0"/>
    <n v="0"/>
    <n v="2555"/>
    <n v="0"/>
    <n v="0"/>
    <n v="31"/>
    <n v="0"/>
    <n v="0"/>
    <n v="459"/>
    <n v="270"/>
    <n v="1429"/>
    <n v="0"/>
    <n v="0"/>
    <n v="152"/>
    <n v="7393"/>
    <n v="2555"/>
    <n v="1581"/>
  </r>
  <r>
    <s v="Monthly-AE-October-2024-revised.csv"/>
    <x v="12"/>
    <s v="RPC"/>
    <s v="NHS ENGLAND SOUTH EAST "/>
    <x v="27"/>
    <n v="0"/>
    <n v="0"/>
    <n v="1499"/>
    <n v="0"/>
    <n v="0"/>
    <n v="0"/>
    <n v="0"/>
    <n v="0"/>
    <n v="19"/>
    <n v="0"/>
    <n v="0"/>
    <n v="0"/>
    <n v="0"/>
    <n v="0"/>
    <n v="0"/>
    <n v="0"/>
    <n v="6"/>
    <n v="551"/>
    <n v="1499"/>
    <n v="19"/>
    <n v="557"/>
  </r>
  <r>
    <s v="Monthly-AE-October-2024-revised.csv"/>
    <x v="12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0"/>
    <n v="0"/>
    <n v="111"/>
  </r>
  <r>
    <s v="Monthly-AE-October-2024-revised.csv"/>
    <x v="12"/>
    <s v="RY5"/>
    <s v="NHS ENGLAND MIDLANDS "/>
    <x v="121"/>
    <n v="0"/>
    <n v="0"/>
    <n v="8429"/>
    <n v="0"/>
    <n v="0"/>
    <n v="0"/>
    <n v="0"/>
    <n v="0"/>
    <n v="300"/>
    <n v="0"/>
    <n v="0"/>
    <n v="0"/>
    <n v="0"/>
    <n v="0"/>
    <n v="0"/>
    <n v="0"/>
    <n v="0"/>
    <n v="0"/>
    <n v="8429"/>
    <n v="300"/>
    <n v="0"/>
  </r>
  <r>
    <s v="Monthly-AE-October-2024-revised.csv"/>
    <x v="12"/>
    <s v="RY8"/>
    <s v="NHS ENGLAND MIDLANDS "/>
    <x v="13"/>
    <n v="0"/>
    <n v="0"/>
    <n v="6205"/>
    <n v="0"/>
    <n v="0"/>
    <n v="1787"/>
    <n v="0"/>
    <n v="0"/>
    <n v="48"/>
    <n v="0"/>
    <n v="0"/>
    <n v="6"/>
    <n v="0"/>
    <n v="0"/>
    <n v="0"/>
    <n v="0"/>
    <n v="0"/>
    <n v="0"/>
    <n v="6205"/>
    <n v="48"/>
    <n v="0"/>
  </r>
  <r>
    <s v="Monthly-AE-October-2024-revised.csv"/>
    <x v="12"/>
    <s v="8J094"/>
    <s v="NHS ENGLAND MIDLANDS "/>
    <x v="2"/>
    <n v="0"/>
    <n v="0"/>
    <n v="0"/>
    <n v="0"/>
    <n v="0"/>
    <n v="2242"/>
    <n v="0"/>
    <n v="0"/>
    <n v="0"/>
    <n v="0"/>
    <n v="0"/>
    <n v="0"/>
    <n v="0"/>
    <n v="0"/>
    <n v="0"/>
    <n v="0"/>
    <n v="0"/>
    <n v="0"/>
    <n v="0"/>
    <n v="0"/>
    <n v="0"/>
  </r>
  <r>
    <s v="Monthly-AE-October-2024-revised.csv"/>
    <x v="12"/>
    <s v="AXG"/>
    <s v="NHS ENGLAND SOUTH WEST "/>
    <x v="30"/>
    <n v="0"/>
    <n v="0"/>
    <n v="2461"/>
    <n v="0"/>
    <n v="0"/>
    <n v="0"/>
    <n v="0"/>
    <n v="0"/>
    <n v="58"/>
    <n v="0"/>
    <n v="0"/>
    <n v="0"/>
    <n v="0"/>
    <n v="0"/>
    <n v="0"/>
    <n v="0"/>
    <n v="0"/>
    <n v="0"/>
    <n v="2461"/>
    <n v="58"/>
    <n v="0"/>
  </r>
  <r>
    <s v="Monthly-AE-October-2024-revised.csv"/>
    <x v="12"/>
    <s v="NLX"/>
    <s v="NHS ENGLAND SOUTH WEST "/>
    <x v="195"/>
    <n v="0"/>
    <n v="0"/>
    <n v="8546"/>
    <n v="0"/>
    <n v="0"/>
    <n v="327"/>
    <n v="0"/>
    <n v="0"/>
    <n v="516"/>
    <n v="0"/>
    <n v="0"/>
    <n v="41"/>
    <n v="0"/>
    <n v="0"/>
    <n v="0"/>
    <n v="0"/>
    <n v="0"/>
    <n v="0"/>
    <n v="8546"/>
    <n v="516"/>
    <n v="0"/>
  </r>
  <r>
    <s v="Monthly-AE-October-2024-revised.csv"/>
    <x v="12"/>
    <s v="NNJ0H"/>
    <s v="NHS ENGLAND MIDLANDS "/>
    <x v="53"/>
    <n v="0"/>
    <n v="0"/>
    <n v="210"/>
    <n v="0"/>
    <n v="0"/>
    <n v="2194"/>
    <n v="0"/>
    <n v="0"/>
    <n v="1"/>
    <n v="0"/>
    <n v="0"/>
    <n v="0"/>
    <n v="0"/>
    <n v="0"/>
    <n v="0"/>
    <n v="0"/>
    <n v="0"/>
    <n v="0"/>
    <n v="210"/>
    <n v="1"/>
    <n v="0"/>
  </r>
  <r>
    <s v="Monthly-AE-October-2024-revised.csv"/>
    <x v="12"/>
    <s v="NNJ12"/>
    <s v="NHS ENGLAND MIDLANDS "/>
    <x v="54"/>
    <n v="0"/>
    <n v="0"/>
    <n v="85"/>
    <n v="0"/>
    <n v="0"/>
    <n v="340"/>
    <n v="0"/>
    <n v="0"/>
    <n v="0"/>
    <n v="0"/>
    <n v="0"/>
    <n v="0"/>
    <n v="0"/>
    <n v="0"/>
    <n v="0"/>
    <n v="0"/>
    <n v="0"/>
    <n v="0"/>
    <n v="85"/>
    <n v="0"/>
    <n v="0"/>
  </r>
  <r>
    <s v="Monthly-AE-October-2024-revised.csv"/>
    <x v="12"/>
    <s v="NNJ13"/>
    <s v="NHS ENGLAND MIDLANDS "/>
    <x v="55"/>
    <n v="0"/>
    <n v="0"/>
    <n v="69"/>
    <n v="0"/>
    <n v="0"/>
    <n v="370"/>
    <n v="0"/>
    <n v="0"/>
    <n v="0"/>
    <n v="0"/>
    <n v="0"/>
    <n v="0"/>
    <n v="0"/>
    <n v="0"/>
    <n v="0"/>
    <n v="0"/>
    <n v="0"/>
    <n v="0"/>
    <n v="69"/>
    <n v="0"/>
    <n v="0"/>
  </r>
  <r>
    <s v="Monthly-AE-October-2024-revised.csv"/>
    <x v="12"/>
    <s v="NNJ14"/>
    <s v="NHS ENGLAND MIDLANDS "/>
    <x v="191"/>
    <n v="0"/>
    <n v="0"/>
    <n v="526"/>
    <n v="0"/>
    <n v="0"/>
    <n v="2484"/>
    <n v="0"/>
    <n v="0"/>
    <n v="0"/>
    <n v="0"/>
    <n v="0"/>
    <n v="0"/>
    <n v="0"/>
    <n v="0"/>
    <n v="0"/>
    <n v="0"/>
    <n v="0"/>
    <n v="0"/>
    <n v="526"/>
    <n v="0"/>
    <n v="0"/>
  </r>
  <r>
    <s v="Monthly-AE-October-2024-revised.csv"/>
    <x v="12"/>
    <s v="NNJ15"/>
    <s v="NHS ENGLAND MIDLANDS "/>
    <x v="56"/>
    <n v="0"/>
    <n v="0"/>
    <n v="57"/>
    <n v="0"/>
    <n v="0"/>
    <n v="362"/>
    <n v="0"/>
    <n v="0"/>
    <n v="0"/>
    <n v="0"/>
    <n v="0"/>
    <n v="0"/>
    <n v="0"/>
    <n v="0"/>
    <n v="0"/>
    <n v="0"/>
    <n v="0"/>
    <n v="0"/>
    <n v="57"/>
    <n v="0"/>
    <n v="0"/>
  </r>
  <r>
    <s v="Monthly-AE-October-2024-revised.csv"/>
    <x v="12"/>
    <s v="NNJ"/>
    <s v="NHS ENGLAND MIDLANDS "/>
    <x v="43"/>
    <n v="0"/>
    <n v="0"/>
    <n v="1960"/>
    <n v="0"/>
    <n v="0"/>
    <n v="0"/>
    <n v="0"/>
    <n v="0"/>
    <n v="0"/>
    <n v="0"/>
    <n v="0"/>
    <n v="0"/>
    <n v="0"/>
    <n v="0"/>
    <n v="0"/>
    <n v="0"/>
    <n v="0"/>
    <n v="0"/>
    <n v="1960"/>
    <n v="0"/>
    <n v="0"/>
  </r>
  <r>
    <s v="Monthly-AE-October-2024-revised.csv"/>
    <x v="12"/>
    <s v="NR3"/>
    <s v="NHS ENGLAND MIDLANDS "/>
    <x v="57"/>
    <n v="0"/>
    <n v="0"/>
    <n v="5696"/>
    <n v="0"/>
    <n v="0"/>
    <n v="257"/>
    <n v="0"/>
    <n v="0"/>
    <n v="381"/>
    <n v="0"/>
    <n v="0"/>
    <n v="1"/>
    <n v="0"/>
    <n v="0"/>
    <n v="0"/>
    <n v="0"/>
    <n v="0"/>
    <n v="0"/>
    <n v="5696"/>
    <n v="381"/>
    <n v="0"/>
  </r>
  <r>
    <s v="Monthly-AE-October-2024-revised.csv"/>
    <x v="12"/>
    <s v="NTPAD"/>
    <s v="NHS ENGLAND SOUTH EAST "/>
    <x v="22"/>
    <n v="0"/>
    <n v="0"/>
    <n v="5788"/>
    <n v="0"/>
    <n v="0"/>
    <n v="197"/>
    <n v="0"/>
    <n v="0"/>
    <n v="88"/>
    <n v="0"/>
    <n v="0"/>
    <n v="0"/>
    <n v="0"/>
    <n v="0"/>
    <n v="0"/>
    <n v="0"/>
    <n v="0"/>
    <n v="0"/>
    <n v="5788"/>
    <n v="88"/>
    <n v="0"/>
  </r>
  <r>
    <s v="Monthly-AE-October-2024-revised.csv"/>
    <x v="12"/>
    <s v="NV693"/>
    <s v="NHS ENGLAND NORTH WEST "/>
    <x v="76"/>
    <n v="0"/>
    <n v="0"/>
    <n v="1037"/>
    <n v="0"/>
    <n v="0"/>
    <n v="0"/>
    <n v="0"/>
    <n v="0"/>
    <n v="0"/>
    <n v="0"/>
    <n v="0"/>
    <n v="0"/>
    <n v="0"/>
    <n v="0"/>
    <n v="0"/>
    <n v="0"/>
    <n v="0"/>
    <n v="0"/>
    <n v="1037"/>
    <n v="0"/>
    <n v="0"/>
  </r>
  <r>
    <s v="Monthly-AE-October-2024-revised.csv"/>
    <x v="12"/>
    <s v="R0A"/>
    <s v="NHS ENGLAND NORTH WEST "/>
    <x v="181"/>
    <n v="25876"/>
    <n v="2943"/>
    <n v="11962"/>
    <n v="3669"/>
    <n v="534"/>
    <n v="887"/>
    <n v="12120"/>
    <n v="75"/>
    <n v="632"/>
    <n v="1631"/>
    <n v="20"/>
    <n v="90"/>
    <n v="4129"/>
    <n v="278"/>
    <n v="5939"/>
    <n v="136"/>
    <n v="173"/>
    <n v="457"/>
    <n v="40781"/>
    <n v="12827"/>
    <n v="6705"/>
  </r>
  <r>
    <s v="Monthly-AE-October-2024-revised.csv"/>
    <x v="12"/>
    <s v="RA7"/>
    <s v="NHS ENGLAND SOUTH WEST "/>
    <x v="78"/>
    <n v="16097"/>
    <n v="2388"/>
    <n v="0"/>
    <n v="0"/>
    <n v="0"/>
    <n v="0"/>
    <n v="5977"/>
    <n v="232"/>
    <n v="0"/>
    <n v="0"/>
    <n v="0"/>
    <n v="0"/>
    <n v="1286"/>
    <n v="440"/>
    <n v="5485"/>
    <n v="12"/>
    <n v="0"/>
    <n v="1522"/>
    <n v="18485"/>
    <n v="6209"/>
    <n v="7019"/>
  </r>
  <r>
    <s v="Monthly-AE-October-2024-revised.csv"/>
    <x v="12"/>
    <s v="RA9"/>
    <s v="NHS ENGLAND SOUTH WEST "/>
    <x v="7"/>
    <n v="6217"/>
    <n v="0"/>
    <n v="3264"/>
    <n v="388"/>
    <n v="0"/>
    <n v="139"/>
    <n v="2976"/>
    <n v="0"/>
    <n v="12"/>
    <n v="143"/>
    <n v="0"/>
    <n v="0"/>
    <n v="397"/>
    <n v="149"/>
    <n v="2091"/>
    <n v="0"/>
    <n v="0"/>
    <n v="1249"/>
    <n v="9481"/>
    <n v="2988"/>
    <n v="3340"/>
  </r>
  <r>
    <s v="Monthly-AE-October-2024-revised.csv"/>
    <x v="12"/>
    <s v="RAX"/>
    <s v="NHS ENGLAND LONDON"/>
    <x v="100"/>
    <n v="7198"/>
    <n v="0"/>
    <n v="8157"/>
    <n v="0"/>
    <n v="0"/>
    <n v="0"/>
    <n v="3440"/>
    <n v="0"/>
    <n v="271"/>
    <n v="0"/>
    <n v="0"/>
    <n v="0"/>
    <n v="264"/>
    <n v="421"/>
    <n v="2347"/>
    <n v="0"/>
    <n v="199"/>
    <n v="288"/>
    <n v="15355"/>
    <n v="3711"/>
    <n v="2834"/>
  </r>
  <r>
    <s v="Monthly-AE-October-2024-revised.csv"/>
    <x v="12"/>
    <s v="RCD"/>
    <s v="NHS ENGLAND NORTH EAST AND YORKSHIRE "/>
    <x v="184"/>
    <n v="5070"/>
    <n v="0"/>
    <n v="900"/>
    <n v="330"/>
    <n v="0"/>
    <n v="15"/>
    <n v="1663"/>
    <n v="0"/>
    <n v="0"/>
    <n v="76"/>
    <n v="0"/>
    <n v="0"/>
    <n v="430"/>
    <n v="52"/>
    <n v="1145"/>
    <n v="0"/>
    <n v="0"/>
    <n v="331"/>
    <n v="5970"/>
    <n v="1663"/>
    <n v="1476"/>
  </r>
  <r>
    <s v="Monthly-AE-October-2024-revised.csv"/>
    <x v="12"/>
    <s v="RCX"/>
    <s v="NHS ENGLAND EAST OF ENGLAND "/>
    <x v="185"/>
    <n v="6749"/>
    <n v="0"/>
    <n v="1170"/>
    <n v="0"/>
    <n v="0"/>
    <n v="0"/>
    <n v="2652"/>
    <n v="0"/>
    <n v="0"/>
    <n v="0"/>
    <n v="0"/>
    <n v="0"/>
    <n v="328"/>
    <n v="95"/>
    <n v="2041"/>
    <n v="0"/>
    <n v="0"/>
    <n v="317"/>
    <n v="7919"/>
    <n v="2652"/>
    <n v="2358"/>
  </r>
  <r>
    <s v="Monthly-AE-October-2024-revised.csv"/>
    <x v="12"/>
    <s v="RHM"/>
    <s v="NHS ENGLAND SOUTH EAST "/>
    <x v="134"/>
    <n v="12497"/>
    <n v="1243"/>
    <n v="0"/>
    <n v="266"/>
    <n v="0"/>
    <n v="0"/>
    <n v="4456"/>
    <n v="124"/>
    <n v="0"/>
    <n v="94"/>
    <n v="0"/>
    <n v="0"/>
    <n v="382"/>
    <n v="16"/>
    <n v="4045"/>
    <n v="3"/>
    <n v="0"/>
    <n v="1653"/>
    <n v="13740"/>
    <n v="4580"/>
    <n v="5701"/>
  </r>
  <r>
    <s v="Monthly-AE-October-2024-revised.csv"/>
    <x v="12"/>
    <s v="RJ6"/>
    <s v="NHS ENGLAND LONDON"/>
    <x v="136"/>
    <n v="12732"/>
    <n v="0"/>
    <n v="5002"/>
    <n v="0"/>
    <n v="0"/>
    <n v="0"/>
    <n v="5066"/>
    <n v="0"/>
    <n v="0"/>
    <n v="0"/>
    <n v="0"/>
    <n v="0"/>
    <n v="313"/>
    <n v="692"/>
    <n v="1333"/>
    <n v="0"/>
    <n v="0"/>
    <n v="95"/>
    <n v="17734"/>
    <n v="5066"/>
    <n v="1428"/>
  </r>
  <r>
    <s v="Monthly-AE-October-2024-revised.csv"/>
    <x v="12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7"/>
    <n v="61"/>
    <n v="0"/>
    <n v="0"/>
    <n v="68"/>
  </r>
  <r>
    <s v="Monthly-AE-October-2024-revised.csv"/>
    <x v="12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n v="36"/>
  </r>
  <r>
    <s v="Monthly-AE-October-2024-revised.csv"/>
    <x v="12"/>
    <s v="RNQ"/>
    <s v="NHS ENGLAND MIDLANDS "/>
    <x v="64"/>
    <n v="9809"/>
    <n v="0"/>
    <n v="8514"/>
    <n v="343"/>
    <n v="0"/>
    <n v="0"/>
    <n v="3879"/>
    <n v="0"/>
    <n v="120"/>
    <n v="0"/>
    <n v="0"/>
    <n v="0"/>
    <n v="1465"/>
    <n v="0"/>
    <n v="1913"/>
    <n v="0"/>
    <n v="0"/>
    <n v="229"/>
    <n v="18323"/>
    <n v="3999"/>
    <n v="2142"/>
  </r>
  <r>
    <s v="Monthly-AE-October-2024-revised.csv"/>
    <x v="12"/>
    <s v="RP6"/>
    <s v="NHS ENGLAND LONDON"/>
    <x v="65"/>
    <n v="0"/>
    <n v="5551"/>
    <n v="0"/>
    <n v="0"/>
    <n v="0"/>
    <n v="0"/>
    <n v="0"/>
    <n v="39"/>
    <n v="0"/>
    <n v="0"/>
    <n v="0"/>
    <n v="0"/>
    <n v="0"/>
    <n v="0"/>
    <n v="0"/>
    <n v="4"/>
    <n v="0"/>
    <n v="225"/>
    <n v="5551"/>
    <n v="39"/>
    <n v="229"/>
  </r>
  <r>
    <s v="Monthly-AE-October-2024-revised.csv"/>
    <x v="12"/>
    <s v="RQ3"/>
    <s v="NHS ENGLAND MIDLANDS "/>
    <x v="189"/>
    <n v="5637"/>
    <n v="0"/>
    <n v="0"/>
    <n v="0"/>
    <n v="0"/>
    <n v="0"/>
    <n v="1136"/>
    <n v="0"/>
    <n v="0"/>
    <n v="0"/>
    <n v="0"/>
    <n v="0"/>
    <n v="0"/>
    <n v="0"/>
    <n v="1122"/>
    <n v="0"/>
    <n v="0"/>
    <n v="157"/>
    <n v="5637"/>
    <n v="1136"/>
    <n v="1279"/>
  </r>
  <r>
    <s v="Monthly-AE-October-2024-revised.csv"/>
    <x v="12"/>
    <s v="RQW"/>
    <s v="NHS ENGLAND EAST OF ENGLAND "/>
    <x v="148"/>
    <n v="8389"/>
    <n v="0"/>
    <n v="2053"/>
    <n v="0"/>
    <n v="0"/>
    <n v="520"/>
    <n v="4590"/>
    <n v="0"/>
    <n v="0"/>
    <n v="0"/>
    <n v="0"/>
    <n v="0"/>
    <n v="502"/>
    <n v="171"/>
    <n v="2311"/>
    <n v="0"/>
    <n v="0"/>
    <n v="398"/>
    <n v="10442"/>
    <n v="4590"/>
    <n v="2709"/>
  </r>
  <r>
    <s v="Monthly-AE-October-2024-revised.csv"/>
    <x v="12"/>
    <s v="RR7"/>
    <s v="NHS ENGLAND NORTH EAST AND YORKSHIRE "/>
    <x v="113"/>
    <n v="6465"/>
    <n v="0"/>
    <n v="3343"/>
    <n v="18"/>
    <n v="0"/>
    <n v="2"/>
    <n v="3128"/>
    <n v="0"/>
    <n v="26"/>
    <n v="8"/>
    <n v="0"/>
    <n v="0"/>
    <n v="1151"/>
    <n v="3"/>
    <n v="1648"/>
    <n v="0"/>
    <n v="0"/>
    <n v="59"/>
    <n v="9808"/>
    <n v="3154"/>
    <n v="1707"/>
  </r>
  <r>
    <s v="Monthly-AE-October-2024-revised.csv"/>
    <x v="12"/>
    <s v="RRV"/>
    <s v="NHS ENGLAND LONDON"/>
    <x v="28"/>
    <n v="13764"/>
    <n v="0"/>
    <n v="0"/>
    <n v="389"/>
    <n v="0"/>
    <n v="0"/>
    <n v="3880"/>
    <n v="0"/>
    <n v="0"/>
    <n v="0"/>
    <n v="0"/>
    <n v="0"/>
    <n v="469"/>
    <n v="188"/>
    <n v="1490"/>
    <n v="0"/>
    <n v="0"/>
    <n v="291"/>
    <n v="13764"/>
    <n v="3880"/>
    <n v="1781"/>
  </r>
  <r>
    <s v="Monthly-AE-October-2024-revised.csv"/>
    <x v="12"/>
    <s v="RTQ"/>
    <s v="NHS ENGLAND SOUTH WEST "/>
    <x v="115"/>
    <n v="0"/>
    <n v="0"/>
    <n v="7641"/>
    <n v="0"/>
    <n v="0"/>
    <n v="0"/>
    <n v="0"/>
    <n v="0"/>
    <n v="41"/>
    <n v="0"/>
    <n v="0"/>
    <n v="0"/>
    <n v="0"/>
    <n v="0"/>
    <n v="0"/>
    <n v="0"/>
    <n v="0"/>
    <n v="28"/>
    <n v="7641"/>
    <n v="41"/>
    <n v="28"/>
  </r>
  <r>
    <s v="Monthly-AE-October-2024-revised.csv"/>
    <x v="12"/>
    <s v="RTX"/>
    <s v="NHS ENGLAND NORTH WEST "/>
    <x v="172"/>
    <n v="9335"/>
    <n v="0"/>
    <n v="3143"/>
    <n v="180"/>
    <n v="0"/>
    <n v="755"/>
    <n v="2974"/>
    <n v="0"/>
    <n v="77"/>
    <n v="14"/>
    <n v="0"/>
    <n v="72"/>
    <n v="527"/>
    <n v="387"/>
    <n v="3280"/>
    <n v="0"/>
    <n v="30"/>
    <n v="1010"/>
    <n v="12478"/>
    <n v="3051"/>
    <n v="4320"/>
  </r>
  <r>
    <s v="Monthly-AE-October-2024-revised.csv"/>
    <x v="12"/>
    <s v="RV9"/>
    <s v="NHS ENGLAND NORTH EAST AND YORKSHIRE "/>
    <x v="67"/>
    <n v="0"/>
    <n v="0"/>
    <n v="1004"/>
    <n v="0"/>
    <n v="0"/>
    <n v="38"/>
    <n v="0"/>
    <n v="0"/>
    <n v="14"/>
    <n v="0"/>
    <n v="0"/>
    <n v="1"/>
    <n v="0"/>
    <n v="0"/>
    <n v="0"/>
    <n v="0"/>
    <n v="0"/>
    <n v="0"/>
    <n v="1004"/>
    <n v="14"/>
    <n v="0"/>
  </r>
  <r>
    <s v="Monthly-AE-October-2024-revised.csv"/>
    <x v="12"/>
    <s v="RWF"/>
    <s v="NHS ENGLAND SOUTH EAST "/>
    <x v="118"/>
    <n v="18434"/>
    <n v="0"/>
    <n v="2087"/>
    <n v="735"/>
    <n v="0"/>
    <n v="164"/>
    <n v="3668"/>
    <n v="0"/>
    <n v="2"/>
    <n v="79"/>
    <n v="0"/>
    <n v="0"/>
    <n v="887"/>
    <n v="168"/>
    <n v="5145"/>
    <n v="0"/>
    <n v="0"/>
    <n v="953"/>
    <n v="20521"/>
    <n v="3670"/>
    <n v="6098"/>
  </r>
  <r>
    <s v="Monthly-AE-October-2024-revised.csv"/>
    <x v="12"/>
    <s v="RWG"/>
    <s v="NHS ENGLAND EAST OF ENGLAND "/>
    <x v="47"/>
    <n v="8674"/>
    <n v="0"/>
    <n v="7607"/>
    <n v="0"/>
    <n v="0"/>
    <n v="826"/>
    <n v="3662"/>
    <n v="0"/>
    <n v="145"/>
    <n v="0"/>
    <n v="0"/>
    <n v="0"/>
    <n v="966"/>
    <n v="27"/>
    <n v="4424"/>
    <n v="0"/>
    <n v="0"/>
    <n v="604"/>
    <n v="16281"/>
    <n v="3807"/>
    <n v="5028"/>
  </r>
  <r>
    <s v="Monthly-AE-October-2024-revised.csv"/>
    <x v="12"/>
    <s v="RWP"/>
    <s v="NHS ENGLAND MIDLANDS "/>
    <x v="68"/>
    <n v="13269"/>
    <n v="0"/>
    <n v="5778"/>
    <n v="228"/>
    <n v="0"/>
    <n v="10"/>
    <n v="6573"/>
    <n v="0"/>
    <n v="72"/>
    <n v="89"/>
    <n v="0"/>
    <n v="0"/>
    <n v="786"/>
    <n v="487"/>
    <n v="3335"/>
    <n v="0"/>
    <n v="0"/>
    <n v="943"/>
    <n v="19047"/>
    <n v="6645"/>
    <n v="4278"/>
  </r>
  <r>
    <s v="Monthly-AE-October-2024-revised.csv"/>
    <x v="12"/>
    <s v="RXW"/>
    <s v="NHS ENGLAND MIDLANDS "/>
    <x v="120"/>
    <n v="10608"/>
    <n v="0"/>
    <n v="2459"/>
    <n v="0"/>
    <n v="0"/>
    <n v="0"/>
    <n v="6001"/>
    <n v="0"/>
    <n v="244"/>
    <n v="0"/>
    <n v="0"/>
    <n v="0"/>
    <n v="461"/>
    <n v="1060"/>
    <n v="3261"/>
    <n v="0"/>
    <n v="208"/>
    <n v="2262"/>
    <n v="13067"/>
    <n v="6245"/>
    <n v="5731"/>
  </r>
  <r>
    <s v="Monthly-AE-October-2024-revised.csv"/>
    <x v="12"/>
    <s v="Y03007"/>
    <s v="NHS ENGLAND MIDLANDS "/>
    <x v="17"/>
    <n v="0"/>
    <n v="0"/>
    <n v="0"/>
    <n v="0"/>
    <n v="0"/>
    <n v="2637"/>
    <n v="0"/>
    <n v="0"/>
    <n v="0"/>
    <n v="0"/>
    <n v="0"/>
    <n v="0"/>
    <n v="0"/>
    <n v="0"/>
    <n v="0"/>
    <n v="0"/>
    <n v="0"/>
    <n v="0"/>
    <n v="0"/>
    <n v="0"/>
    <n v="0"/>
  </r>
  <r>
    <s v="Monthly-AE-October-2024-revised.csv"/>
    <x v="12"/>
    <s v="ARN03"/>
    <s v="NHS ENGLAND NORTH EAST AND YORKSHIRE "/>
    <x v="164"/>
    <n v="0"/>
    <n v="0"/>
    <n v="2162"/>
    <n v="0"/>
    <n v="0"/>
    <n v="297"/>
    <n v="0"/>
    <n v="0"/>
    <n v="0"/>
    <n v="0"/>
    <n v="0"/>
    <n v="0"/>
    <n v="0"/>
    <n v="0"/>
    <n v="0"/>
    <n v="0"/>
    <n v="0"/>
    <n v="0"/>
    <n v="2162"/>
    <n v="0"/>
    <n v="0"/>
  </r>
  <r>
    <s v="Monthly-AE-October-2024-revised.csv"/>
    <x v="12"/>
    <s v="NNF09"/>
    <s v="NHS ENGLAND NORTH EAST AND YORKSHIRE "/>
    <x v="124"/>
    <n v="0"/>
    <n v="0"/>
    <n v="3742"/>
    <n v="0"/>
    <n v="0"/>
    <n v="0"/>
    <n v="0"/>
    <n v="0"/>
    <n v="219"/>
    <n v="0"/>
    <n v="0"/>
    <n v="0"/>
    <n v="0"/>
    <n v="0"/>
    <n v="0"/>
    <n v="0"/>
    <n v="0"/>
    <n v="0"/>
    <n v="3742"/>
    <n v="219"/>
    <n v="0"/>
  </r>
  <r>
    <s v="Monthly-AE-October-2024-revised.csv"/>
    <x v="12"/>
    <s v="NNF16"/>
    <s v="NHS ENGLAND NORTH EAST AND YORKSHIRE "/>
    <x v="198"/>
    <n v="0"/>
    <n v="0"/>
    <n v="1507"/>
    <n v="0"/>
    <n v="0"/>
    <n v="0"/>
    <n v="0"/>
    <n v="0"/>
    <n v="8"/>
    <n v="0"/>
    <n v="0"/>
    <n v="0"/>
    <n v="0"/>
    <n v="0"/>
    <n v="0"/>
    <n v="0"/>
    <n v="0"/>
    <n v="0"/>
    <n v="1507"/>
    <n v="8"/>
    <n v="0"/>
  </r>
  <r>
    <s v="Monthly-AE-October-2024-revised.csv"/>
    <x v="12"/>
    <s v="NNF94"/>
    <s v="NHS ENGLAND NORTH EAST AND YORKSHIRE "/>
    <x v="125"/>
    <n v="0"/>
    <n v="0"/>
    <n v="2749"/>
    <n v="0"/>
    <n v="0"/>
    <n v="0"/>
    <n v="0"/>
    <n v="0"/>
    <n v="129"/>
    <n v="0"/>
    <n v="0"/>
    <n v="0"/>
    <n v="0"/>
    <n v="0"/>
    <n v="0"/>
    <n v="0"/>
    <n v="0"/>
    <n v="0"/>
    <n v="2749"/>
    <n v="129"/>
    <n v="0"/>
  </r>
  <r>
    <s v="Monthly-AE-October-2024-revised.csv"/>
    <x v="12"/>
    <s v="NNFA7"/>
    <s v="NHS ENGLAND NORTH EAST AND YORKSHIRE "/>
    <x v="126"/>
    <n v="0"/>
    <n v="0"/>
    <n v="1612"/>
    <n v="0"/>
    <n v="0"/>
    <n v="0"/>
    <n v="0"/>
    <n v="0"/>
    <n v="13"/>
    <n v="0"/>
    <n v="0"/>
    <n v="0"/>
    <n v="0"/>
    <n v="0"/>
    <n v="0"/>
    <n v="0"/>
    <n v="0"/>
    <n v="0"/>
    <n v="1612"/>
    <n v="13"/>
    <n v="0"/>
  </r>
  <r>
    <s v="Monthly-AE-October-2024-revised.csv"/>
    <x v="12"/>
    <s v="NTP11"/>
    <s v="NHS ENGLAND SOUTH EAST "/>
    <x v="34"/>
    <n v="0"/>
    <n v="0"/>
    <n v="5533"/>
    <n v="0"/>
    <n v="0"/>
    <n v="0"/>
    <n v="0"/>
    <n v="0"/>
    <n v="126"/>
    <n v="0"/>
    <n v="0"/>
    <n v="0"/>
    <n v="0"/>
    <n v="0"/>
    <n v="0"/>
    <n v="0"/>
    <n v="0"/>
    <n v="0"/>
    <n v="5533"/>
    <n v="126"/>
    <n v="0"/>
  </r>
  <r>
    <s v="Monthly-AE-October-2024-revised.csv"/>
    <x v="12"/>
    <s v="R0B"/>
    <s v="NHS ENGLAND NORTH EAST AND YORKSHIRE "/>
    <x v="44"/>
    <n v="12481"/>
    <n v="1230"/>
    <n v="6020"/>
    <n v="553"/>
    <n v="0"/>
    <n v="1411"/>
    <n v="5966"/>
    <n v="44"/>
    <n v="284"/>
    <n v="274"/>
    <n v="0"/>
    <n v="59"/>
    <n v="925"/>
    <n v="2"/>
    <n v="4875"/>
    <n v="11"/>
    <n v="0"/>
    <n v="1509"/>
    <n v="19731"/>
    <n v="6294"/>
    <n v="6395"/>
  </r>
  <r>
    <s v="Monthly-AE-October-2024-revised.csv"/>
    <x v="12"/>
    <s v="R0D"/>
    <s v="NHS ENGLAND SOUTH WEST "/>
    <x v="77"/>
    <n v="13526"/>
    <n v="0"/>
    <n v="4825"/>
    <n v="0"/>
    <n v="0"/>
    <n v="0"/>
    <n v="5454"/>
    <n v="0"/>
    <n v="0"/>
    <n v="0"/>
    <n v="0"/>
    <n v="0"/>
    <n v="898"/>
    <n v="214"/>
    <n v="4188"/>
    <n v="4"/>
    <n v="0"/>
    <n v="2535"/>
    <n v="18351"/>
    <n v="5454"/>
    <n v="6727"/>
  </r>
  <r>
    <s v="Monthly-AE-October-2024-revised.csv"/>
    <x v="12"/>
    <s v="R1K"/>
    <s v="NHS ENGLAND LONDON"/>
    <x v="128"/>
    <n v="13495"/>
    <n v="0"/>
    <n v="14954"/>
    <n v="0"/>
    <n v="0"/>
    <n v="0"/>
    <n v="7150"/>
    <n v="0"/>
    <n v="100"/>
    <n v="0"/>
    <n v="0"/>
    <n v="0"/>
    <n v="691"/>
    <n v="674"/>
    <n v="6502"/>
    <n v="0"/>
    <n v="0"/>
    <n v="293"/>
    <n v="28449"/>
    <n v="7250"/>
    <n v="6795"/>
  </r>
  <r>
    <s v="Monthly-AE-October-2024-revised.csv"/>
    <x v="12"/>
    <s v="RAE"/>
    <s v="NHS ENGLAND NORTH EAST AND YORKSHIRE "/>
    <x v="79"/>
    <n v="9611"/>
    <n v="1056"/>
    <n v="3218"/>
    <n v="0"/>
    <n v="0"/>
    <n v="0"/>
    <n v="2598"/>
    <n v="0"/>
    <n v="0"/>
    <n v="0"/>
    <n v="0"/>
    <n v="0"/>
    <n v="754"/>
    <n v="62"/>
    <n v="2692"/>
    <n v="0"/>
    <n v="39"/>
    <n v="1456"/>
    <n v="13885"/>
    <n v="2598"/>
    <n v="4187"/>
  </r>
  <r>
    <s v="Monthly-AE-October-2024-revised.csv"/>
    <x v="12"/>
    <s v="RAJ"/>
    <s v="NHS ENGLAND EAST OF ENGLAND "/>
    <x v="98"/>
    <n v="31183"/>
    <n v="0"/>
    <n v="5670"/>
    <n v="4"/>
    <n v="0"/>
    <n v="1"/>
    <n v="10649"/>
    <n v="0"/>
    <n v="274"/>
    <n v="3"/>
    <n v="0"/>
    <n v="0"/>
    <n v="3190"/>
    <n v="40"/>
    <n v="9034"/>
    <n v="0"/>
    <n v="228"/>
    <n v="1274"/>
    <n v="36853"/>
    <n v="10923"/>
    <n v="10536"/>
  </r>
  <r>
    <s v="Monthly-AE-October-2024-revised.csv"/>
    <x v="12"/>
    <s v="RAS"/>
    <s v="NHS ENGLAND LONDON"/>
    <x v="182"/>
    <n v="6235"/>
    <n v="0"/>
    <n v="6588"/>
    <n v="0"/>
    <n v="0"/>
    <n v="0"/>
    <n v="3739"/>
    <n v="0"/>
    <n v="63"/>
    <n v="0"/>
    <n v="0"/>
    <n v="0"/>
    <n v="468"/>
    <n v="13"/>
    <n v="2080"/>
    <n v="0"/>
    <n v="0"/>
    <n v="100"/>
    <n v="12823"/>
    <n v="3802"/>
    <n v="2180"/>
  </r>
  <r>
    <s v="Monthly-AE-October-2024-revised.csv"/>
    <x v="12"/>
    <s v="RBK"/>
    <s v="NHS ENGLAND MIDLANDS "/>
    <x v="102"/>
    <n v="10098"/>
    <n v="0"/>
    <n v="4486"/>
    <n v="23"/>
    <n v="0"/>
    <n v="151"/>
    <n v="3507"/>
    <n v="0"/>
    <n v="285"/>
    <n v="7"/>
    <n v="0"/>
    <n v="0"/>
    <n v="1168"/>
    <n v="100"/>
    <n v="4238"/>
    <n v="0"/>
    <n v="0"/>
    <n v="737"/>
    <n v="14584"/>
    <n v="3792"/>
    <n v="4975"/>
  </r>
  <r>
    <s v="Monthly-AE-October-2024-revised.csv"/>
    <x v="12"/>
    <s v="RBN"/>
    <s v="NHS ENGLAND NORTH WEST "/>
    <x v="174"/>
    <n v="17574"/>
    <n v="0"/>
    <n v="7443"/>
    <n v="449"/>
    <n v="0"/>
    <n v="0"/>
    <n v="6758"/>
    <n v="0"/>
    <n v="147"/>
    <n v="78"/>
    <n v="0"/>
    <n v="0"/>
    <n v="610"/>
    <n v="393"/>
    <n v="7520"/>
    <n v="0"/>
    <n v="7"/>
    <n v="720"/>
    <n v="25017"/>
    <n v="6905"/>
    <n v="8247"/>
  </r>
  <r>
    <s v="Monthly-AE-October-2024-revised.csv"/>
    <x v="12"/>
    <s v="RBS"/>
    <s v="NHS ENGLAND NORTH WEST "/>
    <x v="80"/>
    <n v="5891"/>
    <n v="0"/>
    <n v="0"/>
    <n v="0"/>
    <n v="0"/>
    <n v="0"/>
    <n v="1058"/>
    <n v="0"/>
    <n v="0"/>
    <n v="0"/>
    <n v="0"/>
    <n v="0"/>
    <n v="0"/>
    <n v="0"/>
    <n v="951"/>
    <n v="0"/>
    <n v="0"/>
    <n v="336"/>
    <n v="5891"/>
    <n v="1058"/>
    <n v="1287"/>
  </r>
  <r>
    <s v="Monthly-AE-October-2024-revised.csv"/>
    <x v="12"/>
    <s v="RCB"/>
    <s v="NHS ENGLAND NORTH EAST AND YORKSHIRE "/>
    <x v="103"/>
    <n v="11390"/>
    <n v="397"/>
    <n v="6558"/>
    <n v="0"/>
    <n v="0"/>
    <n v="0"/>
    <n v="6641"/>
    <n v="0"/>
    <n v="240"/>
    <n v="0"/>
    <n v="0"/>
    <n v="0"/>
    <n v="969"/>
    <n v="785"/>
    <n v="4848"/>
    <n v="0"/>
    <n v="0"/>
    <n v="1624"/>
    <n v="18345"/>
    <n v="6881"/>
    <n v="6472"/>
  </r>
  <r>
    <s v="Monthly-AE-October-2024-revised.csv"/>
    <x v="12"/>
    <s v="RCF"/>
    <s v="NHS ENGLAND NORTH EAST AND YORKSHIRE "/>
    <x v="104"/>
    <n v="6010"/>
    <n v="243"/>
    <n v="0"/>
    <n v="439"/>
    <n v="0"/>
    <n v="0"/>
    <n v="2557"/>
    <n v="0"/>
    <n v="0"/>
    <n v="0"/>
    <n v="0"/>
    <n v="0"/>
    <n v="509"/>
    <n v="212"/>
    <n v="1591"/>
    <n v="0"/>
    <n v="0"/>
    <n v="543"/>
    <n v="6253"/>
    <n v="2557"/>
    <n v="2134"/>
  </r>
  <r>
    <s v="Monthly-AE-October-2024-revised.csv"/>
    <x v="12"/>
    <s v="RCU"/>
    <s v="NHS ENGLAND NORTH EAST AND YORKSHIRE "/>
    <x v="81"/>
    <n v="4852"/>
    <n v="0"/>
    <n v="334"/>
    <n v="353"/>
    <n v="0"/>
    <n v="34"/>
    <n v="420"/>
    <n v="0"/>
    <n v="0"/>
    <n v="31"/>
    <n v="0"/>
    <n v="0"/>
    <n v="7"/>
    <n v="0"/>
    <n v="1148"/>
    <n v="0"/>
    <n v="0"/>
    <n v="143"/>
    <n v="5186"/>
    <n v="420"/>
    <n v="1291"/>
  </r>
  <r>
    <s v="Monthly-AE-October-2024-revised.csv"/>
    <x v="12"/>
    <s v="RD8"/>
    <s v="NHS ENGLAND EAST OF ENGLAND "/>
    <x v="105"/>
    <n v="8699"/>
    <n v="0"/>
    <n v="5036"/>
    <n v="532"/>
    <n v="0"/>
    <n v="179"/>
    <n v="3453"/>
    <n v="0"/>
    <n v="127"/>
    <n v="202"/>
    <n v="0"/>
    <n v="0"/>
    <n v="758"/>
    <n v="0"/>
    <n v="2139"/>
    <n v="0"/>
    <n v="0"/>
    <n v="469"/>
    <n v="13735"/>
    <n v="3580"/>
    <n v="2608"/>
  </r>
  <r>
    <s v="Monthly-AE-October-2024-revised.csv"/>
    <x v="12"/>
    <s v="REF"/>
    <s v="NHS ENGLAND SOUTH WEST "/>
    <x v="60"/>
    <n v="6319"/>
    <n v="0"/>
    <n v="11920"/>
    <n v="0"/>
    <n v="0"/>
    <n v="0"/>
    <n v="3890"/>
    <n v="0"/>
    <n v="855"/>
    <n v="0"/>
    <n v="0"/>
    <n v="0"/>
    <n v="565"/>
    <n v="689"/>
    <n v="2354"/>
    <n v="0"/>
    <n v="46"/>
    <n v="1313"/>
    <n v="18239"/>
    <n v="4745"/>
    <n v="3713"/>
  </r>
  <r>
    <s v="Monthly-AE-October-2024-revised.csv"/>
    <x v="12"/>
    <s v="REP"/>
    <s v="NHS ENGLAND NORTH WEST "/>
    <x v="83"/>
    <n v="0"/>
    <n v="1427"/>
    <n v="0"/>
    <n v="0"/>
    <n v="139"/>
    <n v="0"/>
    <n v="0"/>
    <n v="146"/>
    <n v="0"/>
    <n v="0"/>
    <n v="0"/>
    <n v="0"/>
    <n v="0"/>
    <n v="0"/>
    <n v="0"/>
    <n v="113"/>
    <n v="0"/>
    <n v="8"/>
    <n v="1427"/>
    <n v="146"/>
    <n v="121"/>
  </r>
  <r>
    <s v="Monthly-AE-October-2024-revised.csv"/>
    <x v="12"/>
    <s v="RGT"/>
    <s v="NHS ENGLAND EAST OF ENGLAND "/>
    <x v="107"/>
    <n v="11235"/>
    <n v="0"/>
    <n v="5746"/>
    <n v="229"/>
    <n v="0"/>
    <n v="280"/>
    <n v="5553"/>
    <n v="0"/>
    <n v="123"/>
    <n v="95"/>
    <n v="0"/>
    <n v="12"/>
    <n v="676"/>
    <n v="573"/>
    <n v="2846"/>
    <n v="0"/>
    <n v="20"/>
    <n v="406"/>
    <n v="16981"/>
    <n v="5676"/>
    <n v="3272"/>
  </r>
  <r>
    <s v="Monthly-AE-October-2024-revised.csv"/>
    <x v="12"/>
    <s v="RH8"/>
    <s v="NHS ENGLAND SOUTH WEST "/>
    <x v="186"/>
    <n v="12376"/>
    <n v="0"/>
    <n v="4635"/>
    <n v="1180"/>
    <n v="0"/>
    <n v="75"/>
    <n v="5046"/>
    <n v="0"/>
    <n v="5"/>
    <n v="409"/>
    <n v="0"/>
    <n v="0"/>
    <n v="1712"/>
    <n v="109"/>
    <n v="4090"/>
    <n v="0"/>
    <n v="0"/>
    <n v="2289"/>
    <n v="17011"/>
    <n v="5051"/>
    <n v="6379"/>
  </r>
  <r>
    <s v="Monthly-AE-October-2024-revised.csv"/>
    <x v="12"/>
    <s v="RJE"/>
    <s v="NHS ENGLAND MIDLANDS "/>
    <x v="84"/>
    <n v="13787"/>
    <n v="540"/>
    <n v="8450"/>
    <n v="755"/>
    <n v="0"/>
    <n v="547"/>
    <n v="7662"/>
    <n v="0"/>
    <n v="83"/>
    <n v="381"/>
    <n v="0"/>
    <n v="22"/>
    <n v="998"/>
    <n v="1126"/>
    <n v="5134"/>
    <n v="0"/>
    <n v="0"/>
    <n v="3897"/>
    <n v="22777"/>
    <n v="7745"/>
    <n v="9031"/>
  </r>
  <r>
    <s v="Monthly-AE-October-2024-revised.csv"/>
    <x v="12"/>
    <s v="RK9"/>
    <s v="NHS ENGLAND SOUTH WEST "/>
    <x v="139"/>
    <n v="9604"/>
    <n v="154"/>
    <n v="5208"/>
    <n v="0"/>
    <n v="0"/>
    <n v="0"/>
    <n v="4906"/>
    <n v="0"/>
    <n v="106"/>
    <n v="0"/>
    <n v="0"/>
    <n v="0"/>
    <n v="577"/>
    <n v="718"/>
    <n v="2947"/>
    <n v="0"/>
    <n v="0"/>
    <n v="1484"/>
    <n v="14966"/>
    <n v="5012"/>
    <n v="4431"/>
  </r>
  <r>
    <s v="Monthly-AE-October-2024-revised.csv"/>
    <x v="12"/>
    <s v="RKB"/>
    <s v="NHS ENGLAND MIDLANDS "/>
    <x v="140"/>
    <n v="12224"/>
    <n v="837"/>
    <n v="6415"/>
    <n v="0"/>
    <n v="0"/>
    <n v="0"/>
    <n v="5748"/>
    <n v="157"/>
    <n v="229"/>
    <n v="0"/>
    <n v="0"/>
    <n v="0"/>
    <n v="102"/>
    <n v="39"/>
    <n v="1854"/>
    <n v="33"/>
    <n v="120"/>
    <n v="586"/>
    <n v="19476"/>
    <n v="6134"/>
    <n v="2593"/>
  </r>
  <r>
    <s v="Monthly-AE-October-2024-revised.csv"/>
    <x v="12"/>
    <s v="RL4"/>
    <s v="NHS ENGLAND MIDLANDS "/>
    <x v="85"/>
    <n v="13180"/>
    <n v="0"/>
    <n v="8034"/>
    <n v="105"/>
    <n v="0"/>
    <n v="774"/>
    <n v="4103"/>
    <n v="0"/>
    <n v="84"/>
    <n v="18"/>
    <n v="0"/>
    <n v="0"/>
    <n v="984"/>
    <n v="553"/>
    <n v="5950"/>
    <n v="0"/>
    <n v="0"/>
    <n v="957"/>
    <n v="21214"/>
    <n v="4187"/>
    <n v="6907"/>
  </r>
  <r>
    <s v="Monthly-AE-October-2024-revised.csv"/>
    <x v="12"/>
    <s v="RMP"/>
    <s v="NHS ENGLAND NORTH WEST "/>
    <x v="143"/>
    <n v="9228"/>
    <n v="0"/>
    <n v="2817"/>
    <n v="422"/>
    <n v="0"/>
    <n v="346"/>
    <n v="4461"/>
    <n v="0"/>
    <n v="0"/>
    <n v="0"/>
    <n v="0"/>
    <n v="0"/>
    <n v="582"/>
    <n v="475"/>
    <n v="1905"/>
    <n v="0"/>
    <n v="0"/>
    <n v="339"/>
    <n v="12045"/>
    <n v="4461"/>
    <n v="2244"/>
  </r>
  <r>
    <s v="Monthly-AE-October-2024-revised.csv"/>
    <x v="12"/>
    <s v="RN7"/>
    <s v="NHS ENGLAND SOUTH EAST "/>
    <x v="171"/>
    <n v="11331"/>
    <n v="0"/>
    <n v="3867"/>
    <n v="0"/>
    <n v="0"/>
    <n v="0"/>
    <n v="3976"/>
    <n v="0"/>
    <n v="18"/>
    <n v="0"/>
    <n v="0"/>
    <n v="0"/>
    <n v="678"/>
    <n v="168"/>
    <n v="3152"/>
    <n v="0"/>
    <n v="0"/>
    <n v="433"/>
    <n v="15198"/>
    <n v="3994"/>
    <n v="3585"/>
  </r>
  <r>
    <s v="Monthly-AE-October-2024-revised.csv"/>
    <x v="12"/>
    <s v="RNN"/>
    <s v="NHS ENGLAND NORTH EAST AND YORKSHIRE "/>
    <x v="111"/>
    <n v="9056"/>
    <n v="0"/>
    <n v="1685"/>
    <n v="317"/>
    <n v="0"/>
    <n v="26"/>
    <n v="4164"/>
    <n v="0"/>
    <n v="46"/>
    <n v="77"/>
    <n v="0"/>
    <n v="0"/>
    <n v="776"/>
    <n v="725"/>
    <n v="2430"/>
    <n v="0"/>
    <n v="0"/>
    <n v="776"/>
    <n v="10741"/>
    <n v="4210"/>
    <n v="3206"/>
  </r>
  <r>
    <s v="Monthly-AE-October-2024-revised.csv"/>
    <x v="12"/>
    <s v="RNU"/>
    <s v="NHS ENGLAND SOUTH EAST "/>
    <x v="112"/>
    <n v="0"/>
    <n v="0"/>
    <n v="4116"/>
    <n v="0"/>
    <n v="0"/>
    <n v="0"/>
    <n v="0"/>
    <n v="0"/>
    <n v="449"/>
    <n v="0"/>
    <n v="0"/>
    <n v="0"/>
    <n v="0"/>
    <n v="0"/>
    <n v="0"/>
    <n v="0"/>
    <n v="0"/>
    <n v="0"/>
    <n v="4116"/>
    <n v="449"/>
    <n v="0"/>
  </r>
  <r>
    <s v="Monthly-AE-October-2024-revised.csv"/>
    <x v="12"/>
    <s v="RNZ"/>
    <s v="NHS ENGLAND SOUTH WEST "/>
    <x v="144"/>
    <n v="4690"/>
    <n v="376"/>
    <n v="1679"/>
    <n v="134"/>
    <n v="0"/>
    <n v="0"/>
    <n v="2061"/>
    <n v="0"/>
    <n v="0"/>
    <n v="61"/>
    <n v="0"/>
    <n v="0"/>
    <n v="483"/>
    <n v="3"/>
    <n v="1412"/>
    <n v="0"/>
    <n v="0"/>
    <n v="1040"/>
    <n v="6745"/>
    <n v="2061"/>
    <n v="2452"/>
  </r>
  <r>
    <s v="Monthly-AE-October-2024-revised.csv"/>
    <x v="12"/>
    <s v="RRK"/>
    <s v="NHS ENGLAND MIDLANDS "/>
    <x v="87"/>
    <n v="35181"/>
    <n v="336"/>
    <n v="1655"/>
    <n v="14"/>
    <n v="0"/>
    <n v="218"/>
    <n v="13653"/>
    <n v="0"/>
    <n v="18"/>
    <n v="5"/>
    <n v="0"/>
    <n v="5"/>
    <n v="2234"/>
    <n v="2232"/>
    <n v="11498"/>
    <n v="0"/>
    <n v="0"/>
    <n v="7137"/>
    <n v="37172"/>
    <n v="13671"/>
    <n v="18635"/>
  </r>
  <r>
    <s v="Monthly-AE-October-2024-revised.csv"/>
    <x v="12"/>
    <s v="RTG"/>
    <s v="NHS ENGLAND MIDLANDS "/>
    <x v="88"/>
    <n v="20565"/>
    <n v="0"/>
    <n v="9671"/>
    <n v="1830"/>
    <n v="0"/>
    <n v="32"/>
    <n v="9532"/>
    <n v="0"/>
    <n v="1"/>
    <n v="437"/>
    <n v="0"/>
    <n v="0"/>
    <n v="970"/>
    <n v="1095"/>
    <n v="4166"/>
    <n v="0"/>
    <n v="1"/>
    <n v="2043"/>
    <n v="30236"/>
    <n v="9533"/>
    <n v="6210"/>
  </r>
  <r>
    <s v="Monthly-AE-October-2024-revised.csv"/>
    <x v="12"/>
    <s v="RTK"/>
    <s v="NHS ENGLAND SOUTH EAST "/>
    <x v="114"/>
    <n v="10318"/>
    <n v="0"/>
    <n v="0"/>
    <n v="0"/>
    <n v="0"/>
    <n v="0"/>
    <n v="3390"/>
    <n v="0"/>
    <n v="0"/>
    <n v="0"/>
    <n v="0"/>
    <n v="0"/>
    <n v="465"/>
    <n v="385"/>
    <n v="2878"/>
    <n v="0"/>
    <n v="0"/>
    <n v="584"/>
    <n v="10318"/>
    <n v="3390"/>
    <n v="3462"/>
  </r>
  <r>
    <s v="Monthly-AE-October-2024-revised.csv"/>
    <x v="12"/>
    <s v="RVW"/>
    <s v="NHS ENGLAND NORTH EAST AND YORKSHIRE "/>
    <x v="90"/>
    <n v="4918"/>
    <n v="0"/>
    <n v="11890"/>
    <n v="0"/>
    <n v="0"/>
    <n v="0"/>
    <n v="2682"/>
    <n v="0"/>
    <n v="39"/>
    <n v="0"/>
    <n v="0"/>
    <n v="0"/>
    <n v="228"/>
    <n v="3"/>
    <n v="1760"/>
    <n v="0"/>
    <n v="543"/>
    <n v="2470"/>
    <n v="16808"/>
    <n v="2721"/>
    <n v="4773"/>
  </r>
  <r>
    <s v="Monthly-AE-October-2024-revised.csv"/>
    <x v="12"/>
    <s v="RWA"/>
    <s v="NHS ENGLAND NORTH EAST AND YORKSHIRE "/>
    <x v="116"/>
    <n v="9919"/>
    <n v="0"/>
    <n v="4728"/>
    <n v="0"/>
    <n v="0"/>
    <n v="0"/>
    <n v="5907"/>
    <n v="0"/>
    <n v="107"/>
    <n v="0"/>
    <n v="0"/>
    <n v="0"/>
    <n v="963"/>
    <n v="575"/>
    <n v="3652"/>
    <n v="0"/>
    <n v="0"/>
    <n v="2344"/>
    <n v="14647"/>
    <n v="6014"/>
    <n v="5996"/>
  </r>
  <r>
    <s v="Monthly-AE-October-2024-revised.csv"/>
    <x v="12"/>
    <s v="RWE"/>
    <s v="NHS ENGLAND MIDLANDS "/>
    <x v="117"/>
    <n v="22203"/>
    <n v="1913"/>
    <n v="0"/>
    <n v="0"/>
    <n v="0"/>
    <n v="0"/>
    <n v="9625"/>
    <n v="174"/>
    <n v="0"/>
    <n v="0"/>
    <n v="0"/>
    <n v="0"/>
    <n v="1490"/>
    <n v="1105"/>
    <n v="6432"/>
    <n v="2"/>
    <n v="0"/>
    <n v="3643"/>
    <n v="24116"/>
    <n v="9799"/>
    <n v="10077"/>
  </r>
  <r>
    <s v="Monthly-AE-October-2024-revised.csv"/>
    <x v="12"/>
    <s v="RXC"/>
    <s v="NHS ENGLAND SOUTH EAST "/>
    <x v="70"/>
    <n v="8782"/>
    <n v="0"/>
    <n v="2483"/>
    <n v="1446"/>
    <n v="0"/>
    <n v="1457"/>
    <n v="4124"/>
    <n v="0"/>
    <n v="61"/>
    <n v="0"/>
    <n v="0"/>
    <n v="0"/>
    <n v="236"/>
    <n v="71"/>
    <n v="3450"/>
    <n v="0"/>
    <n v="0"/>
    <n v="475"/>
    <n v="11265"/>
    <n v="4185"/>
    <n v="3925"/>
  </r>
  <r>
    <s v="Monthly-AE-October-2024-revised.csv"/>
    <x v="12"/>
    <s v="RXK"/>
    <s v="NHS ENGLAND MIDLANDS "/>
    <x v="119"/>
    <n v="13983"/>
    <n v="1112"/>
    <n v="8755"/>
    <n v="862"/>
    <n v="0"/>
    <n v="0"/>
    <n v="6437"/>
    <n v="159"/>
    <n v="257"/>
    <n v="0"/>
    <n v="0"/>
    <n v="0"/>
    <n v="887"/>
    <n v="185"/>
    <n v="2773"/>
    <n v="33"/>
    <n v="0"/>
    <n v="566"/>
    <n v="23850"/>
    <n v="6853"/>
    <n v="3372"/>
  </r>
  <r>
    <s v="Monthly-AE-October-2024-revised.csv"/>
    <x v="12"/>
    <s v="RXR"/>
    <s v="NHS ENGLAND NORTH WEST "/>
    <x v="92"/>
    <n v="13289"/>
    <n v="0"/>
    <n v="10241"/>
    <n v="0"/>
    <n v="0"/>
    <n v="0"/>
    <n v="4885"/>
    <n v="0"/>
    <n v="577"/>
    <n v="0"/>
    <n v="0"/>
    <n v="0"/>
    <n v="476"/>
    <n v="1119"/>
    <n v="4103"/>
    <n v="0"/>
    <n v="69"/>
    <n v="1632"/>
    <n v="23530"/>
    <n v="5462"/>
    <n v="5804"/>
  </r>
  <r>
    <s v="Monthly-AE-October-2024-revised.csv"/>
    <x v="12"/>
    <s v="RY2"/>
    <s v="NHS ENGLAND NORTH WEST "/>
    <x v="73"/>
    <n v="0"/>
    <n v="0"/>
    <n v="3175"/>
    <n v="0"/>
    <n v="0"/>
    <n v="172"/>
    <n v="0"/>
    <n v="0"/>
    <n v="48"/>
    <n v="0"/>
    <n v="0"/>
    <n v="0"/>
    <n v="0"/>
    <n v="0"/>
    <n v="0"/>
    <n v="0"/>
    <n v="0"/>
    <n v="0"/>
    <n v="3175"/>
    <n v="48"/>
    <n v="0"/>
  </r>
  <r>
    <s v="Monthly-AE-October-2024-revised.csv"/>
    <x v="12"/>
    <s v="RY4"/>
    <s v="NHS ENGLAND EAST OF ENGLAND "/>
    <x v="93"/>
    <n v="0"/>
    <n v="0"/>
    <n v="1192"/>
    <n v="0"/>
    <n v="0"/>
    <n v="0"/>
    <n v="0"/>
    <n v="0"/>
    <n v="45"/>
    <n v="0"/>
    <n v="0"/>
    <n v="0"/>
    <n v="0"/>
    <n v="0"/>
    <n v="0"/>
    <n v="0"/>
    <n v="0"/>
    <n v="0"/>
    <n v="1192"/>
    <n v="45"/>
    <n v="0"/>
  </r>
  <r>
    <s v="Monthly-AE-October-2024-revised.csv"/>
    <x v="12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8"/>
    <n v="85"/>
    <n v="0"/>
    <n v="0"/>
    <n v="93"/>
  </r>
  <r>
    <s v="Monthly-AE-October-2024-revised.csv"/>
    <x v="12"/>
    <s v="RYR"/>
    <s v="NHS ENGLAND SOUTH EAST "/>
    <x v="122"/>
    <n v="22675"/>
    <n v="1532"/>
    <n v="5384"/>
    <n v="1305"/>
    <n v="0"/>
    <n v="1062"/>
    <n v="9442"/>
    <n v="34"/>
    <n v="445"/>
    <n v="420"/>
    <n v="0"/>
    <n v="28"/>
    <n v="1479"/>
    <n v="1413"/>
    <n v="8823"/>
    <n v="31"/>
    <n v="48"/>
    <n v="1478"/>
    <n v="29591"/>
    <n v="9921"/>
    <n v="10380"/>
  </r>
  <r>
    <s v="Monthly-AE-October-2024-revised.csv"/>
    <x v="12"/>
    <s v="Y02147"/>
    <s v="NHS ENGLAND LONDON"/>
    <x v="29"/>
    <n v="0"/>
    <n v="0"/>
    <n v="7773"/>
    <n v="0"/>
    <n v="0"/>
    <n v="481"/>
    <n v="0"/>
    <n v="0"/>
    <n v="199"/>
    <n v="0"/>
    <n v="0"/>
    <n v="7"/>
    <n v="0"/>
    <n v="0"/>
    <n v="0"/>
    <n v="0"/>
    <n v="0"/>
    <n v="0"/>
    <n v="7773"/>
    <n v="199"/>
    <n v="0"/>
  </r>
  <r>
    <s v="Monthly-AE-October-2024-revised.csv"/>
    <x v="12"/>
    <s v="AJN"/>
    <s v="NHS ENGLAND NORTH EAST AND YORKSHIRE "/>
    <x v="94"/>
    <n v="0"/>
    <n v="0"/>
    <n v="352"/>
    <n v="0"/>
    <n v="0"/>
    <n v="0"/>
    <n v="0"/>
    <n v="0"/>
    <n v="0"/>
    <n v="0"/>
    <n v="0"/>
    <n v="0"/>
    <n v="0"/>
    <n v="0"/>
    <n v="0"/>
    <n v="0"/>
    <n v="0"/>
    <n v="0"/>
    <n v="352"/>
    <n v="0"/>
    <n v="0"/>
  </r>
  <r>
    <s v="Monthly-AE-October-2024-revised.csv"/>
    <x v="12"/>
    <s v="R1F"/>
    <s v="NHS ENGLAND SOUTH EAST "/>
    <x v="127"/>
    <n v="4072"/>
    <n v="291"/>
    <n v="1357"/>
    <n v="20"/>
    <n v="0"/>
    <n v="14"/>
    <n v="1920"/>
    <n v="0"/>
    <n v="0"/>
    <n v="6"/>
    <n v="0"/>
    <n v="0"/>
    <n v="263"/>
    <n v="121"/>
    <n v="985"/>
    <n v="0"/>
    <n v="0"/>
    <n v="318"/>
    <n v="5720"/>
    <n v="1920"/>
    <n v="1303"/>
  </r>
  <r>
    <s v="Monthly-AE-October-2024-revised.csv"/>
    <x v="12"/>
    <s v="RA2"/>
    <s v="NHS ENGLAND SOUTH EAST "/>
    <x v="97"/>
    <n v="6970"/>
    <n v="0"/>
    <n v="1411"/>
    <n v="771"/>
    <n v="0"/>
    <n v="7"/>
    <n v="2175"/>
    <n v="0"/>
    <n v="0"/>
    <n v="189"/>
    <n v="0"/>
    <n v="0"/>
    <n v="378"/>
    <n v="30"/>
    <n v="2445"/>
    <n v="0"/>
    <n v="0"/>
    <n v="1104"/>
    <n v="8381"/>
    <n v="2175"/>
    <n v="3549"/>
  </r>
  <r>
    <s v="Monthly-AE-October-2024-revised.csv"/>
    <x v="12"/>
    <s v="RC9"/>
    <s v="NHS ENGLAND EAST OF ENGLAND "/>
    <x v="131"/>
    <n v="16766"/>
    <n v="0"/>
    <n v="8207"/>
    <n v="0"/>
    <n v="0"/>
    <n v="865"/>
    <n v="6847"/>
    <n v="0"/>
    <n v="0"/>
    <n v="0"/>
    <n v="0"/>
    <n v="0"/>
    <n v="81"/>
    <n v="49"/>
    <n v="4735"/>
    <n v="0"/>
    <n v="0"/>
    <n v="2331"/>
    <n v="24973"/>
    <n v="6847"/>
    <n v="7066"/>
  </r>
  <r>
    <s v="Monthly-AE-October-2024-revised.csv"/>
    <x v="12"/>
    <s v="RD1"/>
    <s v="NHS ENGLAND SOUTH WEST "/>
    <x v="165"/>
    <n v="8824"/>
    <n v="0"/>
    <n v="0"/>
    <n v="0"/>
    <n v="0"/>
    <n v="0"/>
    <n v="3593"/>
    <n v="0"/>
    <n v="0"/>
    <n v="0"/>
    <n v="0"/>
    <n v="0"/>
    <n v="742"/>
    <n v="123"/>
    <n v="2539"/>
    <n v="0"/>
    <n v="12"/>
    <n v="1668"/>
    <n v="8824"/>
    <n v="3593"/>
    <n v="4219"/>
  </r>
  <r>
    <s v="Monthly-AE-October-2024-revised.csv"/>
    <x v="12"/>
    <s v="RDE"/>
    <s v="NHS ENGLAND EAST OF ENGLAND "/>
    <x v="132"/>
    <n v="14759"/>
    <n v="0"/>
    <n v="12190"/>
    <n v="830"/>
    <n v="0"/>
    <n v="276"/>
    <n v="7564"/>
    <n v="0"/>
    <n v="282"/>
    <n v="0"/>
    <n v="0"/>
    <n v="0"/>
    <n v="1263"/>
    <n v="541"/>
    <n v="6386"/>
    <n v="0"/>
    <n v="386"/>
    <n v="1167"/>
    <n v="26949"/>
    <n v="7846"/>
    <n v="7939"/>
  </r>
  <r>
    <s v="Monthly-AE-October-2024-revised.csv"/>
    <x v="12"/>
    <s v="RDR"/>
    <s v="NHS ENGLAND SOUTH EAST "/>
    <x v="166"/>
    <n v="0"/>
    <n v="0"/>
    <n v="11958"/>
    <n v="0"/>
    <n v="0"/>
    <n v="0"/>
    <n v="0"/>
    <n v="0"/>
    <n v="86"/>
    <n v="0"/>
    <n v="0"/>
    <n v="0"/>
    <n v="0"/>
    <n v="0"/>
    <n v="0"/>
    <n v="0"/>
    <n v="0"/>
    <n v="0"/>
    <n v="11958"/>
    <n v="86"/>
    <n v="0"/>
  </r>
  <r>
    <s v="Monthly-AE-October-2024-revised.csv"/>
    <x v="12"/>
    <s v="RFS"/>
    <s v="NHS ENGLAND MIDLANDS "/>
    <x v="133"/>
    <n v="7336"/>
    <n v="0"/>
    <n v="6024"/>
    <n v="248"/>
    <n v="0"/>
    <n v="127"/>
    <n v="4047"/>
    <n v="0"/>
    <n v="307"/>
    <n v="117"/>
    <n v="0"/>
    <n v="11"/>
    <n v="1195"/>
    <n v="213"/>
    <n v="2948"/>
    <n v="0"/>
    <n v="266"/>
    <n v="681"/>
    <n v="13360"/>
    <n v="4354"/>
    <n v="3895"/>
  </r>
  <r>
    <s v="Monthly-AE-October-2024-revised.csv"/>
    <x v="12"/>
    <s v="RHQ"/>
    <s v="NHS ENGLAND NORTH EAST AND YORKSHIRE "/>
    <x v="168"/>
    <n v="9401"/>
    <n v="1200"/>
    <n v="7950"/>
    <n v="373"/>
    <n v="2"/>
    <n v="992"/>
    <n v="5243"/>
    <n v="0"/>
    <n v="193"/>
    <n v="186"/>
    <n v="0"/>
    <n v="28"/>
    <n v="1514"/>
    <n v="18"/>
    <n v="3820"/>
    <n v="0"/>
    <n v="0"/>
    <n v="3123"/>
    <n v="18551"/>
    <n v="5436"/>
    <n v="6943"/>
  </r>
  <r>
    <s v="Monthly-AE-October-2024-revised.csv"/>
    <x v="12"/>
    <s v="RJ1"/>
    <s v="NHS ENGLAND LONDON"/>
    <x v="135"/>
    <n v="10724"/>
    <n v="763"/>
    <n v="7247"/>
    <n v="0"/>
    <n v="0"/>
    <n v="0"/>
    <n v="4889"/>
    <n v="67"/>
    <n v="353"/>
    <n v="0"/>
    <n v="0"/>
    <n v="0"/>
    <n v="189"/>
    <n v="76"/>
    <n v="2185"/>
    <n v="0"/>
    <n v="0"/>
    <n v="288"/>
    <n v="18734"/>
    <n v="5309"/>
    <n v="2473"/>
  </r>
  <r>
    <s v="Monthly-AE-October-2024-revised.csv"/>
    <x v="12"/>
    <s v="RJZ"/>
    <s v="NHS ENGLAND LONDON"/>
    <x v="62"/>
    <n v="15923"/>
    <n v="0"/>
    <n v="8840"/>
    <n v="60"/>
    <n v="0"/>
    <n v="1252"/>
    <n v="7443"/>
    <n v="0"/>
    <n v="542"/>
    <n v="19"/>
    <n v="0"/>
    <n v="1"/>
    <n v="1818"/>
    <n v="828"/>
    <n v="4072"/>
    <n v="0"/>
    <n v="0"/>
    <n v="311"/>
    <n v="24763"/>
    <n v="7985"/>
    <n v="4383"/>
  </r>
  <r>
    <s v="Monthly-AE-October-2024-revised.csv"/>
    <x v="12"/>
    <s v="RKE"/>
    <s v="NHS ENGLAND LONDON"/>
    <x v="170"/>
    <n v="9209"/>
    <n v="0"/>
    <n v="0"/>
    <n v="0"/>
    <n v="0"/>
    <n v="0"/>
    <n v="2424"/>
    <n v="0"/>
    <n v="0"/>
    <n v="0"/>
    <n v="0"/>
    <n v="0"/>
    <n v="237"/>
    <n v="331"/>
    <n v="1357"/>
    <n v="0"/>
    <n v="0"/>
    <n v="50"/>
    <n v="9209"/>
    <n v="2424"/>
    <n v="1407"/>
  </r>
  <r>
    <s v="Monthly-AE-October-2024-revised.csv"/>
    <x v="12"/>
    <s v="RLT"/>
    <s v="NHS ENGLAND MIDLANDS "/>
    <x v="141"/>
    <n v="6953"/>
    <n v="0"/>
    <n v="1734"/>
    <n v="0"/>
    <n v="0"/>
    <n v="0"/>
    <n v="2358"/>
    <n v="0"/>
    <n v="29"/>
    <n v="0"/>
    <n v="0"/>
    <n v="0"/>
    <n v="523"/>
    <n v="380"/>
    <n v="1151"/>
    <n v="0"/>
    <n v="0"/>
    <n v="39"/>
    <n v="8687"/>
    <n v="2387"/>
    <n v="1190"/>
  </r>
  <r>
    <s v="Monthly-AE-October-2024-revised.csv"/>
    <x v="12"/>
    <s v="RN5"/>
    <s v="NHS ENGLAND SOUTH EAST "/>
    <x v="110"/>
    <n v="13049"/>
    <n v="65"/>
    <n v="604"/>
    <n v="0"/>
    <n v="0"/>
    <n v="153"/>
    <n v="5325"/>
    <n v="0"/>
    <n v="0"/>
    <n v="0"/>
    <n v="0"/>
    <n v="0"/>
    <n v="241"/>
    <n v="23"/>
    <n v="4536"/>
    <n v="6"/>
    <n v="0"/>
    <n v="1205"/>
    <n v="13718"/>
    <n v="5325"/>
    <n v="5747"/>
  </r>
  <r>
    <s v="Monthly-AE-October-2024-revised.csv"/>
    <x v="12"/>
    <s v="RNA"/>
    <s v="NHS ENGLAND MIDLANDS "/>
    <x v="63"/>
    <n v="10125"/>
    <n v="0"/>
    <n v="4534"/>
    <n v="0"/>
    <n v="0"/>
    <n v="741"/>
    <n v="2666"/>
    <n v="0"/>
    <n v="116"/>
    <n v="0"/>
    <n v="0"/>
    <n v="0"/>
    <n v="2207"/>
    <n v="70"/>
    <n v="3683"/>
    <n v="0"/>
    <n v="0"/>
    <n v="2575"/>
    <n v="14659"/>
    <n v="2782"/>
    <n v="6258"/>
  </r>
  <r>
    <s v="Monthly-AE-October-2024-revised.csv"/>
    <x v="12"/>
    <s v="RP5"/>
    <s v="NHS ENGLAND NORTH EAST AND YORKSHIRE "/>
    <x v="145"/>
    <n v="13574"/>
    <n v="0"/>
    <n v="4089"/>
    <n v="0"/>
    <n v="0"/>
    <n v="0"/>
    <n v="5246"/>
    <n v="0"/>
    <n v="2"/>
    <n v="0"/>
    <n v="0"/>
    <n v="0"/>
    <n v="1059"/>
    <n v="271"/>
    <n v="4266"/>
    <n v="0"/>
    <n v="519"/>
    <n v="1213"/>
    <n v="17663"/>
    <n v="5248"/>
    <n v="5998"/>
  </r>
  <r>
    <s v="Monthly-AE-October-2024-revised.csv"/>
    <x v="12"/>
    <s v="RPA"/>
    <s v="NHS ENGLAND SOUTH EAST "/>
    <x v="146"/>
    <n v="9262"/>
    <n v="0"/>
    <n v="6334"/>
    <n v="351"/>
    <n v="0"/>
    <n v="910"/>
    <n v="3029"/>
    <n v="0"/>
    <n v="469"/>
    <n v="68"/>
    <n v="0"/>
    <n v="0"/>
    <n v="338"/>
    <n v="693"/>
    <n v="1830"/>
    <n v="0"/>
    <n v="0"/>
    <n v="622"/>
    <n v="15596"/>
    <n v="3498"/>
    <n v="2452"/>
  </r>
  <r>
    <s v="Monthly-AE-October-2024-revised.csv"/>
    <x v="12"/>
    <s v="RQM"/>
    <s v="NHS ENGLAND LONDON"/>
    <x v="147"/>
    <n v="19934"/>
    <n v="0"/>
    <n v="6442"/>
    <n v="580"/>
    <n v="0"/>
    <n v="0"/>
    <n v="6299"/>
    <n v="0"/>
    <n v="76"/>
    <n v="0"/>
    <n v="0"/>
    <n v="0"/>
    <n v="1181"/>
    <n v="72"/>
    <n v="2850"/>
    <n v="0"/>
    <n v="0"/>
    <n v="397"/>
    <n v="26376"/>
    <n v="6375"/>
    <n v="3247"/>
  </r>
  <r>
    <s v="Monthly-AE-October-2024-revised.csv"/>
    <x v="12"/>
    <s v="RRF"/>
    <s v="NHS ENGLAND NORTH WEST "/>
    <x v="150"/>
    <n v="7459"/>
    <n v="0"/>
    <n v="5095"/>
    <n v="0"/>
    <n v="0"/>
    <n v="0"/>
    <n v="3748"/>
    <n v="0"/>
    <n v="39"/>
    <n v="0"/>
    <n v="0"/>
    <n v="0"/>
    <n v="1249"/>
    <n v="429"/>
    <n v="2418"/>
    <n v="0"/>
    <n v="0"/>
    <n v="808"/>
    <n v="12554"/>
    <n v="3787"/>
    <n v="3226"/>
  </r>
  <r>
    <s v="Monthly-AE-October-2024-revised.csv"/>
    <x v="12"/>
    <s v="RTD"/>
    <s v="NHS ENGLAND NORTH EAST AND YORKSHIRE "/>
    <x v="180"/>
    <n v="13523"/>
    <n v="1725"/>
    <n v="5578"/>
    <n v="0"/>
    <n v="0"/>
    <n v="1010"/>
    <n v="5402"/>
    <n v="157"/>
    <n v="0"/>
    <n v="0"/>
    <n v="0"/>
    <n v="0"/>
    <n v="709"/>
    <n v="31"/>
    <n v="3487"/>
    <n v="12"/>
    <n v="0"/>
    <n v="2912"/>
    <n v="20826"/>
    <n v="5559"/>
    <n v="6411"/>
  </r>
  <r>
    <s v="Monthly-AE-October-2024-revised.csv"/>
    <x v="12"/>
    <s v="RTE"/>
    <s v="NHS ENGLAND SOUTH WEST "/>
    <x v="151"/>
    <n v="13122"/>
    <n v="0"/>
    <n v="0"/>
    <n v="207"/>
    <n v="0"/>
    <n v="0"/>
    <n v="5153"/>
    <n v="0"/>
    <n v="0"/>
    <n v="54"/>
    <n v="0"/>
    <n v="0"/>
    <n v="385"/>
    <n v="597"/>
    <n v="2666"/>
    <n v="0"/>
    <n v="0"/>
    <n v="2307"/>
    <n v="13122"/>
    <n v="5153"/>
    <n v="4973"/>
  </r>
  <r>
    <s v="Monthly-AE-October-2024-revised.csv"/>
    <x v="12"/>
    <s v="RTR"/>
    <s v="NHS ENGLAND NORTH EAST AND YORKSHIRE "/>
    <x v="153"/>
    <n v="7962"/>
    <n v="0"/>
    <n v="9112"/>
    <n v="0"/>
    <n v="0"/>
    <n v="1695"/>
    <n v="4212"/>
    <n v="0"/>
    <n v="667"/>
    <n v="0"/>
    <n v="0"/>
    <n v="97"/>
    <n v="458"/>
    <n v="33"/>
    <n v="2977"/>
    <n v="0"/>
    <n v="131"/>
    <n v="2520"/>
    <n v="17074"/>
    <n v="4879"/>
    <n v="5628"/>
  </r>
  <r>
    <s v="Monthly-AE-October-2024-revised.csv"/>
    <x v="12"/>
    <s v="RVJ"/>
    <s v="NHS ENGLAND SOUTH WEST "/>
    <x v="89"/>
    <n v="9291"/>
    <n v="0"/>
    <n v="0"/>
    <n v="26"/>
    <n v="0"/>
    <n v="0"/>
    <n v="3842"/>
    <n v="0"/>
    <n v="0"/>
    <n v="6"/>
    <n v="0"/>
    <n v="0"/>
    <n v="626"/>
    <n v="419"/>
    <n v="3223"/>
    <n v="0"/>
    <n v="0"/>
    <n v="2096"/>
    <n v="9291"/>
    <n v="3842"/>
    <n v="5319"/>
  </r>
  <r>
    <s v="Monthly-AE-October-2024-revised.csv"/>
    <x v="12"/>
    <s v="RVR"/>
    <s v="NHS ENGLAND LONDON"/>
    <x v="154"/>
    <n v="11283"/>
    <n v="347"/>
    <n v="1356"/>
    <n v="318"/>
    <n v="1"/>
    <n v="15"/>
    <n v="3233"/>
    <n v="0"/>
    <n v="105"/>
    <n v="29"/>
    <n v="0"/>
    <n v="0"/>
    <n v="299"/>
    <n v="659"/>
    <n v="1935"/>
    <n v="3"/>
    <n v="0"/>
    <n v="140"/>
    <n v="12986"/>
    <n v="3338"/>
    <n v="2078"/>
  </r>
  <r>
    <s v="Monthly-AE-October-2024-revised.csv"/>
    <x v="12"/>
    <s v="RVV"/>
    <s v="NHS ENGLAND SOUTH EAST "/>
    <x v="155"/>
    <n v="13636"/>
    <n v="0"/>
    <n v="12703"/>
    <n v="0"/>
    <n v="0"/>
    <n v="0"/>
    <n v="6263"/>
    <n v="0"/>
    <n v="468"/>
    <n v="0"/>
    <n v="0"/>
    <n v="0"/>
    <n v="531"/>
    <n v="1171"/>
    <n v="3156"/>
    <n v="0"/>
    <n v="545"/>
    <n v="540"/>
    <n v="26339"/>
    <n v="6731"/>
    <n v="4241"/>
  </r>
  <r>
    <s v="Monthly-AE-October-2024-revised.csv"/>
    <x v="12"/>
    <s v="RWD"/>
    <s v="NHS ENGLAND MIDLANDS "/>
    <x v="156"/>
    <n v="10357"/>
    <n v="0"/>
    <n v="9820"/>
    <n v="0"/>
    <n v="0"/>
    <n v="0"/>
    <n v="6293"/>
    <n v="0"/>
    <n v="1247"/>
    <n v="0"/>
    <n v="0"/>
    <n v="0"/>
    <n v="1023"/>
    <n v="1171"/>
    <n v="4476"/>
    <n v="0"/>
    <n v="0"/>
    <n v="1081"/>
    <n v="20177"/>
    <n v="7540"/>
    <n v="5557"/>
  </r>
  <r>
    <s v="Monthly-AE-October-2024-revised.csv"/>
    <x v="12"/>
    <s v="RWH"/>
    <s v="NHS ENGLAND EAST OF ENGLAND "/>
    <x v="157"/>
    <n v="9362"/>
    <n v="0"/>
    <n v="7726"/>
    <n v="0"/>
    <n v="0"/>
    <n v="0"/>
    <n v="5240"/>
    <n v="0"/>
    <n v="148"/>
    <n v="0"/>
    <n v="0"/>
    <n v="0"/>
    <n v="234"/>
    <n v="107"/>
    <n v="3491"/>
    <n v="0"/>
    <n v="76"/>
    <n v="291"/>
    <n v="17088"/>
    <n v="5388"/>
    <n v="3858"/>
  </r>
  <r>
    <s v="Monthly-AE-October-2024-revised.csv"/>
    <x v="12"/>
    <s v="RWJ"/>
    <s v="NHS ENGLAND NORTH WEST "/>
    <x v="158"/>
    <n v="7968"/>
    <n v="0"/>
    <n v="1044"/>
    <n v="230"/>
    <n v="0"/>
    <n v="43"/>
    <n v="3404"/>
    <n v="0"/>
    <n v="35"/>
    <n v="88"/>
    <n v="0"/>
    <n v="4"/>
    <n v="820"/>
    <n v="299"/>
    <n v="2854"/>
    <n v="0"/>
    <n v="61"/>
    <n v="879"/>
    <n v="9012"/>
    <n v="3439"/>
    <n v="3794"/>
  </r>
  <r>
    <s v="Monthly-AE-October-2024-revised.csv"/>
    <x v="12"/>
    <s v="RX1"/>
    <s v="NHS ENGLAND MIDLANDS "/>
    <x v="69"/>
    <n v="16524"/>
    <n v="1792"/>
    <n v="320"/>
    <n v="117"/>
    <n v="0"/>
    <n v="0"/>
    <n v="9039"/>
    <n v="238"/>
    <n v="18"/>
    <n v="54"/>
    <n v="0"/>
    <n v="0"/>
    <n v="606"/>
    <n v="481"/>
    <n v="4594"/>
    <n v="0"/>
    <n v="0"/>
    <n v="4607"/>
    <n v="18636"/>
    <n v="9295"/>
    <n v="9201"/>
  </r>
  <r>
    <s v="Monthly-AE-October-2024-revised.csv"/>
    <x v="12"/>
    <s v="RXN"/>
    <s v="NHS ENGLAND NORTH WEST "/>
    <x v="91"/>
    <n v="12022"/>
    <n v="0"/>
    <n v="3620"/>
    <n v="254"/>
    <n v="0"/>
    <n v="90"/>
    <n v="4652"/>
    <n v="0"/>
    <n v="101"/>
    <n v="42"/>
    <n v="0"/>
    <n v="0"/>
    <n v="1108"/>
    <n v="409"/>
    <n v="3238"/>
    <n v="0"/>
    <n v="90"/>
    <n v="1329"/>
    <n v="15642"/>
    <n v="4753"/>
    <n v="4657"/>
  </r>
  <r>
    <s v="Monthly-AE-October-2024-revised.csv"/>
    <x v="12"/>
    <s v="RXP"/>
    <s v="NHS ENGLAND NORTH EAST AND YORKSHIRE "/>
    <x v="161"/>
    <n v="13500"/>
    <n v="0"/>
    <n v="4332"/>
    <n v="0"/>
    <n v="0"/>
    <n v="7236"/>
    <n v="5377"/>
    <n v="0"/>
    <n v="0"/>
    <n v="0"/>
    <n v="0"/>
    <n v="0"/>
    <n v="2186"/>
    <n v="23"/>
    <n v="4380"/>
    <n v="0"/>
    <n v="0"/>
    <n v="776"/>
    <n v="17832"/>
    <n v="5377"/>
    <n v="5156"/>
  </r>
  <r>
    <s v="Monthly-AE-October-2024-revised.csv"/>
    <x v="12"/>
    <s v="RYY"/>
    <s v="NHS ENGLAND SOUTH EAST "/>
    <x v="48"/>
    <n v="0"/>
    <n v="0"/>
    <n v="15413"/>
    <n v="0"/>
    <n v="0"/>
    <n v="0"/>
    <n v="0"/>
    <n v="0"/>
    <n v="61"/>
    <n v="0"/>
    <n v="0"/>
    <n v="0"/>
    <n v="0"/>
    <n v="0"/>
    <n v="0"/>
    <n v="0"/>
    <n v="0"/>
    <n v="0"/>
    <n v="15413"/>
    <n v="61"/>
    <n v="0"/>
  </r>
  <r>
    <s v="Monthly-AE-October-2024-revised.csv"/>
    <x v="12"/>
    <s v="Y02676"/>
    <s v="NHS ENGLAND SOUTH EAST "/>
    <x v="37"/>
    <n v="0"/>
    <n v="0"/>
    <n v="1902"/>
    <n v="0"/>
    <n v="0"/>
    <n v="0"/>
    <n v="0"/>
    <n v="0"/>
    <n v="0"/>
    <n v="0"/>
    <n v="0"/>
    <n v="0"/>
    <n v="0"/>
    <n v="0"/>
    <n v="0"/>
    <n v="0"/>
    <n v="0"/>
    <n v="0"/>
    <n v="1902"/>
    <n v="0"/>
    <n v="0"/>
  </r>
  <r>
    <s v="Monthly-AE-October-2024-revised.csv"/>
    <x v="12"/>
    <s v="R1D"/>
    <s v="NHS ENGLAND MIDLANDS "/>
    <x v="58"/>
    <n v="0"/>
    <n v="0"/>
    <n v="3110"/>
    <n v="0"/>
    <n v="0"/>
    <n v="0"/>
    <n v="0"/>
    <n v="0"/>
    <n v="12"/>
    <n v="0"/>
    <n v="0"/>
    <n v="0"/>
    <n v="0"/>
    <n v="0"/>
    <n v="0"/>
    <n v="0"/>
    <n v="0"/>
    <n v="0"/>
    <n v="3110"/>
    <n v="12"/>
    <n v="0"/>
  </r>
  <r>
    <s v="Monthly-AE-October-2024-revised.csv"/>
    <x v="12"/>
    <s v="R1H"/>
    <s v="NHS ENGLAND LONDON"/>
    <x v="96"/>
    <n v="25988"/>
    <n v="975"/>
    <n v="17703"/>
    <n v="0"/>
    <n v="0"/>
    <n v="0"/>
    <n v="11891"/>
    <n v="45"/>
    <n v="1311"/>
    <n v="0"/>
    <n v="0"/>
    <n v="0"/>
    <n v="1195"/>
    <n v="1199"/>
    <n v="4595"/>
    <n v="1"/>
    <n v="48"/>
    <n v="1169"/>
    <n v="44666"/>
    <n v="13247"/>
    <n v="5813"/>
  </r>
  <r>
    <s v="Monthly-AE-October-2024-revised.csv"/>
    <x v="12"/>
    <s v="RAP"/>
    <s v="NHS ENGLAND LONDON"/>
    <x v="129"/>
    <n v="8680"/>
    <n v="489"/>
    <n v="6834"/>
    <n v="73"/>
    <n v="0"/>
    <n v="110"/>
    <n v="4763"/>
    <n v="11"/>
    <n v="622"/>
    <n v="33"/>
    <n v="0"/>
    <n v="10"/>
    <n v="285"/>
    <n v="848"/>
    <n v="1507"/>
    <n v="0"/>
    <n v="157"/>
    <n v="77"/>
    <n v="16003"/>
    <n v="5396"/>
    <n v="1741"/>
  </r>
  <r>
    <s v="Monthly-AE-October-2024-revised.csv"/>
    <x v="12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745"/>
    <n v="0"/>
    <n v="0"/>
    <n v="745"/>
  </r>
  <r>
    <s v="Monthly-AE-October-2024-revised.csv"/>
    <x v="12"/>
    <s v="RET"/>
    <s v="NHS ENGLAND NORTH WEST "/>
    <x v="176"/>
    <n v="0"/>
    <n v="0"/>
    <n v="0"/>
    <n v="0"/>
    <n v="0"/>
    <n v="0"/>
    <n v="0"/>
    <n v="0"/>
    <n v="0"/>
    <n v="0"/>
    <n v="0"/>
    <n v="0"/>
    <n v="0"/>
    <n v="0"/>
    <n v="0"/>
    <n v="0"/>
    <n v="0"/>
    <n v="185"/>
    <n v="0"/>
    <n v="0"/>
    <n v="185"/>
  </r>
  <r>
    <s v="Monthly-AE-October-2024-revised.csv"/>
    <x v="12"/>
    <s v="RF4"/>
    <s v="NHS ENGLAND LONDON"/>
    <x v="167"/>
    <n v="13771"/>
    <n v="2423"/>
    <n v="13337"/>
    <n v="0"/>
    <n v="0"/>
    <n v="0"/>
    <n v="6197"/>
    <n v="322"/>
    <n v="153"/>
    <n v="0"/>
    <n v="0"/>
    <n v="0"/>
    <n v="759"/>
    <n v="753"/>
    <n v="8228"/>
    <n v="0"/>
    <n v="0"/>
    <n v="380"/>
    <n v="29531"/>
    <n v="6672"/>
    <n v="8608"/>
  </r>
  <r>
    <s v="Monthly-AE-October-2024-revised.csv"/>
    <x v="12"/>
    <s v="RHU"/>
    <s v="NHS ENGLAND SOUTH EAST "/>
    <x v="194"/>
    <n v="10460"/>
    <n v="830"/>
    <n v="3080"/>
    <n v="1196"/>
    <n v="0"/>
    <n v="709"/>
    <n v="6042"/>
    <n v="9"/>
    <n v="95"/>
    <n v="0"/>
    <n v="0"/>
    <n v="0"/>
    <n v="1594"/>
    <n v="131"/>
    <n v="3495"/>
    <n v="0"/>
    <n v="0"/>
    <n v="2617"/>
    <n v="14370"/>
    <n v="6146"/>
    <n v="6112"/>
  </r>
  <r>
    <s v="Monthly-AE-October-2024-revised.csv"/>
    <x v="12"/>
    <s v="RJ2"/>
    <s v="NHS ENGLAND LONDON"/>
    <x v="169"/>
    <n v="14416"/>
    <n v="0"/>
    <n v="10995"/>
    <n v="0"/>
    <n v="0"/>
    <n v="0"/>
    <n v="7615"/>
    <n v="0"/>
    <n v="1508"/>
    <n v="0"/>
    <n v="0"/>
    <n v="0"/>
    <n v="1215"/>
    <n v="802"/>
    <n v="4024"/>
    <n v="0"/>
    <n v="0"/>
    <n v="1474"/>
    <n v="25411"/>
    <n v="9123"/>
    <n v="5498"/>
  </r>
  <r>
    <s v="Monthly-AE-October-2024-revised.csv"/>
    <x v="12"/>
    <s v="RM1"/>
    <s v="NHS ENGLAND EAST OF ENGLAND "/>
    <x v="142"/>
    <n v="12575"/>
    <n v="0"/>
    <n v="8499"/>
    <n v="0"/>
    <n v="0"/>
    <n v="0"/>
    <n v="4452"/>
    <n v="0"/>
    <n v="2"/>
    <n v="0"/>
    <n v="0"/>
    <n v="0"/>
    <n v="1093"/>
    <n v="306"/>
    <n v="2703"/>
    <n v="0"/>
    <n v="0"/>
    <n v="1764"/>
    <n v="21074"/>
    <n v="4454"/>
    <n v="4467"/>
  </r>
  <r>
    <s v="Monthly-AE-October-2024-revised.csv"/>
    <x v="12"/>
    <s v="RR8"/>
    <s v="NHS ENGLAND NORTH EAST AND YORKSHIRE "/>
    <x v="149"/>
    <n v="18217"/>
    <n v="710"/>
    <n v="12262"/>
    <n v="34"/>
    <n v="0"/>
    <n v="57"/>
    <n v="8009"/>
    <n v="0"/>
    <n v="113"/>
    <n v="8"/>
    <n v="0"/>
    <n v="0"/>
    <n v="1783"/>
    <n v="461"/>
    <n v="3899"/>
    <n v="0"/>
    <n v="0"/>
    <n v="1319"/>
    <n v="31189"/>
    <n v="8122"/>
    <n v="5218"/>
  </r>
  <r>
    <s v="Monthly-AE-October-2024-revised.csv"/>
    <x v="12"/>
    <s v="RTF"/>
    <s v="NHS ENGLAND NORTH EAST AND YORKSHIRE "/>
    <x v="152"/>
    <n v="10277"/>
    <n v="0"/>
    <n v="12309"/>
    <n v="0"/>
    <n v="0"/>
    <n v="0"/>
    <n v="3054"/>
    <n v="0"/>
    <n v="4"/>
    <n v="0"/>
    <n v="0"/>
    <n v="0"/>
    <n v="113"/>
    <n v="1"/>
    <n v="4054"/>
    <n v="0"/>
    <n v="50"/>
    <n v="457"/>
    <n v="22586"/>
    <n v="3058"/>
    <n v="4561"/>
  </r>
  <r>
    <s v="Monthly-AE-October-2024-revised.csv"/>
    <x v="12"/>
    <s v="RWX"/>
    <s v="NHS ENGLAND SOUTH EAST "/>
    <x v="173"/>
    <n v="0"/>
    <n v="0"/>
    <n v="1470"/>
    <n v="0"/>
    <n v="0"/>
    <n v="0"/>
    <n v="0"/>
    <n v="0"/>
    <n v="14"/>
    <n v="0"/>
    <n v="0"/>
    <n v="0"/>
    <n v="0"/>
    <n v="0"/>
    <n v="0"/>
    <n v="0"/>
    <n v="28"/>
    <n v="0"/>
    <n v="1470"/>
    <n v="14"/>
    <n v="28"/>
  </r>
  <r>
    <s v="Monthly-AE-October-2024-revised.csv"/>
    <x v="12"/>
    <s v="RXF"/>
    <s v="NHS ENGLAND NORTH EAST AND YORKSHIRE "/>
    <x v="160"/>
    <n v="16821"/>
    <n v="162"/>
    <n v="6154"/>
    <n v="124"/>
    <n v="0"/>
    <n v="91"/>
    <n v="7417"/>
    <n v="0"/>
    <n v="466"/>
    <n v="2"/>
    <n v="0"/>
    <n v="2"/>
    <n v="2491"/>
    <n v="205"/>
    <n v="3833"/>
    <n v="0"/>
    <n v="166"/>
    <n v="891"/>
    <n v="23137"/>
    <n v="7883"/>
    <n v="4890"/>
  </r>
  <r>
    <s v="Monthly-AE-October-2024-revised.csv"/>
    <x v="12"/>
    <s v="RYJ"/>
    <s v="NHS ENGLAND LONDON"/>
    <x v="163"/>
    <n v="12400"/>
    <n v="3848"/>
    <n v="7519"/>
    <n v="0"/>
    <n v="0"/>
    <n v="484"/>
    <n v="5086"/>
    <n v="21"/>
    <n v="545"/>
    <n v="0"/>
    <n v="0"/>
    <n v="0"/>
    <n v="655"/>
    <n v="461"/>
    <n v="4108"/>
    <n v="1"/>
    <n v="0"/>
    <n v="1235"/>
    <n v="23767"/>
    <n v="5652"/>
    <n v="5344"/>
  </r>
  <r>
    <s v="Monthly-AE-October-2024-revised.csv"/>
    <x v="12"/>
    <s v="RGN"/>
    <s v="NHS ENGLAND EAST OF ENGLAND "/>
    <x v="106"/>
    <n v="14981"/>
    <n v="0"/>
    <n v="4400"/>
    <n v="316"/>
    <n v="0"/>
    <n v="448"/>
    <n v="6417"/>
    <n v="0"/>
    <n v="208"/>
    <n v="71"/>
    <n v="0"/>
    <n v="6"/>
    <n v="516"/>
    <n v="847"/>
    <n v="3826"/>
    <n v="0"/>
    <n v="36"/>
    <n v="1517"/>
    <n v="19381"/>
    <n v="6625"/>
    <n v="5379"/>
  </r>
  <r>
    <s v="Monthly-AE-October-2024-revised.csv"/>
    <x v="12"/>
    <s v="RK5"/>
    <s v="NHS ENGLAND MIDLANDS "/>
    <x v="109"/>
    <n v="10856"/>
    <n v="0"/>
    <n v="5622"/>
    <n v="339"/>
    <n v="0"/>
    <n v="151"/>
    <n v="4824"/>
    <n v="0"/>
    <n v="256"/>
    <n v="152"/>
    <n v="0"/>
    <n v="1"/>
    <n v="812"/>
    <n v="150"/>
    <n v="3933"/>
    <n v="0"/>
    <n v="0"/>
    <n v="251"/>
    <n v="16478"/>
    <n v="5080"/>
    <n v="4184"/>
  </r>
  <r>
    <s v="Monthly-AE-October-2024-revised.csv"/>
    <x v="12"/>
    <s v="RYX"/>
    <s v="NHS ENGLAND LONDON"/>
    <x v="75"/>
    <n v="0"/>
    <n v="0"/>
    <n v="11907"/>
    <n v="0"/>
    <n v="0"/>
    <n v="464"/>
    <n v="0"/>
    <n v="0"/>
    <n v="323"/>
    <n v="0"/>
    <n v="0"/>
    <n v="13"/>
    <n v="0"/>
    <n v="0"/>
    <n v="0"/>
    <n v="0"/>
    <n v="0"/>
    <n v="0"/>
    <n v="11907"/>
    <n v="323"/>
    <n v="0"/>
  </r>
  <r>
    <s v="Monthly-AE-October-2024-revised.csv"/>
    <x v="12"/>
    <s v="RH5"/>
    <s v="NHS ENGLAND SOUTH WEST "/>
    <x v="175"/>
    <n v="13140"/>
    <n v="0"/>
    <n v="9517"/>
    <n v="0"/>
    <n v="0"/>
    <n v="0"/>
    <n v="5631"/>
    <n v="0"/>
    <n v="236"/>
    <n v="0"/>
    <n v="0"/>
    <n v="0"/>
    <n v="491"/>
    <n v="78"/>
    <n v="3303"/>
    <n v="0"/>
    <n v="0"/>
    <n v="2173"/>
    <n v="22657"/>
    <n v="5867"/>
    <n v="5476"/>
  </r>
  <r>
    <s v="Monthly-AE-October-2024-revised.csv"/>
    <x v="12"/>
    <s v="RHW"/>
    <s v="NHS ENGLAND SOUTH EAST "/>
    <x v="187"/>
    <n v="11638"/>
    <n v="2479"/>
    <n v="1390"/>
    <n v="975"/>
    <n v="24"/>
    <n v="0"/>
    <n v="4294"/>
    <n v="21"/>
    <n v="0"/>
    <n v="271"/>
    <n v="0"/>
    <n v="0"/>
    <n v="539"/>
    <n v="0"/>
    <n v="2340"/>
    <n v="0"/>
    <n v="0"/>
    <n v="404"/>
    <n v="15507"/>
    <n v="4315"/>
    <n v="2744"/>
  </r>
  <r>
    <s v="Monthly-AE-October-2024-revised.csv"/>
    <x v="12"/>
    <s v="RN3"/>
    <s v="NHS ENGLAND SOUTH WEST "/>
    <x v="179"/>
    <n v="5742"/>
    <n v="0"/>
    <n v="5558"/>
    <n v="0"/>
    <n v="0"/>
    <n v="0"/>
    <n v="2707"/>
    <n v="0"/>
    <n v="393"/>
    <n v="0"/>
    <n v="0"/>
    <n v="0"/>
    <n v="683"/>
    <n v="268"/>
    <n v="2574"/>
    <n v="0"/>
    <n v="0"/>
    <n v="1407"/>
    <n v="11300"/>
    <n v="3100"/>
    <n v="3981"/>
  </r>
  <r>
    <s v="Monthly-AE-October-2024-revised.csv"/>
    <x v="12"/>
    <s v="RNS"/>
    <s v="NHS ENGLAND MIDLANDS "/>
    <x v="41"/>
    <n v="10232"/>
    <n v="541"/>
    <n v="2347"/>
    <n v="1714"/>
    <n v="0"/>
    <n v="81"/>
    <n v="3859"/>
    <n v="6"/>
    <n v="115"/>
    <n v="527"/>
    <n v="0"/>
    <n v="5"/>
    <n v="462"/>
    <n v="804"/>
    <n v="2053"/>
    <n v="0"/>
    <n v="0"/>
    <n v="1304"/>
    <n v="13120"/>
    <n v="3980"/>
    <n v="3357"/>
  </r>
  <r>
    <s v="Monthly-AE-October-2024-revised.csv"/>
    <x v="12"/>
    <s v="RAL"/>
    <s v="NHS ENGLAND LONDON"/>
    <x v="99"/>
    <n v="17893"/>
    <n v="0"/>
    <n v="8899"/>
    <n v="0"/>
    <n v="0"/>
    <n v="0"/>
    <n v="6677"/>
    <n v="0"/>
    <n v="119"/>
    <n v="0"/>
    <n v="0"/>
    <n v="0"/>
    <n v="1116"/>
    <n v="835"/>
    <n v="4011"/>
    <n v="0"/>
    <n v="0"/>
    <n v="597"/>
    <n v="26792"/>
    <n v="6796"/>
    <n v="4608"/>
  </r>
  <r>
    <s v="Monthly-AE-October-2024-revised.csv"/>
    <x v="12"/>
    <s v="RBL"/>
    <s v="NHS ENGLAND NORTH WEST "/>
    <x v="183"/>
    <n v="8011"/>
    <n v="0"/>
    <n v="3133"/>
    <n v="0"/>
    <n v="0"/>
    <n v="224"/>
    <n v="4446"/>
    <n v="0"/>
    <n v="13"/>
    <n v="0"/>
    <n v="0"/>
    <n v="2"/>
    <n v="471"/>
    <n v="878"/>
    <n v="2161"/>
    <n v="0"/>
    <n v="0"/>
    <n v="1920"/>
    <n v="11144"/>
    <n v="4459"/>
    <n v="4081"/>
  </r>
  <r>
    <s v="Monthly-AE-October-2024-revised.csv"/>
    <x v="12"/>
    <s v="RJC"/>
    <s v="NHS ENGLAND MIDLANDS "/>
    <x v="138"/>
    <n v="8720"/>
    <n v="0"/>
    <n v="442"/>
    <n v="0"/>
    <n v="0"/>
    <n v="0"/>
    <n v="3373"/>
    <n v="0"/>
    <n v="0"/>
    <n v="0"/>
    <n v="0"/>
    <n v="0"/>
    <n v="441"/>
    <n v="1"/>
    <n v="2487"/>
    <n v="0"/>
    <n v="0"/>
    <n v="926"/>
    <n v="9162"/>
    <n v="3373"/>
    <n v="3413"/>
  </r>
  <r>
    <s v="Monthly-AE-October-2024-revised.csv"/>
    <x v="12"/>
    <s v="RM3"/>
    <s v="NHS ENGLAND NORTH WEST "/>
    <x v="193"/>
    <n v="26692"/>
    <n v="0"/>
    <n v="9335"/>
    <n v="0"/>
    <n v="0"/>
    <n v="0"/>
    <n v="11798"/>
    <n v="0"/>
    <n v="437"/>
    <n v="0"/>
    <n v="0"/>
    <n v="0"/>
    <n v="1260"/>
    <n v="1316"/>
    <n v="7515"/>
    <n v="0"/>
    <n v="379"/>
    <n v="2027"/>
    <n v="36027"/>
    <n v="12235"/>
    <n v="9921"/>
  </r>
  <r>
    <s v="Monthly-AE-October-2024-revised.csv"/>
    <x v="12"/>
    <s v="RTH"/>
    <s v="NHS ENGLAND SOUTH EAST "/>
    <x v="196"/>
    <n v="12988"/>
    <n v="1830"/>
    <n v="2419"/>
    <n v="1789"/>
    <n v="0"/>
    <n v="132"/>
    <n v="5258"/>
    <n v="0"/>
    <n v="3"/>
    <n v="671"/>
    <n v="0"/>
    <n v="2"/>
    <n v="947"/>
    <n v="0"/>
    <n v="4821"/>
    <n v="117"/>
    <n v="9"/>
    <n v="4774"/>
    <n v="17237"/>
    <n v="5261"/>
    <n v="9721"/>
  </r>
  <r>
    <s v="Monthly-AE-October-2024-revised.csv"/>
    <x v="12"/>
    <s v="RWW"/>
    <s v="NHS ENGLAND NORTH WEST "/>
    <x v="159"/>
    <n v="7216"/>
    <n v="0"/>
    <n v="3065"/>
    <n v="252"/>
    <n v="0"/>
    <n v="116"/>
    <n v="3728"/>
    <n v="0"/>
    <n v="93"/>
    <n v="86"/>
    <n v="0"/>
    <n v="4"/>
    <n v="676"/>
    <n v="843"/>
    <n v="1808"/>
    <n v="0"/>
    <n v="0"/>
    <n v="175"/>
    <n v="10281"/>
    <n v="3821"/>
    <n v="1983"/>
  </r>
  <r>
    <s v="Monthly-AE-October-2024-revised.csv"/>
    <x v="12"/>
    <s v="NQT51"/>
    <s v="NHS ENGLAND SOUTH EAST "/>
    <x v="39"/>
    <n v="0"/>
    <n v="0"/>
    <n v="1138"/>
    <n v="0"/>
    <n v="0"/>
    <n v="0"/>
    <n v="0"/>
    <n v="0"/>
    <n v="0"/>
    <n v="0"/>
    <n v="0"/>
    <n v="0"/>
    <n v="0"/>
    <n v="0"/>
    <n v="0"/>
    <n v="0"/>
    <n v="0"/>
    <n v="0"/>
    <n v="1138"/>
    <n v="0"/>
    <n v="0"/>
  </r>
  <r>
    <s v="Monthly-AE-October-2024-revised.csv"/>
    <x v="12"/>
    <s v="RJ7"/>
    <s v="NHS ENGLAND LONDON"/>
    <x v="137"/>
    <n v="9297"/>
    <n v="0"/>
    <n v="3353"/>
    <n v="554"/>
    <n v="0"/>
    <n v="0"/>
    <n v="2771"/>
    <n v="0"/>
    <n v="4"/>
    <n v="86"/>
    <n v="0"/>
    <n v="0"/>
    <n v="635"/>
    <n v="798"/>
    <n v="2685"/>
    <n v="0"/>
    <n v="0"/>
    <n v="777"/>
    <n v="12650"/>
    <n v="2775"/>
    <n v="3462"/>
  </r>
  <r>
    <s v="Monthly-AE-October-2024-revised.csv"/>
    <x v="12"/>
    <s v="RBD"/>
    <s v="NHS ENGLAND SOUTH WEST "/>
    <x v="101"/>
    <n v="4194"/>
    <n v="0"/>
    <n v="0"/>
    <n v="384"/>
    <n v="0"/>
    <n v="4079"/>
    <n v="1726"/>
    <n v="0"/>
    <n v="0"/>
    <n v="88"/>
    <n v="0"/>
    <n v="2"/>
    <n v="213"/>
    <n v="41"/>
    <n v="1880"/>
    <n v="0"/>
    <n v="0"/>
    <n v="506"/>
    <n v="4194"/>
    <n v="1726"/>
    <n v="2386"/>
  </r>
  <r>
    <s v="Monthly-AE-October-2024-revised.csv"/>
    <x v="12"/>
    <s v="RMC"/>
    <s v="NHS ENGLAND NORTH WEST "/>
    <x v="178"/>
    <n v="8453"/>
    <n v="0"/>
    <n v="3584"/>
    <n v="86"/>
    <n v="0"/>
    <n v="61"/>
    <n v="4365"/>
    <n v="0"/>
    <n v="180"/>
    <n v="41"/>
    <n v="0"/>
    <n v="4"/>
    <n v="505"/>
    <n v="675"/>
    <n v="2380"/>
    <n v="0"/>
    <n v="113"/>
    <n v="886"/>
    <n v="12037"/>
    <n v="4545"/>
    <n v="3379"/>
  </r>
  <r>
    <s v="Monthly-AE-October-2024-revised.csv"/>
    <x v="12"/>
    <s v="NNJ07"/>
    <s v="NHS ENGLAND MIDLANDS "/>
    <x v="52"/>
    <n v="0"/>
    <n v="0"/>
    <n v="6146"/>
    <n v="0"/>
    <n v="0"/>
    <n v="610"/>
    <n v="0"/>
    <n v="0"/>
    <n v="30"/>
    <n v="0"/>
    <n v="0"/>
    <n v="0"/>
    <n v="0"/>
    <n v="0"/>
    <n v="0"/>
    <n v="0"/>
    <n v="0"/>
    <n v="0"/>
    <n v="6146"/>
    <n v="30"/>
    <n v="0"/>
  </r>
  <r>
    <s v="Monthly-AE-October-2024-revised.csv"/>
    <x v="12"/>
    <s v="RXL"/>
    <s v="NHS ENGLAND NORTH WEST "/>
    <x v="72"/>
    <n v="8970"/>
    <n v="0"/>
    <n v="10528"/>
    <n v="332"/>
    <n v="0"/>
    <n v="305"/>
    <n v="4194"/>
    <n v="0"/>
    <n v="90"/>
    <n v="113"/>
    <n v="0"/>
    <n v="0"/>
    <n v="379"/>
    <n v="805"/>
    <n v="2583"/>
    <n v="0"/>
    <n v="0"/>
    <n v="1587"/>
    <n v="19498"/>
    <n v="4284"/>
    <n v="4170"/>
  </r>
  <r>
    <s v="Monthly-AE-October-2024-revised.csv"/>
    <x v="12"/>
    <s v="AD913"/>
    <s v="NHS ENGLAND LONDON"/>
    <x v="3"/>
    <n v="0"/>
    <n v="0"/>
    <n v="3624"/>
    <n v="0"/>
    <n v="0"/>
    <n v="307"/>
    <n v="0"/>
    <n v="0"/>
    <n v="26"/>
    <n v="0"/>
    <n v="0"/>
    <n v="0"/>
    <n v="0"/>
    <n v="0"/>
    <n v="0"/>
    <n v="0"/>
    <n v="0"/>
    <n v="0"/>
    <n v="3624"/>
    <n v="26"/>
    <n v="0"/>
  </r>
  <r>
    <s v="Monthly-AE-October-2024-revised.csv"/>
    <x v="3"/>
    <s v="TOTAL"/>
    <s v="TOTAL"/>
    <x v="199"/>
    <n v="1422317"/>
    <n v="49017"/>
    <n v="809058"/>
    <n v="30925"/>
    <n v="700"/>
    <n v="48519"/>
    <n v="601329"/>
    <n v="2163"/>
    <n v="23500"/>
    <n v="7784"/>
    <n v="20"/>
    <n v="546"/>
    <n v="99172"/>
    <n v="49616"/>
    <n v="415893"/>
    <n v="1327"/>
    <n v="4828"/>
    <n v="145400"/>
    <n v="2280392"/>
    <n v="626992"/>
    <n v="567448"/>
  </r>
  <r>
    <s v="Monthly-AE-September-2024.csv"/>
    <x v="13"/>
    <s v="C83023"/>
    <s v="NHS ENGLAND MIDLANDS "/>
    <x v="190"/>
    <n v="0"/>
    <n v="0"/>
    <n v="402"/>
    <n v="0"/>
    <n v="0"/>
    <n v="0"/>
    <n v="0"/>
    <n v="0"/>
    <n v="0"/>
    <n v="0"/>
    <n v="0"/>
    <n v="0"/>
    <n v="0"/>
    <n v="0"/>
    <n v="0"/>
    <n v="0"/>
    <n v="0"/>
    <n v="0"/>
    <n v="402"/>
    <n v="0"/>
    <n v="0"/>
  </r>
  <r>
    <s v="Monthly-AE-September-2024.csv"/>
    <x v="13"/>
    <s v="RW1"/>
    <s v="NHS ENGLAND SOUTH EAST "/>
    <x v="46"/>
    <n v="0"/>
    <n v="0"/>
    <n v="2834"/>
    <n v="0"/>
    <n v="0"/>
    <n v="0"/>
    <n v="0"/>
    <n v="0"/>
    <n v="50"/>
    <n v="0"/>
    <n v="0"/>
    <n v="0"/>
    <n v="0"/>
    <n v="0"/>
    <n v="0"/>
    <n v="0"/>
    <n v="0"/>
    <n v="114"/>
    <n v="2834"/>
    <n v="50"/>
    <n v="114"/>
  </r>
  <r>
    <s v="Monthly-AE-September-2024.csv"/>
    <x v="13"/>
    <s v="Y00751"/>
    <s v="NHS ENGLAND SOUTH EAST 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hly-AE-September-2024.csv"/>
    <x v="13"/>
    <s v="Y02615"/>
    <s v="NHS ENGLAND MIDLANDS "/>
    <x v="16"/>
    <n v="0"/>
    <n v="0"/>
    <n v="6285"/>
    <n v="0"/>
    <n v="0"/>
    <n v="0"/>
    <n v="0"/>
    <n v="0"/>
    <n v="0"/>
    <n v="0"/>
    <n v="0"/>
    <n v="0"/>
    <n v="0"/>
    <n v="0"/>
    <n v="0"/>
    <n v="0"/>
    <n v="0"/>
    <n v="0"/>
    <n v="6285"/>
    <n v="0"/>
    <n v="0"/>
  </r>
  <r>
    <s v="Monthly-AE-September-2024.csv"/>
    <x v="13"/>
    <s v="AAH"/>
    <s v="NHS ENGLAND SOUTH WEST "/>
    <x v="0"/>
    <n v="0"/>
    <n v="0"/>
    <n v="515"/>
    <n v="0"/>
    <n v="0"/>
    <n v="0"/>
    <n v="0"/>
    <n v="0"/>
    <n v="0"/>
    <n v="0"/>
    <n v="0"/>
    <n v="0"/>
    <n v="0"/>
    <n v="0"/>
    <n v="0"/>
    <n v="0"/>
    <n v="0"/>
    <n v="0"/>
    <n v="515"/>
    <n v="0"/>
    <n v="0"/>
  </r>
  <r>
    <s v="Monthly-AE-September-2024.csv"/>
    <x v="13"/>
    <s v="ACH01"/>
    <s v="NHS ENGLAND SOUTH EAST "/>
    <x v="50"/>
    <n v="0"/>
    <n v="0"/>
    <n v="5599"/>
    <n v="0"/>
    <n v="0"/>
    <n v="0"/>
    <n v="0"/>
    <n v="0"/>
    <n v="0"/>
    <n v="0"/>
    <n v="0"/>
    <n v="0"/>
    <n v="0"/>
    <n v="0"/>
    <n v="0"/>
    <n v="0"/>
    <n v="0"/>
    <n v="0"/>
    <n v="5599"/>
    <n v="0"/>
    <n v="0"/>
  </r>
  <r>
    <s v="Monthly-AE-September-2024.csv"/>
    <x v="13"/>
    <s v="C82009"/>
    <s v="NHS ENGLAND MIDLANDS "/>
    <x v="123"/>
    <n v="0"/>
    <n v="0"/>
    <n v="319"/>
    <n v="0"/>
    <n v="0"/>
    <n v="0"/>
    <n v="0"/>
    <n v="0"/>
    <n v="0"/>
    <n v="0"/>
    <n v="0"/>
    <n v="0"/>
    <n v="0"/>
    <n v="0"/>
    <n v="0"/>
    <n v="0"/>
    <n v="0"/>
    <n v="0"/>
    <n v="319"/>
    <n v="0"/>
    <n v="0"/>
  </r>
  <r>
    <s v="Monthly-AE-September-2024.csv"/>
    <x v="13"/>
    <s v="C82038"/>
    <s v="NHS ENGLAND MIDLANDS "/>
    <x v="31"/>
    <n v="0"/>
    <n v="0"/>
    <n v="322"/>
    <n v="0"/>
    <n v="0"/>
    <n v="0"/>
    <n v="0"/>
    <n v="0"/>
    <n v="0"/>
    <n v="0"/>
    <n v="0"/>
    <n v="0"/>
    <n v="0"/>
    <n v="0"/>
    <n v="0"/>
    <n v="0"/>
    <n v="0"/>
    <n v="0"/>
    <n v="322"/>
    <n v="0"/>
    <n v="0"/>
  </r>
  <r>
    <s v="Monthly-AE-September-2024.csv"/>
    <x v="13"/>
    <s v="G0Q0L"/>
    <s v="NHS ENGLAND LONDON"/>
    <x v="32"/>
    <n v="0"/>
    <n v="0"/>
    <n v="2605"/>
    <n v="0"/>
    <n v="0"/>
    <n v="0"/>
    <n v="0"/>
    <n v="0"/>
    <n v="14"/>
    <n v="0"/>
    <n v="0"/>
    <n v="0"/>
    <n v="0"/>
    <n v="0"/>
    <n v="0"/>
    <n v="0"/>
    <n v="0"/>
    <n v="0"/>
    <n v="2605"/>
    <n v="14"/>
    <n v="0"/>
  </r>
  <r>
    <s v="Monthly-AE-September-2024.csv"/>
    <x v="13"/>
    <s v="K6K0R"/>
    <s v="NHS ENGLAND LONDON"/>
    <x v="33"/>
    <n v="0"/>
    <n v="0"/>
    <n v="2638"/>
    <n v="0"/>
    <n v="0"/>
    <n v="0"/>
    <n v="0"/>
    <n v="0"/>
    <n v="6"/>
    <n v="0"/>
    <n v="0"/>
    <n v="0"/>
    <n v="0"/>
    <n v="0"/>
    <n v="0"/>
    <n v="0"/>
    <n v="0"/>
    <n v="0"/>
    <n v="2638"/>
    <n v="6"/>
    <n v="0"/>
  </r>
  <r>
    <s v="Monthly-AE-September-2024.csv"/>
    <x v="13"/>
    <s v="NQT51"/>
    <s v="NHS ENGLAND SOUTH EAST "/>
    <x v="39"/>
    <n v="0"/>
    <n v="0"/>
    <n v="1005"/>
    <n v="0"/>
    <n v="0"/>
    <n v="0"/>
    <n v="0"/>
    <n v="0"/>
    <n v="0"/>
    <n v="0"/>
    <n v="0"/>
    <n v="0"/>
    <n v="0"/>
    <n v="0"/>
    <n v="0"/>
    <n v="0"/>
    <n v="0"/>
    <n v="0"/>
    <n v="1005"/>
    <n v="0"/>
    <n v="0"/>
  </r>
  <r>
    <s v="Monthly-AE-September-2024.csv"/>
    <x v="13"/>
    <s v="NQT5F"/>
    <s v="NHS ENGLAND NORTH WEST "/>
    <x v="20"/>
    <n v="0"/>
    <n v="0"/>
    <n v="1749"/>
    <n v="0"/>
    <n v="0"/>
    <n v="0"/>
    <n v="0"/>
    <n v="0"/>
    <n v="27"/>
    <n v="0"/>
    <n v="0"/>
    <n v="0"/>
    <n v="0"/>
    <n v="0"/>
    <n v="0"/>
    <n v="0"/>
    <n v="0"/>
    <n v="0"/>
    <n v="1749"/>
    <n v="27"/>
    <n v="0"/>
  </r>
  <r>
    <s v="Monthly-AE-September-2024.csv"/>
    <x v="13"/>
    <s v="NQT5H"/>
    <s v="NHS ENGLAND SOUTH WEST "/>
    <x v="21"/>
    <n v="0"/>
    <n v="0"/>
    <n v="1011"/>
    <n v="0"/>
    <n v="0"/>
    <n v="0"/>
    <n v="0"/>
    <n v="0"/>
    <n v="4"/>
    <n v="0"/>
    <n v="0"/>
    <n v="0"/>
    <n v="0"/>
    <n v="0"/>
    <n v="0"/>
    <n v="0"/>
    <n v="0"/>
    <n v="0"/>
    <n v="1011"/>
    <n v="4"/>
    <n v="0"/>
  </r>
  <r>
    <s v="Monthly-AE-September-2024.csv"/>
    <x v="13"/>
    <s v="NTP11"/>
    <s v="NHS ENGLAND SOUTH EAST "/>
    <x v="34"/>
    <n v="0"/>
    <n v="0"/>
    <n v="5011"/>
    <n v="0"/>
    <n v="0"/>
    <n v="0"/>
    <n v="0"/>
    <n v="0"/>
    <n v="89"/>
    <n v="0"/>
    <n v="0"/>
    <n v="0"/>
    <n v="0"/>
    <n v="0"/>
    <n v="0"/>
    <n v="0"/>
    <n v="0"/>
    <n v="0"/>
    <n v="5011"/>
    <n v="89"/>
    <n v="0"/>
  </r>
  <r>
    <s v="Monthly-AE-September-2024.csv"/>
    <x v="13"/>
    <s v="NTV0B"/>
    <s v="NHS ENGLAND SOUTH EAST "/>
    <x v="23"/>
    <n v="0"/>
    <n v="0"/>
    <n v="2297"/>
    <n v="0"/>
    <n v="0"/>
    <n v="0"/>
    <n v="0"/>
    <n v="0"/>
    <n v="38"/>
    <n v="0"/>
    <n v="0"/>
    <n v="0"/>
    <n v="0"/>
    <n v="0"/>
    <n v="0"/>
    <n v="0"/>
    <n v="0"/>
    <n v="0"/>
    <n v="2297"/>
    <n v="38"/>
    <n v="0"/>
  </r>
  <r>
    <s v="Monthly-AE-September-2024.csv"/>
    <x v="13"/>
    <s v="NTV0W"/>
    <s v="NHS ENGLAND SOUTH EAST "/>
    <x v="24"/>
    <n v="0"/>
    <n v="0"/>
    <n v="2304"/>
    <n v="0"/>
    <n v="0"/>
    <n v="0"/>
    <n v="0"/>
    <n v="0"/>
    <n v="38"/>
    <n v="0"/>
    <n v="0"/>
    <n v="0"/>
    <n v="0"/>
    <n v="0"/>
    <n v="0"/>
    <n v="0"/>
    <n v="0"/>
    <n v="0"/>
    <n v="2304"/>
    <n v="38"/>
    <n v="0"/>
  </r>
  <r>
    <s v="Monthly-AE-September-2024.csv"/>
    <x v="13"/>
    <s v="RGP"/>
    <s v="NHS ENGLAND EAST OF ENGLAND "/>
    <x v="61"/>
    <n v="7222"/>
    <n v="0"/>
    <n v="1456"/>
    <n v="0"/>
    <n v="0"/>
    <n v="0"/>
    <n v="3015"/>
    <n v="0"/>
    <n v="0"/>
    <n v="0"/>
    <n v="0"/>
    <n v="0"/>
    <n v="543"/>
    <n v="293"/>
    <n v="1554"/>
    <n v="0"/>
    <n v="0"/>
    <n v="427"/>
    <n v="8678"/>
    <n v="3015"/>
    <n v="1981"/>
  </r>
  <r>
    <s v="Monthly-AE-September-2024.csv"/>
    <x v="13"/>
    <s v="RJ8"/>
    <s v="NHS ENGLAND SOUTH WEST "/>
    <x v="9"/>
    <n v="0"/>
    <n v="0"/>
    <n v="0"/>
    <n v="0"/>
    <n v="0"/>
    <n v="0"/>
    <n v="0"/>
    <n v="0"/>
    <n v="0"/>
    <n v="0"/>
    <n v="0"/>
    <n v="0"/>
    <n v="0"/>
    <n v="0"/>
    <n v="0"/>
    <n v="0"/>
    <n v="9"/>
    <n v="57"/>
    <n v="0"/>
    <n v="0"/>
    <n v="66"/>
  </r>
  <r>
    <s v="Monthly-AE-September-2024.csv"/>
    <x v="13"/>
    <s v="RWY"/>
    <s v="NHS ENGLAND NORTH EAST AND YORKSHIRE "/>
    <x v="10"/>
    <n v="14877"/>
    <n v="0"/>
    <n v="0"/>
    <n v="0"/>
    <n v="0"/>
    <n v="0"/>
    <n v="4629"/>
    <n v="0"/>
    <n v="0"/>
    <n v="0"/>
    <n v="0"/>
    <n v="0"/>
    <n v="1150"/>
    <n v="4"/>
    <n v="3005"/>
    <n v="0"/>
    <n v="0"/>
    <n v="343"/>
    <n v="14877"/>
    <n v="4629"/>
    <n v="3348"/>
  </r>
  <r>
    <s v="Monthly-AE-September-2024.csv"/>
    <x v="13"/>
    <s v="RXL"/>
    <s v="NHS ENGLAND NORTH WEST "/>
    <x v="72"/>
    <n v="8420"/>
    <n v="0"/>
    <n v="9821"/>
    <n v="286"/>
    <n v="0"/>
    <n v="238"/>
    <n v="3917"/>
    <n v="0"/>
    <n v="59"/>
    <n v="100"/>
    <n v="0"/>
    <n v="0"/>
    <n v="362"/>
    <n v="721"/>
    <n v="2461"/>
    <n v="0"/>
    <n v="0"/>
    <n v="1367"/>
    <n v="18241"/>
    <n v="3976"/>
    <n v="3828"/>
  </r>
  <r>
    <s v="Monthly-AE-September-2024.csv"/>
    <x v="13"/>
    <s v="RY7"/>
    <s v="NHS ENGLAND NORTH WEST "/>
    <x v="12"/>
    <n v="0"/>
    <n v="0"/>
    <n v="4248"/>
    <n v="0"/>
    <n v="0"/>
    <n v="0"/>
    <n v="0"/>
    <n v="0"/>
    <n v="100"/>
    <n v="0"/>
    <n v="0"/>
    <n v="0"/>
    <n v="0"/>
    <n v="0"/>
    <n v="0"/>
    <n v="0"/>
    <n v="0"/>
    <n v="0"/>
    <n v="4248"/>
    <n v="100"/>
    <n v="0"/>
  </r>
  <r>
    <s v="Monthly-AE-September-2024.csv"/>
    <x v="13"/>
    <s v="Y02532"/>
    <s v="NHS ENGLAND NORTH WEST "/>
    <x v="15"/>
    <n v="0"/>
    <n v="0"/>
    <n v="1522"/>
    <n v="0"/>
    <n v="0"/>
    <n v="0"/>
    <n v="0"/>
    <n v="0"/>
    <n v="0"/>
    <n v="0"/>
    <n v="0"/>
    <n v="0"/>
    <n v="0"/>
    <n v="0"/>
    <n v="0"/>
    <n v="0"/>
    <n v="0"/>
    <n v="0"/>
    <n v="1522"/>
    <n v="0"/>
    <n v="0"/>
  </r>
  <r>
    <s v="Monthly-AE-September-2024.csv"/>
    <x v="13"/>
    <s v="Y02676"/>
    <s v="NHS ENGLAND SOUTH EAST "/>
    <x v="37"/>
    <n v="0"/>
    <n v="0"/>
    <n v="1700"/>
    <n v="0"/>
    <n v="0"/>
    <n v="0"/>
    <n v="0"/>
    <n v="0"/>
    <n v="0"/>
    <n v="0"/>
    <n v="0"/>
    <n v="0"/>
    <n v="0"/>
    <n v="0"/>
    <n v="0"/>
    <n v="0"/>
    <n v="0"/>
    <n v="0"/>
    <n v="1700"/>
    <n v="0"/>
    <n v="0"/>
  </r>
  <r>
    <s v="Monthly-AE-September-2024.csv"/>
    <x v="13"/>
    <s v="NL7"/>
    <s v="NHS ENGLAND MIDLANDS "/>
    <x v="95"/>
    <n v="0"/>
    <n v="0"/>
    <n v="3499"/>
    <n v="0"/>
    <n v="0"/>
    <n v="0"/>
    <n v="0"/>
    <n v="0"/>
    <n v="0"/>
    <n v="0"/>
    <n v="0"/>
    <n v="0"/>
    <n v="0"/>
    <n v="0"/>
    <n v="0"/>
    <n v="0"/>
    <n v="0"/>
    <n v="0"/>
    <n v="3499"/>
    <n v="0"/>
    <n v="0"/>
  </r>
  <r>
    <s v="Monthly-AE-September-2024.csv"/>
    <x v="13"/>
    <s v="NQTE4"/>
    <s v="NHS ENGLAND MIDLANDS "/>
    <x v="6"/>
    <n v="0"/>
    <n v="0"/>
    <n v="3003"/>
    <n v="0"/>
    <n v="0"/>
    <n v="0"/>
    <n v="0"/>
    <n v="0"/>
    <n v="0"/>
    <n v="0"/>
    <n v="0"/>
    <n v="0"/>
    <n v="0"/>
    <n v="0"/>
    <n v="0"/>
    <n v="0"/>
    <n v="0"/>
    <n v="0"/>
    <n v="3003"/>
    <n v="0"/>
    <n v="0"/>
  </r>
  <r>
    <s v="Monthly-AE-September-2024.csv"/>
    <x v="13"/>
    <s v="RA9"/>
    <s v="NHS ENGLAND SOUTH WEST "/>
    <x v="7"/>
    <n v="6235"/>
    <n v="0"/>
    <n v="3242"/>
    <n v="375"/>
    <n v="0"/>
    <n v="127"/>
    <n v="3248"/>
    <n v="0"/>
    <n v="22"/>
    <n v="180"/>
    <n v="0"/>
    <n v="0"/>
    <n v="363"/>
    <n v="82"/>
    <n v="2083"/>
    <n v="0"/>
    <n v="0"/>
    <n v="1131"/>
    <n v="9477"/>
    <n v="3270"/>
    <n v="3214"/>
  </r>
  <r>
    <s v="Monthly-AE-September-2024.csv"/>
    <x v="13"/>
    <s v="RBQ"/>
    <s v="NHS ENGLAND NORTH WEST 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179"/>
    <n v="0"/>
    <n v="0"/>
    <n v="179"/>
  </r>
  <r>
    <s v="Monthly-AE-September-2024.csv"/>
    <x v="13"/>
    <s v="RDY"/>
    <s v="NHS ENGLAND SOUTH WEST "/>
    <x v="8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4"/>
  </r>
  <r>
    <s v="Monthly-AE-September-2024.csv"/>
    <x v="13"/>
    <s v="RTP"/>
    <s v="NHS ENGLAND SOUTH EAST "/>
    <x v="66"/>
    <n v="10289"/>
    <n v="0"/>
    <n v="0"/>
    <n v="0"/>
    <n v="0"/>
    <n v="0"/>
    <n v="3736"/>
    <n v="0"/>
    <n v="0"/>
    <n v="0"/>
    <n v="0"/>
    <n v="0"/>
    <n v="495"/>
    <n v="674"/>
    <n v="3107"/>
    <n v="0"/>
    <n v="0"/>
    <n v="839"/>
    <n v="10289"/>
    <n v="3736"/>
    <n v="3946"/>
  </r>
  <r>
    <s v="Monthly-AE-September-2024.csv"/>
    <x v="13"/>
    <s v="RY4"/>
    <s v="NHS ENGLAND EAST OF ENGLAND "/>
    <x v="93"/>
    <n v="0"/>
    <n v="0"/>
    <n v="1181"/>
    <n v="0"/>
    <n v="0"/>
    <n v="0"/>
    <n v="0"/>
    <n v="0"/>
    <n v="27"/>
    <n v="0"/>
    <n v="0"/>
    <n v="0"/>
    <n v="0"/>
    <n v="0"/>
    <n v="0"/>
    <n v="0"/>
    <n v="0"/>
    <n v="0"/>
    <n v="1181"/>
    <n v="27"/>
    <n v="0"/>
  </r>
  <r>
    <s v="Monthly-AE-September-2024.csv"/>
    <x v="13"/>
    <s v="RYY"/>
    <s v="NHS ENGLAND SOUTH EAST "/>
    <x v="48"/>
    <n v="0"/>
    <n v="0"/>
    <n v="15014"/>
    <n v="0"/>
    <n v="0"/>
    <n v="0"/>
    <n v="0"/>
    <n v="0"/>
    <n v="48"/>
    <n v="0"/>
    <n v="0"/>
    <n v="0"/>
    <n v="0"/>
    <n v="0"/>
    <n v="0"/>
    <n v="0"/>
    <n v="0"/>
    <n v="0"/>
    <n v="15014"/>
    <n v="48"/>
    <n v="0"/>
  </r>
  <r>
    <s v="Monthly-AE-September-2024.csv"/>
    <x v="13"/>
    <s v="Y02147"/>
    <s v="NHS ENGLAND LONDON"/>
    <x v="29"/>
    <n v="0"/>
    <n v="0"/>
    <n v="7268"/>
    <n v="0"/>
    <n v="0"/>
    <n v="427"/>
    <n v="0"/>
    <n v="0"/>
    <n v="175"/>
    <n v="0"/>
    <n v="0"/>
    <n v="6"/>
    <n v="0"/>
    <n v="0"/>
    <n v="0"/>
    <n v="0"/>
    <n v="0"/>
    <n v="0"/>
    <n v="7268"/>
    <n v="175"/>
    <n v="0"/>
  </r>
  <r>
    <s v="Monthly-AE-September-2024.csv"/>
    <x v="13"/>
    <s v="NDJ"/>
    <s v="NHS ENGLAND SOUTH EAST "/>
    <x v="51"/>
    <n v="0"/>
    <n v="0"/>
    <n v="2312"/>
    <n v="0"/>
    <n v="0"/>
    <n v="0"/>
    <n v="0"/>
    <n v="0"/>
    <n v="0"/>
    <n v="0"/>
    <n v="0"/>
    <n v="0"/>
    <n v="0"/>
    <n v="0"/>
    <n v="0"/>
    <n v="0"/>
    <n v="0"/>
    <n v="0"/>
    <n v="2312"/>
    <n v="0"/>
    <n v="0"/>
  </r>
  <r>
    <s v="Monthly-AE-September-2024.csv"/>
    <x v="13"/>
    <s v="RAX"/>
    <s v="NHS ENGLAND LONDON"/>
    <x v="100"/>
    <n v="6915"/>
    <n v="0"/>
    <n v="7765"/>
    <n v="0"/>
    <n v="0"/>
    <n v="0"/>
    <n v="3327"/>
    <n v="0"/>
    <n v="217"/>
    <n v="0"/>
    <n v="0"/>
    <n v="0"/>
    <n v="270"/>
    <n v="185"/>
    <n v="2009"/>
    <n v="0"/>
    <n v="147"/>
    <n v="290"/>
    <n v="14680"/>
    <n v="3544"/>
    <n v="2446"/>
  </r>
  <r>
    <s v="Monthly-AE-September-2024.csv"/>
    <x v="13"/>
    <s v="RCD"/>
    <s v="NHS ENGLAND NORTH EAST AND YORKSHIRE "/>
    <x v="184"/>
    <n v="5056"/>
    <n v="0"/>
    <n v="1016"/>
    <n v="358"/>
    <n v="0"/>
    <n v="28"/>
    <n v="1506"/>
    <n v="0"/>
    <n v="0"/>
    <n v="76"/>
    <n v="0"/>
    <n v="0"/>
    <n v="135"/>
    <n v="3"/>
    <n v="1095"/>
    <n v="0"/>
    <n v="0"/>
    <n v="278"/>
    <n v="6072"/>
    <n v="1506"/>
    <n v="1373"/>
  </r>
  <r>
    <s v="Monthly-AE-September-2024.csv"/>
    <x v="13"/>
    <s v="RK9"/>
    <s v="NHS ENGLAND SOUTH WEST "/>
    <x v="139"/>
    <n v="8884"/>
    <n v="166"/>
    <n v="5169"/>
    <n v="0"/>
    <n v="0"/>
    <n v="0"/>
    <n v="4692"/>
    <n v="0"/>
    <n v="98"/>
    <n v="0"/>
    <n v="0"/>
    <n v="0"/>
    <n v="641"/>
    <n v="430"/>
    <n v="2791"/>
    <n v="0"/>
    <n v="0"/>
    <n v="1289"/>
    <n v="14219"/>
    <n v="4790"/>
    <n v="4080"/>
  </r>
  <r>
    <s v="Monthly-AE-September-2024.csv"/>
    <x v="13"/>
    <s v="RQX"/>
    <s v="NHS ENGLAND LONDON"/>
    <x v="36"/>
    <n v="10778"/>
    <n v="0"/>
    <n v="0"/>
    <n v="1"/>
    <n v="0"/>
    <n v="0"/>
    <n v="1837"/>
    <n v="0"/>
    <n v="0"/>
    <n v="0"/>
    <n v="0"/>
    <n v="0"/>
    <n v="208"/>
    <n v="17"/>
    <n v="1806"/>
    <n v="0"/>
    <n v="0"/>
    <n v="315"/>
    <n v="10778"/>
    <n v="1837"/>
    <n v="2121"/>
  </r>
  <r>
    <s v="Monthly-AE-September-2024.csv"/>
    <x v="13"/>
    <s v="RTK"/>
    <s v="NHS ENGLAND SOUTH EAST "/>
    <x v="114"/>
    <n v="9511"/>
    <n v="0"/>
    <n v="0"/>
    <n v="0"/>
    <n v="0"/>
    <n v="0"/>
    <n v="3084"/>
    <n v="0"/>
    <n v="0"/>
    <n v="0"/>
    <n v="0"/>
    <n v="0"/>
    <n v="474"/>
    <n v="251"/>
    <n v="2648"/>
    <n v="0"/>
    <n v="0"/>
    <n v="620"/>
    <n v="9511"/>
    <n v="3084"/>
    <n v="3268"/>
  </r>
  <r>
    <s v="Monthly-AE-September-2024.csv"/>
    <x v="13"/>
    <s v="REM"/>
    <s v="NHS ENGLAND NORTH WEST "/>
    <x v="35"/>
    <n v="15299"/>
    <n v="1752"/>
    <n v="7678"/>
    <n v="433"/>
    <n v="0"/>
    <n v="0"/>
    <n v="7794"/>
    <n v="101"/>
    <n v="165"/>
    <n v="77"/>
    <n v="0"/>
    <n v="0"/>
    <n v="1820"/>
    <n v="810"/>
    <n v="4734"/>
    <n v="0"/>
    <n v="0"/>
    <n v="2822"/>
    <n v="24729"/>
    <n v="8060"/>
    <n v="7556"/>
  </r>
  <r>
    <s v="Monthly-AE-September-2024.csv"/>
    <x v="13"/>
    <s v="RFF"/>
    <s v="NHS ENGLAND NORTH EAST AND YORKSHIRE "/>
    <x v="26"/>
    <n v="8612"/>
    <n v="0"/>
    <n v="0"/>
    <n v="31"/>
    <n v="0"/>
    <n v="0"/>
    <n v="3099"/>
    <n v="0"/>
    <n v="0"/>
    <n v="0"/>
    <n v="0"/>
    <n v="0"/>
    <n v="457"/>
    <n v="0"/>
    <n v="2862"/>
    <n v="0"/>
    <n v="0"/>
    <n v="478"/>
    <n v="8612"/>
    <n v="3099"/>
    <n v="3340"/>
  </r>
  <r>
    <s v="Monthly-AE-September-2024.csv"/>
    <x v="13"/>
    <s v="RNN"/>
    <s v="NHS ENGLAND NORTH EAST AND YORKSHIRE "/>
    <x v="111"/>
    <n v="8784"/>
    <n v="0"/>
    <n v="1934"/>
    <n v="358"/>
    <n v="0"/>
    <n v="26"/>
    <n v="4221"/>
    <n v="0"/>
    <n v="78"/>
    <n v="92"/>
    <n v="0"/>
    <n v="0"/>
    <n v="747"/>
    <n v="747"/>
    <n v="2313"/>
    <n v="0"/>
    <n v="0"/>
    <n v="711"/>
    <n v="10718"/>
    <n v="4299"/>
    <n v="3024"/>
  </r>
  <r>
    <s v="Monthly-AE-September-2024.csv"/>
    <x v="13"/>
    <s v="RR7"/>
    <s v="NHS ENGLAND NORTH EAST AND YORKSHIRE "/>
    <x v="113"/>
    <n v="5764"/>
    <n v="0"/>
    <n v="3239"/>
    <n v="28"/>
    <n v="0"/>
    <n v="1"/>
    <n v="2545"/>
    <n v="0"/>
    <n v="32"/>
    <n v="7"/>
    <n v="0"/>
    <n v="0"/>
    <n v="938"/>
    <n v="0"/>
    <n v="1566"/>
    <n v="0"/>
    <n v="0"/>
    <n v="61"/>
    <n v="9003"/>
    <n v="2577"/>
    <n v="1627"/>
  </r>
  <r>
    <s v="Monthly-AE-September-2024.csv"/>
    <x v="13"/>
    <s v="RXQ"/>
    <s v="NHS ENGLAND SOUTH EAST "/>
    <x v="11"/>
    <n v="9751"/>
    <n v="1145"/>
    <n v="3457"/>
    <n v="0"/>
    <n v="0"/>
    <n v="0"/>
    <n v="3943"/>
    <n v="0"/>
    <n v="267"/>
    <n v="0"/>
    <n v="0"/>
    <n v="0"/>
    <n v="315"/>
    <n v="298"/>
    <n v="4085"/>
    <n v="769"/>
    <n v="0"/>
    <n v="1755"/>
    <n v="14353"/>
    <n v="4210"/>
    <n v="6609"/>
  </r>
  <r>
    <s v="Monthly-AE-September-2024.csv"/>
    <x v="13"/>
    <s v="AJN"/>
    <s v="NHS ENGLAND NORTH EAST AND YORKSHIRE "/>
    <x v="94"/>
    <n v="0"/>
    <n v="0"/>
    <n v="307"/>
    <n v="0"/>
    <n v="0"/>
    <n v="0"/>
    <n v="0"/>
    <n v="0"/>
    <n v="0"/>
    <n v="0"/>
    <n v="0"/>
    <n v="0"/>
    <n v="0"/>
    <n v="0"/>
    <n v="0"/>
    <n v="0"/>
    <n v="0"/>
    <n v="0"/>
    <n v="307"/>
    <n v="0"/>
    <n v="0"/>
  </r>
  <r>
    <s v="Monthly-AE-September-2024.csv"/>
    <x v="13"/>
    <s v="DT301"/>
    <s v="NHS ENGLAND EAST OF ENGLAND "/>
    <x v="19"/>
    <n v="0"/>
    <n v="0"/>
    <n v="2247"/>
    <n v="0"/>
    <n v="0"/>
    <n v="0"/>
    <n v="0"/>
    <n v="0"/>
    <n v="107"/>
    <n v="0"/>
    <n v="0"/>
    <n v="0"/>
    <n v="0"/>
    <n v="0"/>
    <n v="0"/>
    <n v="0"/>
    <n v="0"/>
    <n v="0"/>
    <n v="2247"/>
    <n v="107"/>
    <n v="0"/>
  </r>
  <r>
    <s v="Monthly-AE-September-2024.csv"/>
    <x v="13"/>
    <s v="R1D"/>
    <s v="NHS ENGLAND MIDLANDS "/>
    <x v="58"/>
    <n v="0"/>
    <n v="0"/>
    <n v="3248"/>
    <n v="0"/>
    <n v="0"/>
    <n v="0"/>
    <n v="0"/>
    <n v="0"/>
    <n v="1"/>
    <n v="0"/>
    <n v="0"/>
    <n v="0"/>
    <n v="0"/>
    <n v="0"/>
    <n v="0"/>
    <n v="0"/>
    <n v="0"/>
    <n v="0"/>
    <n v="3248"/>
    <n v="1"/>
    <n v="0"/>
  </r>
  <r>
    <s v="Monthly-AE-September-2024.csv"/>
    <x v="13"/>
    <s v="RLQ"/>
    <s v="NHS ENGLAND MIDLANDS "/>
    <x v="86"/>
    <n v="5902"/>
    <n v="1183"/>
    <n v="156"/>
    <n v="125"/>
    <n v="0"/>
    <n v="0"/>
    <n v="2484"/>
    <n v="0"/>
    <n v="0"/>
    <n v="38"/>
    <n v="0"/>
    <n v="0"/>
    <n v="454"/>
    <n v="284"/>
    <n v="1438"/>
    <n v="0"/>
    <n v="0"/>
    <n v="152"/>
    <n v="7241"/>
    <n v="2484"/>
    <n v="1590"/>
  </r>
  <r>
    <s v="Monthly-AE-September-2024.csv"/>
    <x v="13"/>
    <s v="RQ3"/>
    <s v="NHS ENGLAND MIDLANDS "/>
    <x v="189"/>
    <n v="4571"/>
    <n v="0"/>
    <n v="0"/>
    <n v="0"/>
    <n v="0"/>
    <n v="0"/>
    <n v="722"/>
    <n v="0"/>
    <n v="0"/>
    <n v="0"/>
    <n v="0"/>
    <n v="0"/>
    <n v="0"/>
    <n v="0"/>
    <n v="978"/>
    <n v="0"/>
    <n v="0"/>
    <n v="168"/>
    <n v="4571"/>
    <n v="722"/>
    <n v="1146"/>
  </r>
  <r>
    <s v="Monthly-AE-September-2024.csv"/>
    <x v="13"/>
    <s v="Y07709"/>
    <s v="NHS ENGLAND SOUTH EAST "/>
    <x v="38"/>
    <n v="0"/>
    <n v="0"/>
    <n v="2050"/>
    <n v="0"/>
    <n v="0"/>
    <n v="0"/>
    <n v="0"/>
    <n v="0"/>
    <n v="0"/>
    <n v="0"/>
    <n v="0"/>
    <n v="0"/>
    <n v="0"/>
    <n v="0"/>
    <n v="0"/>
    <n v="0"/>
    <n v="0"/>
    <n v="0"/>
    <n v="2050"/>
    <n v="0"/>
    <n v="0"/>
  </r>
  <r>
    <s v="Monthly-AE-September-2024.csv"/>
    <x v="13"/>
    <s v="L83087"/>
    <s v="NHS ENGLAND SOUTH WEST "/>
    <x v="5"/>
    <n v="0"/>
    <n v="0"/>
    <n v="75"/>
    <n v="0"/>
    <n v="0"/>
    <n v="0"/>
    <n v="0"/>
    <n v="0"/>
    <n v="0"/>
    <n v="0"/>
    <n v="0"/>
    <n v="0"/>
    <n v="0"/>
    <n v="0"/>
    <n v="0"/>
    <n v="0"/>
    <n v="0"/>
    <n v="0"/>
    <n v="75"/>
    <n v="0"/>
    <n v="0"/>
  </r>
  <r>
    <s v="Monthly-AE-September-2024.csv"/>
    <x v="13"/>
    <s v="NLX"/>
    <s v="NHS ENGLAND SOUTH WEST "/>
    <x v="195"/>
    <n v="0"/>
    <n v="0"/>
    <n v="8415"/>
    <n v="0"/>
    <n v="0"/>
    <n v="352"/>
    <n v="0"/>
    <n v="0"/>
    <n v="503"/>
    <n v="0"/>
    <n v="0"/>
    <n v="47"/>
    <n v="0"/>
    <n v="0"/>
    <n v="0"/>
    <n v="0"/>
    <n v="0"/>
    <n v="0"/>
    <n v="8415"/>
    <n v="503"/>
    <n v="0"/>
  </r>
  <r>
    <s v="Monthly-AE-September-2024.csv"/>
    <x v="13"/>
    <s v="NNJ"/>
    <s v="NHS ENGLAND MIDLANDS "/>
    <x v="43"/>
    <n v="0"/>
    <n v="0"/>
    <n v="1811"/>
    <n v="0"/>
    <n v="0"/>
    <n v="0"/>
    <n v="0"/>
    <n v="0"/>
    <n v="4"/>
    <n v="0"/>
    <n v="0"/>
    <n v="0"/>
    <n v="0"/>
    <n v="0"/>
    <n v="0"/>
    <n v="0"/>
    <n v="0"/>
    <n v="0"/>
    <n v="1811"/>
    <n v="4"/>
    <n v="0"/>
  </r>
  <r>
    <s v="Monthly-AE-September-2024.csv"/>
    <x v="13"/>
    <s v="NTPAD"/>
    <s v="NHS ENGLAND SOUTH EAST "/>
    <x v="22"/>
    <n v="0"/>
    <n v="0"/>
    <n v="5201"/>
    <n v="0"/>
    <n v="0"/>
    <n v="233"/>
    <n v="0"/>
    <n v="0"/>
    <n v="144"/>
    <n v="0"/>
    <n v="0"/>
    <n v="0"/>
    <n v="0"/>
    <n v="0"/>
    <n v="0"/>
    <n v="0"/>
    <n v="0"/>
    <n v="0"/>
    <n v="5201"/>
    <n v="144"/>
    <n v="0"/>
  </r>
  <r>
    <s v="Monthly-AE-September-2024.csv"/>
    <x v="13"/>
    <s v="NV693"/>
    <s v="NHS ENGLAND NORTH WEST "/>
    <x v="76"/>
    <n v="0"/>
    <n v="0"/>
    <n v="1050"/>
    <n v="0"/>
    <n v="0"/>
    <n v="0"/>
    <n v="0"/>
    <n v="0"/>
    <n v="0"/>
    <n v="0"/>
    <n v="0"/>
    <n v="0"/>
    <n v="0"/>
    <n v="0"/>
    <n v="0"/>
    <n v="0"/>
    <n v="0"/>
    <n v="0"/>
    <n v="1050"/>
    <n v="0"/>
    <n v="0"/>
  </r>
  <r>
    <s v="Monthly-AE-September-2024.csv"/>
    <x v="13"/>
    <s v="R0A"/>
    <s v="NHS ENGLAND NORTH WEST "/>
    <x v="181"/>
    <n v="23533"/>
    <n v="3004"/>
    <n v="11304"/>
    <n v="3290"/>
    <n v="428"/>
    <n v="976"/>
    <n v="10679"/>
    <n v="117"/>
    <n v="570"/>
    <n v="1411"/>
    <n v="13"/>
    <n v="87"/>
    <n v="3878"/>
    <n v="179"/>
    <n v="5452"/>
    <n v="137"/>
    <n v="168"/>
    <n v="455"/>
    <n v="37841"/>
    <n v="11366"/>
    <n v="6212"/>
  </r>
  <r>
    <s v="Monthly-AE-September-2024.csv"/>
    <x v="13"/>
    <s v="RBS"/>
    <s v="NHS ENGLAND NORTH WEST "/>
    <x v="80"/>
    <n v="5058"/>
    <n v="0"/>
    <n v="0"/>
    <n v="0"/>
    <n v="0"/>
    <n v="0"/>
    <n v="776"/>
    <n v="0"/>
    <n v="0"/>
    <n v="0"/>
    <n v="0"/>
    <n v="0"/>
    <n v="0"/>
    <n v="0"/>
    <n v="862"/>
    <n v="0"/>
    <n v="0"/>
    <n v="308"/>
    <n v="5058"/>
    <n v="776"/>
    <n v="1170"/>
  </r>
  <r>
    <s v="Monthly-AE-September-2024.csv"/>
    <x v="13"/>
    <s v="RWG"/>
    <s v="NHS ENGLAND EAST OF ENGLAND "/>
    <x v="47"/>
    <n v="7912"/>
    <n v="0"/>
    <n v="7595"/>
    <n v="0"/>
    <n v="0"/>
    <n v="834"/>
    <n v="2844"/>
    <n v="0"/>
    <n v="145"/>
    <n v="0"/>
    <n v="0"/>
    <n v="0"/>
    <n v="742"/>
    <n v="20"/>
    <n v="4144"/>
    <n v="0"/>
    <n v="0"/>
    <n v="541"/>
    <n v="15507"/>
    <n v="2989"/>
    <n v="4685"/>
  </r>
  <r>
    <s v="Monthly-AE-September-2024.csv"/>
    <x v="13"/>
    <s v="RWP"/>
    <s v="NHS ENGLAND MIDLANDS "/>
    <x v="68"/>
    <n v="12531"/>
    <n v="0"/>
    <n v="5773"/>
    <n v="127"/>
    <n v="0"/>
    <n v="13"/>
    <n v="5764"/>
    <n v="0"/>
    <n v="13"/>
    <n v="43"/>
    <n v="0"/>
    <n v="0"/>
    <n v="797"/>
    <n v="369"/>
    <n v="3329"/>
    <n v="0"/>
    <n v="0"/>
    <n v="887"/>
    <n v="18304"/>
    <n v="5777"/>
    <n v="4216"/>
  </r>
  <r>
    <s v="Monthly-AE-September-2024.csv"/>
    <x v="13"/>
    <s v="RXG"/>
    <s v="NHS ENGLAND NORTH EAST AND YORKSHIRE "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106"/>
    <n v="0"/>
    <n v="0"/>
    <n v="106"/>
  </r>
  <r>
    <s v="Monthly-AE-September-2024.csv"/>
    <x v="13"/>
    <s v="RXR"/>
    <s v="NHS ENGLAND NORTH WEST "/>
    <x v="92"/>
    <n v="13080"/>
    <n v="0"/>
    <n v="10362"/>
    <n v="0"/>
    <n v="0"/>
    <n v="0"/>
    <n v="4577"/>
    <n v="0"/>
    <n v="581"/>
    <n v="0"/>
    <n v="0"/>
    <n v="0"/>
    <n v="431"/>
    <n v="1146"/>
    <n v="4211"/>
    <n v="0"/>
    <n v="65"/>
    <n v="1770"/>
    <n v="23442"/>
    <n v="5158"/>
    <n v="6046"/>
  </r>
  <r>
    <s v="Monthly-AE-September-2024.csv"/>
    <x v="13"/>
    <s v="8J094"/>
    <s v="NHS ENGLAND MIDLANDS "/>
    <x v="2"/>
    <n v="0"/>
    <n v="0"/>
    <n v="0"/>
    <n v="0"/>
    <n v="0"/>
    <n v="2197"/>
    <n v="0"/>
    <n v="0"/>
    <n v="0"/>
    <n v="0"/>
    <n v="0"/>
    <n v="0"/>
    <n v="0"/>
    <n v="0"/>
    <n v="0"/>
    <n v="0"/>
    <n v="0"/>
    <n v="0"/>
    <n v="0"/>
    <n v="0"/>
    <n v="0"/>
  </r>
  <r>
    <s v="Monthly-AE-September-2024.csv"/>
    <x v="13"/>
    <s v="AXG"/>
    <s v="NHS ENGLAND SOUTH WEST "/>
    <x v="30"/>
    <n v="0"/>
    <n v="0"/>
    <n v="2529"/>
    <n v="0"/>
    <n v="0"/>
    <n v="0"/>
    <n v="0"/>
    <n v="0"/>
    <n v="31"/>
    <n v="0"/>
    <n v="0"/>
    <n v="0"/>
    <n v="0"/>
    <n v="0"/>
    <n v="0"/>
    <n v="0"/>
    <n v="0"/>
    <n v="0"/>
    <n v="2529"/>
    <n v="31"/>
    <n v="0"/>
  </r>
  <r>
    <s v="Monthly-AE-September-2024.csv"/>
    <x v="13"/>
    <s v="NR3"/>
    <s v="NHS ENGLAND MIDLANDS "/>
    <x v="57"/>
    <n v="0"/>
    <n v="0"/>
    <n v="4900"/>
    <n v="0"/>
    <n v="0"/>
    <n v="253"/>
    <n v="0"/>
    <n v="0"/>
    <n v="71"/>
    <n v="0"/>
    <n v="0"/>
    <n v="0"/>
    <n v="0"/>
    <n v="0"/>
    <n v="0"/>
    <n v="0"/>
    <n v="0"/>
    <n v="0"/>
    <n v="4900"/>
    <n v="71"/>
    <n v="0"/>
  </r>
  <r>
    <s v="Monthly-AE-September-2024.csv"/>
    <x v="13"/>
    <s v="RA2"/>
    <s v="NHS ENGLAND SOUTH EAST "/>
    <x v="97"/>
    <n v="6573"/>
    <n v="0"/>
    <n v="1514"/>
    <n v="596"/>
    <n v="0"/>
    <n v="7"/>
    <n v="1668"/>
    <n v="0"/>
    <n v="0"/>
    <n v="129"/>
    <n v="0"/>
    <n v="0"/>
    <n v="219"/>
    <n v="2"/>
    <n v="2356"/>
    <n v="0"/>
    <n v="0"/>
    <n v="994"/>
    <n v="8087"/>
    <n v="1668"/>
    <n v="3350"/>
  </r>
  <r>
    <s v="Monthly-AE-September-2024.csv"/>
    <x v="13"/>
    <s v="RAJ"/>
    <s v="NHS ENGLAND EAST OF ENGLAND "/>
    <x v="98"/>
    <n v="29860"/>
    <n v="0"/>
    <n v="5542"/>
    <n v="5"/>
    <n v="0"/>
    <n v="1"/>
    <n v="9787"/>
    <n v="0"/>
    <n v="208"/>
    <n v="2"/>
    <n v="0"/>
    <n v="0"/>
    <n v="3285"/>
    <n v="87"/>
    <n v="8684"/>
    <n v="0"/>
    <n v="224"/>
    <n v="1203"/>
    <n v="35402"/>
    <n v="9995"/>
    <n v="10111"/>
  </r>
  <r>
    <s v="Monthly-AE-September-2024.csv"/>
    <x v="13"/>
    <s v="RAN"/>
    <s v="NHS ENGLAND LONDON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0"/>
    <n v="23"/>
  </r>
  <r>
    <s v="Monthly-AE-September-2024.csv"/>
    <x v="13"/>
    <s v="RBD"/>
    <s v="NHS ENGLAND SOUTH WEST "/>
    <x v="101"/>
    <n v="4224"/>
    <n v="0"/>
    <n v="0"/>
    <n v="327"/>
    <n v="0"/>
    <n v="3705"/>
    <n v="1431"/>
    <n v="0"/>
    <n v="0"/>
    <n v="76"/>
    <n v="0"/>
    <n v="7"/>
    <n v="200"/>
    <n v="45"/>
    <n v="1826"/>
    <n v="0"/>
    <n v="0"/>
    <n v="460"/>
    <n v="4224"/>
    <n v="1431"/>
    <n v="2286"/>
  </r>
  <r>
    <s v="Monthly-AE-September-2024.csv"/>
    <x v="13"/>
    <s v="RC9"/>
    <s v="NHS ENGLAND EAST OF ENGLAND "/>
    <x v="131"/>
    <n v="15695"/>
    <n v="0"/>
    <n v="7173"/>
    <n v="0"/>
    <n v="0"/>
    <n v="792"/>
    <n v="5895"/>
    <n v="0"/>
    <n v="0"/>
    <n v="0"/>
    <n v="0"/>
    <n v="0"/>
    <n v="80"/>
    <n v="6"/>
    <n v="4430"/>
    <n v="0"/>
    <n v="0"/>
    <n v="2162"/>
    <n v="22868"/>
    <n v="5895"/>
    <n v="6592"/>
  </r>
  <r>
    <s v="Monthly-AE-September-2024.csv"/>
    <x v="13"/>
    <s v="RCB"/>
    <s v="NHS ENGLAND NORTH EAST AND YORKSHIRE "/>
    <x v="103"/>
    <n v="10220"/>
    <n v="348"/>
    <n v="6615"/>
    <n v="0"/>
    <n v="0"/>
    <n v="0"/>
    <n v="5877"/>
    <n v="0"/>
    <n v="234"/>
    <n v="0"/>
    <n v="0"/>
    <n v="0"/>
    <n v="876"/>
    <n v="645"/>
    <n v="4299"/>
    <n v="0"/>
    <n v="0"/>
    <n v="1617"/>
    <n v="17183"/>
    <n v="6111"/>
    <n v="5916"/>
  </r>
  <r>
    <s v="Monthly-AE-September-2024.csv"/>
    <x v="13"/>
    <s v="RCF"/>
    <s v="NHS ENGLAND NORTH EAST AND YORKSHIRE "/>
    <x v="104"/>
    <n v="5682"/>
    <n v="255"/>
    <n v="0"/>
    <n v="462"/>
    <n v="0"/>
    <n v="0"/>
    <n v="2290"/>
    <n v="0"/>
    <n v="0"/>
    <n v="0"/>
    <n v="0"/>
    <n v="0"/>
    <n v="420"/>
    <n v="93"/>
    <n v="1421"/>
    <n v="0"/>
    <n v="0"/>
    <n v="532"/>
    <n v="5937"/>
    <n v="2290"/>
    <n v="1953"/>
  </r>
  <r>
    <s v="Monthly-AE-September-2024.csv"/>
    <x v="13"/>
    <s v="RCX"/>
    <s v="NHS ENGLAND EAST OF ENGLAND "/>
    <x v="185"/>
    <n v="6549"/>
    <n v="0"/>
    <n v="1163"/>
    <n v="0"/>
    <n v="0"/>
    <n v="0"/>
    <n v="2687"/>
    <n v="0"/>
    <n v="0"/>
    <n v="0"/>
    <n v="0"/>
    <n v="0"/>
    <n v="264"/>
    <n v="87"/>
    <n v="2094"/>
    <n v="0"/>
    <n v="0"/>
    <n v="225"/>
    <n v="7712"/>
    <n v="2687"/>
    <n v="2319"/>
  </r>
  <r>
    <s v="Monthly-AE-September-2024.csv"/>
    <x v="13"/>
    <s v="REF"/>
    <s v="NHS ENGLAND SOUTH WEST "/>
    <x v="60"/>
    <n v="6479"/>
    <n v="0"/>
    <n v="12187"/>
    <n v="0"/>
    <n v="0"/>
    <n v="0"/>
    <n v="4002"/>
    <n v="0"/>
    <n v="871"/>
    <n v="0"/>
    <n v="0"/>
    <n v="0"/>
    <n v="578"/>
    <n v="605"/>
    <n v="2341"/>
    <n v="0"/>
    <n v="56"/>
    <n v="1333"/>
    <n v="18666"/>
    <n v="4873"/>
    <n v="3730"/>
  </r>
  <r>
    <s v="Monthly-AE-September-2024.csv"/>
    <x v="13"/>
    <s v="REP"/>
    <s v="NHS ENGLAND NORTH WEST "/>
    <x v="83"/>
    <n v="0"/>
    <n v="1377"/>
    <n v="0"/>
    <n v="0"/>
    <n v="127"/>
    <n v="0"/>
    <n v="0"/>
    <n v="258"/>
    <n v="0"/>
    <n v="0"/>
    <n v="0"/>
    <n v="0"/>
    <n v="0"/>
    <n v="0"/>
    <n v="0"/>
    <n v="132"/>
    <n v="0"/>
    <n v="14"/>
    <n v="1377"/>
    <n v="258"/>
    <n v="146"/>
  </r>
  <r>
    <s v="Monthly-AE-September-2024.csv"/>
    <x v="13"/>
    <s v="RGN"/>
    <s v="NHS ENGLAND EAST OF ENGLAND "/>
    <x v="106"/>
    <n v="13806"/>
    <n v="0"/>
    <n v="4577"/>
    <n v="255"/>
    <n v="0"/>
    <n v="473"/>
    <n v="5236"/>
    <n v="0"/>
    <n v="222"/>
    <n v="84"/>
    <n v="0"/>
    <n v="13"/>
    <n v="509"/>
    <n v="732"/>
    <n v="3535"/>
    <n v="0"/>
    <n v="34"/>
    <n v="1405"/>
    <n v="18383"/>
    <n v="5458"/>
    <n v="4974"/>
  </r>
  <r>
    <s v="Monthly-AE-September-2024.csv"/>
    <x v="13"/>
    <s v="RGR"/>
    <s v="NHS ENGLAND EAST OF ENGLAND "/>
    <x v="192"/>
    <n v="7550"/>
    <n v="0"/>
    <n v="635"/>
    <n v="69"/>
    <n v="0"/>
    <n v="0"/>
    <n v="2669"/>
    <n v="0"/>
    <n v="0"/>
    <n v="0"/>
    <n v="0"/>
    <n v="0"/>
    <n v="460"/>
    <n v="430"/>
    <n v="1848"/>
    <n v="0"/>
    <n v="0"/>
    <n v="382"/>
    <n v="8185"/>
    <n v="2669"/>
    <n v="2230"/>
  </r>
  <r>
    <s v="Monthly-AE-September-2024.csv"/>
    <x v="13"/>
    <s v="RJL"/>
    <s v="NHS ENGLAND NORTH EAST AND YORKSHIRE "/>
    <x v="188"/>
    <n v="8543"/>
    <n v="0"/>
    <n v="6157"/>
    <n v="0"/>
    <n v="0"/>
    <n v="360"/>
    <n v="4298"/>
    <n v="0"/>
    <n v="58"/>
    <n v="0"/>
    <n v="0"/>
    <n v="4"/>
    <n v="697"/>
    <n v="672"/>
    <n v="4995"/>
    <n v="0"/>
    <n v="0"/>
    <n v="412"/>
    <n v="14700"/>
    <n v="4356"/>
    <n v="5407"/>
  </r>
  <r>
    <s v="Monthly-AE-September-2024.csv"/>
    <x v="13"/>
    <s v="RJR"/>
    <s v="NHS ENGLAND NORTH WEST "/>
    <x v="108"/>
    <n v="4835"/>
    <n v="0"/>
    <n v="2211"/>
    <n v="0"/>
    <n v="0"/>
    <n v="0"/>
    <n v="2496"/>
    <n v="0"/>
    <n v="155"/>
    <n v="0"/>
    <n v="0"/>
    <n v="0"/>
    <n v="239"/>
    <n v="648"/>
    <n v="1584"/>
    <n v="0"/>
    <n v="0"/>
    <n v="1266"/>
    <n v="7046"/>
    <n v="2651"/>
    <n v="2850"/>
  </r>
  <r>
    <s v="Monthly-AE-September-2024.csv"/>
    <x v="13"/>
    <s v="RL4"/>
    <s v="NHS ENGLAND MIDLANDS "/>
    <x v="85"/>
    <n v="12573"/>
    <n v="0"/>
    <n v="6635"/>
    <n v="81"/>
    <n v="0"/>
    <n v="719"/>
    <n v="3944"/>
    <n v="0"/>
    <n v="53"/>
    <n v="19"/>
    <n v="0"/>
    <n v="0"/>
    <n v="1168"/>
    <n v="253"/>
    <n v="5775"/>
    <n v="0"/>
    <n v="0"/>
    <n v="863"/>
    <n v="19208"/>
    <n v="3997"/>
    <n v="6638"/>
  </r>
  <r>
    <s v="Monthly-AE-September-2024.csv"/>
    <x v="13"/>
    <s v="RNA"/>
    <s v="NHS ENGLAND MIDLANDS "/>
    <x v="63"/>
    <n v="9183"/>
    <n v="0"/>
    <n v="4014"/>
    <n v="0"/>
    <n v="0"/>
    <n v="666"/>
    <n v="2540"/>
    <n v="0"/>
    <n v="69"/>
    <n v="0"/>
    <n v="0"/>
    <n v="0"/>
    <n v="1939"/>
    <n v="71"/>
    <n v="3484"/>
    <n v="0"/>
    <n v="0"/>
    <n v="2250"/>
    <n v="13197"/>
    <n v="2609"/>
    <n v="5734"/>
  </r>
  <r>
    <s v="Monthly-AE-September-2024.csv"/>
    <x v="13"/>
    <s v="RNQ"/>
    <s v="NHS ENGLAND MIDLANDS "/>
    <x v="64"/>
    <n v="9328"/>
    <n v="0"/>
    <n v="8057"/>
    <n v="330"/>
    <n v="0"/>
    <n v="0"/>
    <n v="3527"/>
    <n v="0"/>
    <n v="105"/>
    <n v="0"/>
    <n v="0"/>
    <n v="0"/>
    <n v="1356"/>
    <n v="0"/>
    <n v="1952"/>
    <n v="0"/>
    <n v="0"/>
    <n v="206"/>
    <n v="17385"/>
    <n v="3632"/>
    <n v="2158"/>
  </r>
  <r>
    <s v="Monthly-AE-September-2024.csv"/>
    <x v="13"/>
    <s v="RRF"/>
    <s v="NHS ENGLAND NORTH WEST "/>
    <x v="150"/>
    <n v="7174"/>
    <n v="0"/>
    <n v="5104"/>
    <n v="0"/>
    <n v="0"/>
    <n v="0"/>
    <n v="3456"/>
    <n v="0"/>
    <n v="36"/>
    <n v="0"/>
    <n v="0"/>
    <n v="0"/>
    <n v="1175"/>
    <n v="457"/>
    <n v="3058"/>
    <n v="0"/>
    <n v="0"/>
    <n v="793"/>
    <n v="12278"/>
    <n v="3492"/>
    <n v="3851"/>
  </r>
  <r>
    <s v="Monthly-AE-September-2024.csv"/>
    <x v="13"/>
    <s v="RRV"/>
    <s v="NHS ENGLAND LONDON"/>
    <x v="28"/>
    <n v="12555"/>
    <n v="0"/>
    <n v="0"/>
    <n v="349"/>
    <n v="0"/>
    <n v="0"/>
    <n v="3472"/>
    <n v="0"/>
    <n v="0"/>
    <n v="0"/>
    <n v="0"/>
    <n v="0"/>
    <n v="378"/>
    <n v="85"/>
    <n v="1366"/>
    <n v="0"/>
    <n v="0"/>
    <n v="286"/>
    <n v="12555"/>
    <n v="3472"/>
    <n v="1652"/>
  </r>
  <r>
    <s v="Monthly-AE-September-2024.csv"/>
    <x v="13"/>
    <s v="RTQ"/>
    <s v="NHS ENGLAND SOUTH WEST "/>
    <x v="115"/>
    <n v="0"/>
    <n v="0"/>
    <n v="7270"/>
    <n v="0"/>
    <n v="0"/>
    <n v="0"/>
    <n v="0"/>
    <n v="0"/>
    <n v="25"/>
    <n v="0"/>
    <n v="0"/>
    <n v="0"/>
    <n v="0"/>
    <n v="0"/>
    <n v="0"/>
    <n v="0"/>
    <n v="1"/>
    <n v="16"/>
    <n v="7270"/>
    <n v="25"/>
    <n v="17"/>
  </r>
  <r>
    <s v="Monthly-AE-September-2024.csv"/>
    <x v="13"/>
    <s v="RVW"/>
    <s v="NHS ENGLAND NORTH EAST AND YORKSHIRE "/>
    <x v="90"/>
    <n v="4549"/>
    <n v="0"/>
    <n v="10963"/>
    <n v="0"/>
    <n v="0"/>
    <n v="0"/>
    <n v="2201"/>
    <n v="0"/>
    <n v="38"/>
    <n v="0"/>
    <n v="0"/>
    <n v="0"/>
    <n v="154"/>
    <n v="5"/>
    <n v="1614"/>
    <n v="0"/>
    <n v="525"/>
    <n v="2149"/>
    <n v="15512"/>
    <n v="2239"/>
    <n v="4288"/>
  </r>
  <r>
    <s v="Monthly-AE-September-2024.csv"/>
    <x v="13"/>
    <s v="RWF"/>
    <s v="NHS ENGLAND SOUTH EAST "/>
    <x v="118"/>
    <n v="17850"/>
    <n v="0"/>
    <n v="2125"/>
    <n v="915"/>
    <n v="0"/>
    <n v="154"/>
    <n v="3382"/>
    <n v="0"/>
    <n v="4"/>
    <n v="98"/>
    <n v="0"/>
    <n v="0"/>
    <n v="890"/>
    <n v="64"/>
    <n v="4902"/>
    <n v="0"/>
    <n v="0"/>
    <n v="893"/>
    <n v="19975"/>
    <n v="3386"/>
    <n v="5795"/>
  </r>
  <r>
    <s v="Monthly-AE-September-2024.csv"/>
    <x v="13"/>
    <s v="RXW"/>
    <s v="NHS ENGLAND MIDLANDS "/>
    <x v="120"/>
    <n v="10075"/>
    <n v="0"/>
    <n v="2289"/>
    <n v="0"/>
    <n v="0"/>
    <n v="0"/>
    <n v="5745"/>
    <n v="0"/>
    <n v="170"/>
    <n v="0"/>
    <n v="0"/>
    <n v="0"/>
    <n v="484"/>
    <n v="587"/>
    <n v="3078"/>
    <n v="0"/>
    <n v="164"/>
    <n v="2030"/>
    <n v="12364"/>
    <n v="5915"/>
    <n v="5272"/>
  </r>
  <r>
    <s v="Monthly-AE-September-2024.csv"/>
    <x v="13"/>
    <s v="RY2"/>
    <s v="NHS ENGLAND NORTH WEST "/>
    <x v="73"/>
    <n v="0"/>
    <n v="0"/>
    <n v="2779"/>
    <n v="0"/>
    <n v="0"/>
    <n v="136"/>
    <n v="0"/>
    <n v="0"/>
    <n v="24"/>
    <n v="0"/>
    <n v="0"/>
    <n v="2"/>
    <n v="0"/>
    <n v="0"/>
    <n v="0"/>
    <n v="0"/>
    <n v="0"/>
    <n v="0"/>
    <n v="2779"/>
    <n v="24"/>
    <n v="0"/>
  </r>
  <r>
    <s v="Monthly-AE-September-2024.csv"/>
    <x v="13"/>
    <s v="RY8"/>
    <s v="NHS ENGLAND MIDLANDS "/>
    <x v="13"/>
    <n v="0"/>
    <n v="0"/>
    <n v="5893"/>
    <n v="0"/>
    <n v="0"/>
    <n v="1365"/>
    <n v="0"/>
    <n v="0"/>
    <n v="33"/>
    <n v="0"/>
    <n v="0"/>
    <n v="1"/>
    <n v="0"/>
    <n v="0"/>
    <n v="0"/>
    <n v="0"/>
    <n v="0"/>
    <n v="0"/>
    <n v="5893"/>
    <n v="33"/>
    <n v="0"/>
  </r>
  <r>
    <s v="Monthly-AE-September-2024.csv"/>
    <x v="13"/>
    <s v="RYG"/>
    <s v="NHS ENGLAND MIDLANDS "/>
    <x v="162"/>
    <n v="0"/>
    <n v="0"/>
    <n v="0"/>
    <n v="0"/>
    <n v="0"/>
    <n v="0"/>
    <n v="0"/>
    <n v="0"/>
    <n v="0"/>
    <n v="0"/>
    <n v="0"/>
    <n v="0"/>
    <n v="0"/>
    <n v="0"/>
    <n v="0"/>
    <n v="0"/>
    <n v="6"/>
    <n v="62"/>
    <n v="0"/>
    <n v="0"/>
    <n v="68"/>
  </r>
  <r>
    <s v="Monthly-AE-September-2024.csv"/>
    <x v="13"/>
    <s v="Y02428"/>
    <s v="NHS ENGLAND EAST OF ENGLAND "/>
    <x v="49"/>
    <n v="0"/>
    <n v="0"/>
    <n v="2396"/>
    <n v="0"/>
    <n v="0"/>
    <n v="0"/>
    <n v="0"/>
    <n v="0"/>
    <n v="0"/>
    <n v="0"/>
    <n v="0"/>
    <n v="0"/>
    <n v="0"/>
    <n v="0"/>
    <n v="0"/>
    <n v="0"/>
    <n v="0"/>
    <n v="0"/>
    <n v="2396"/>
    <n v="0"/>
    <n v="0"/>
  </r>
  <r>
    <s v="Monthly-AE-September-2024.csv"/>
    <x v="13"/>
    <s v="Y03007"/>
    <s v="NHS ENGLAND MIDLANDS "/>
    <x v="17"/>
    <n v="0"/>
    <n v="0"/>
    <n v="0"/>
    <n v="0"/>
    <n v="0"/>
    <n v="2093"/>
    <n v="0"/>
    <n v="0"/>
    <n v="0"/>
    <n v="0"/>
    <n v="0"/>
    <n v="0"/>
    <n v="0"/>
    <n v="0"/>
    <n v="0"/>
    <n v="0"/>
    <n v="0"/>
    <n v="0"/>
    <n v="0"/>
    <n v="0"/>
    <n v="0"/>
  </r>
  <r>
    <s v="Monthly-AE-September-2024.csv"/>
    <x v="13"/>
    <s v="AQN04"/>
    <s v="NHS ENGLAND SOUTH EAST "/>
    <x v="4"/>
    <n v="0"/>
    <n v="0"/>
    <n v="2805"/>
    <n v="0"/>
    <n v="0"/>
    <n v="4"/>
    <n v="0"/>
    <n v="0"/>
    <n v="6"/>
    <n v="0"/>
    <n v="0"/>
    <n v="0"/>
    <n v="0"/>
    <n v="0"/>
    <n v="0"/>
    <n v="0"/>
    <n v="0"/>
    <n v="0"/>
    <n v="2805"/>
    <n v="6"/>
    <n v="0"/>
  </r>
  <r>
    <s v="Monthly-AE-September-2024.csv"/>
    <x v="13"/>
    <s v="ARN03"/>
    <s v="NHS ENGLAND NORTH EAST AND YORKSHIRE "/>
    <x v="164"/>
    <n v="0"/>
    <n v="0"/>
    <n v="1937"/>
    <n v="0"/>
    <n v="0"/>
    <n v="250"/>
    <n v="0"/>
    <n v="0"/>
    <n v="0"/>
    <n v="0"/>
    <n v="0"/>
    <n v="0"/>
    <n v="0"/>
    <n v="0"/>
    <n v="0"/>
    <n v="0"/>
    <n v="0"/>
    <n v="0"/>
    <n v="1937"/>
    <n v="0"/>
    <n v="0"/>
  </r>
  <r>
    <s v="Monthly-AE-September-2024.csv"/>
    <x v="13"/>
    <s v="NNF09"/>
    <s v="NHS ENGLAND NORTH EAST AND YORKSHIRE "/>
    <x v="124"/>
    <n v="0"/>
    <n v="0"/>
    <n v="3454"/>
    <n v="0"/>
    <n v="0"/>
    <n v="0"/>
    <n v="0"/>
    <n v="0"/>
    <n v="187"/>
    <n v="0"/>
    <n v="0"/>
    <n v="0"/>
    <n v="0"/>
    <n v="0"/>
    <n v="0"/>
    <n v="0"/>
    <n v="0"/>
    <n v="0"/>
    <n v="3454"/>
    <n v="187"/>
    <n v="0"/>
  </r>
  <r>
    <s v="Monthly-AE-September-2024.csv"/>
    <x v="13"/>
    <s v="NNF16"/>
    <s v="NHS ENGLAND NORTH EAST AND YORKSHIRE "/>
    <x v="198"/>
    <n v="0"/>
    <n v="0"/>
    <n v="1526"/>
    <n v="0"/>
    <n v="0"/>
    <n v="0"/>
    <n v="0"/>
    <n v="0"/>
    <n v="27"/>
    <n v="0"/>
    <n v="0"/>
    <n v="0"/>
    <n v="0"/>
    <n v="0"/>
    <n v="0"/>
    <n v="0"/>
    <n v="0"/>
    <n v="0"/>
    <n v="1526"/>
    <n v="27"/>
    <n v="0"/>
  </r>
  <r>
    <s v="Monthly-AE-September-2024.csv"/>
    <x v="13"/>
    <s v="NNF94"/>
    <s v="NHS ENGLAND NORTH EAST AND YORKSHIRE "/>
    <x v="125"/>
    <n v="0"/>
    <n v="0"/>
    <n v="2637"/>
    <n v="0"/>
    <n v="0"/>
    <n v="0"/>
    <n v="0"/>
    <n v="0"/>
    <n v="136"/>
    <n v="0"/>
    <n v="0"/>
    <n v="0"/>
    <n v="0"/>
    <n v="0"/>
    <n v="0"/>
    <n v="0"/>
    <n v="0"/>
    <n v="0"/>
    <n v="2637"/>
    <n v="136"/>
    <n v="0"/>
  </r>
  <r>
    <s v="Monthly-AE-September-2024.csv"/>
    <x v="13"/>
    <s v="NNFA7"/>
    <s v="NHS ENGLAND NORTH EAST AND YORKSHIRE "/>
    <x v="126"/>
    <n v="0"/>
    <n v="0"/>
    <n v="1522"/>
    <n v="0"/>
    <n v="0"/>
    <n v="0"/>
    <n v="0"/>
    <n v="0"/>
    <n v="40"/>
    <n v="0"/>
    <n v="0"/>
    <n v="0"/>
    <n v="0"/>
    <n v="0"/>
    <n v="0"/>
    <n v="0"/>
    <n v="0"/>
    <n v="0"/>
    <n v="1522"/>
    <n v="40"/>
    <n v="0"/>
  </r>
  <r>
    <s v="Monthly-AE-September-2024.csv"/>
    <x v="13"/>
    <s v="NNJ07"/>
    <s v="NHS ENGLAND MIDLANDS "/>
    <x v="52"/>
    <n v="0"/>
    <n v="0"/>
    <n v="5362"/>
    <n v="0"/>
    <n v="0"/>
    <n v="551"/>
    <n v="0"/>
    <n v="0"/>
    <n v="18"/>
    <n v="0"/>
    <n v="0"/>
    <n v="0"/>
    <n v="0"/>
    <n v="0"/>
    <n v="0"/>
    <n v="0"/>
    <n v="0"/>
    <n v="0"/>
    <n v="5362"/>
    <n v="18"/>
    <n v="0"/>
  </r>
  <r>
    <s v="Monthly-AE-September-2024.csv"/>
    <x v="13"/>
    <s v="NNJ0H"/>
    <s v="NHS ENGLAND MIDLANDS "/>
    <x v="53"/>
    <n v="0"/>
    <n v="0"/>
    <n v="199"/>
    <n v="0"/>
    <n v="0"/>
    <n v="1927"/>
    <n v="0"/>
    <n v="0"/>
    <n v="1"/>
    <n v="0"/>
    <n v="0"/>
    <n v="0"/>
    <n v="0"/>
    <n v="0"/>
    <n v="0"/>
    <n v="0"/>
    <n v="0"/>
    <n v="0"/>
    <n v="199"/>
    <n v="1"/>
    <n v="0"/>
  </r>
  <r>
    <s v="Monthly-AE-September-2024.csv"/>
    <x v="13"/>
    <s v="NNJ12"/>
    <s v="NHS ENGLAND MIDLANDS "/>
    <x v="54"/>
    <n v="0"/>
    <n v="0"/>
    <n v="76"/>
    <n v="0"/>
    <n v="0"/>
    <n v="359"/>
    <n v="0"/>
    <n v="0"/>
    <n v="0"/>
    <n v="0"/>
    <n v="0"/>
    <n v="0"/>
    <n v="0"/>
    <n v="0"/>
    <n v="0"/>
    <n v="0"/>
    <n v="0"/>
    <n v="0"/>
    <n v="76"/>
    <n v="0"/>
    <n v="0"/>
  </r>
  <r>
    <s v="Monthly-AE-September-2024.csv"/>
    <x v="13"/>
    <s v="NNJ13"/>
    <s v="NHS ENGLAND MIDLANDS "/>
    <x v="55"/>
    <n v="0"/>
    <n v="0"/>
    <n v="58"/>
    <n v="0"/>
    <n v="0"/>
    <n v="341"/>
    <n v="0"/>
    <n v="0"/>
    <n v="0"/>
    <n v="0"/>
    <n v="0"/>
    <n v="0"/>
    <n v="0"/>
    <n v="0"/>
    <n v="0"/>
    <n v="0"/>
    <n v="0"/>
    <n v="0"/>
    <n v="58"/>
    <n v="0"/>
    <n v="0"/>
  </r>
  <r>
    <s v="Monthly-AE-September-2024.csv"/>
    <x v="13"/>
    <s v="NNJ14"/>
    <s v="NHS ENGLAND MIDLANDS "/>
    <x v="191"/>
    <n v="0"/>
    <n v="0"/>
    <n v="482"/>
    <n v="0"/>
    <n v="0"/>
    <n v="2161"/>
    <n v="0"/>
    <n v="0"/>
    <n v="0"/>
    <n v="0"/>
    <n v="0"/>
    <n v="0"/>
    <n v="0"/>
    <n v="0"/>
    <n v="0"/>
    <n v="0"/>
    <n v="0"/>
    <n v="0"/>
    <n v="482"/>
    <n v="0"/>
    <n v="0"/>
  </r>
  <r>
    <s v="Monthly-AE-September-2024.csv"/>
    <x v="13"/>
    <s v="NNJ15"/>
    <s v="NHS ENGLAND MIDLANDS "/>
    <x v="56"/>
    <n v="0"/>
    <n v="0"/>
    <n v="72"/>
    <n v="0"/>
    <n v="0"/>
    <n v="353"/>
    <n v="0"/>
    <n v="0"/>
    <n v="0"/>
    <n v="0"/>
    <n v="0"/>
    <n v="0"/>
    <n v="0"/>
    <n v="0"/>
    <n v="0"/>
    <n v="0"/>
    <n v="0"/>
    <n v="0"/>
    <n v="72"/>
    <n v="0"/>
    <n v="0"/>
  </r>
  <r>
    <s v="Monthly-AE-September-2024.csv"/>
    <x v="13"/>
    <s v="R0B"/>
    <s v="NHS ENGLAND NORTH EAST AND YORKSHIRE "/>
    <x v="44"/>
    <n v="11215"/>
    <n v="1228"/>
    <n v="5828"/>
    <n v="458"/>
    <n v="0"/>
    <n v="1285"/>
    <n v="4778"/>
    <n v="38"/>
    <n v="161"/>
    <n v="202"/>
    <n v="0"/>
    <n v="44"/>
    <n v="403"/>
    <n v="2"/>
    <n v="4324"/>
    <n v="24"/>
    <n v="0"/>
    <n v="1216"/>
    <n v="18271"/>
    <n v="4977"/>
    <n v="5564"/>
  </r>
  <r>
    <s v="Monthly-AE-September-2024.csv"/>
    <x v="13"/>
    <s v="R0D"/>
    <s v="NHS ENGLAND SOUTH WEST "/>
    <x v="77"/>
    <n v="12978"/>
    <n v="0"/>
    <n v="4777"/>
    <n v="0"/>
    <n v="0"/>
    <n v="0"/>
    <n v="4879"/>
    <n v="0"/>
    <n v="0"/>
    <n v="0"/>
    <n v="0"/>
    <n v="0"/>
    <n v="752"/>
    <n v="128"/>
    <n v="3915"/>
    <n v="0"/>
    <n v="0"/>
    <n v="2245"/>
    <n v="17755"/>
    <n v="4879"/>
    <n v="6160"/>
  </r>
  <r>
    <s v="Monthly-AE-September-2024.csv"/>
    <x v="13"/>
    <s v="R1K"/>
    <s v="NHS ENGLAND LONDON"/>
    <x v="128"/>
    <n v="12797"/>
    <n v="0"/>
    <n v="14079"/>
    <n v="0"/>
    <n v="0"/>
    <n v="0"/>
    <n v="6832"/>
    <n v="0"/>
    <n v="81"/>
    <n v="0"/>
    <n v="0"/>
    <n v="0"/>
    <n v="756"/>
    <n v="576"/>
    <n v="6418"/>
    <n v="0"/>
    <n v="0"/>
    <n v="285"/>
    <n v="26876"/>
    <n v="6913"/>
    <n v="6703"/>
  </r>
  <r>
    <s v="Monthly-AE-September-2024.csv"/>
    <x v="13"/>
    <s v="RAE"/>
    <s v="NHS ENGLAND NORTH EAST AND YORKSHIRE "/>
    <x v="79"/>
    <n v="8960"/>
    <n v="1219"/>
    <n v="3022"/>
    <n v="0"/>
    <n v="0"/>
    <n v="0"/>
    <n v="2273"/>
    <n v="0"/>
    <n v="0"/>
    <n v="0"/>
    <n v="0"/>
    <n v="0"/>
    <n v="729"/>
    <n v="55"/>
    <n v="2590"/>
    <n v="0"/>
    <n v="42"/>
    <n v="1363"/>
    <n v="13201"/>
    <n v="2273"/>
    <n v="3995"/>
  </r>
  <r>
    <s v="Monthly-AE-September-2024.csv"/>
    <x v="13"/>
    <s v="RAP"/>
    <s v="NHS ENGLAND LONDON"/>
    <x v="129"/>
    <n v="7912"/>
    <n v="483"/>
    <n v="6512"/>
    <n v="82"/>
    <n v="2"/>
    <n v="92"/>
    <n v="3898"/>
    <n v="3"/>
    <n v="574"/>
    <n v="32"/>
    <n v="0"/>
    <n v="7"/>
    <n v="300"/>
    <n v="791"/>
    <n v="1375"/>
    <n v="0"/>
    <n v="187"/>
    <n v="43"/>
    <n v="14907"/>
    <n v="4475"/>
    <n v="1605"/>
  </r>
  <r>
    <s v="Monthly-AE-September-2024.csv"/>
    <x v="13"/>
    <s v="RBV"/>
    <s v="NHS ENGLAND NORTH WEST 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772"/>
    <n v="0"/>
    <n v="0"/>
    <n v="772"/>
  </r>
  <r>
    <s v="Monthly-AE-September-2024.csv"/>
    <x v="13"/>
    <s v="RCU"/>
    <s v="NHS ENGLAND NORTH EAST AND YORKSHIRE "/>
    <x v="81"/>
    <n v="4336"/>
    <n v="0"/>
    <n v="327"/>
    <n v="272"/>
    <n v="0"/>
    <n v="17"/>
    <n v="313"/>
    <n v="0"/>
    <n v="0"/>
    <n v="21"/>
    <n v="0"/>
    <n v="0"/>
    <n v="11"/>
    <n v="0"/>
    <n v="1071"/>
    <n v="0"/>
    <n v="0"/>
    <n v="90"/>
    <n v="4663"/>
    <n v="313"/>
    <n v="1161"/>
  </r>
  <r>
    <s v="Monthly-AE-September-2024.csv"/>
    <x v="13"/>
    <s v="RD8"/>
    <s v="NHS ENGLAND EAST OF ENGLAND "/>
    <x v="105"/>
    <n v="8258"/>
    <n v="0"/>
    <n v="4584"/>
    <n v="431"/>
    <n v="0"/>
    <n v="135"/>
    <n v="3361"/>
    <n v="0"/>
    <n v="59"/>
    <n v="205"/>
    <n v="0"/>
    <n v="0"/>
    <n v="582"/>
    <n v="0"/>
    <n v="1980"/>
    <n v="0"/>
    <n v="0"/>
    <n v="405"/>
    <n v="12842"/>
    <n v="3420"/>
    <n v="2385"/>
  </r>
  <r>
    <s v="Monthly-AE-September-2024.csv"/>
    <x v="13"/>
    <s v="RDU"/>
    <s v="NHS ENGLAND SOUTH EAST "/>
    <x v="82"/>
    <n v="22006"/>
    <n v="968"/>
    <n v="10346"/>
    <n v="0"/>
    <n v="0"/>
    <n v="0"/>
    <n v="10332"/>
    <n v="0"/>
    <n v="107"/>
    <n v="0"/>
    <n v="0"/>
    <n v="0"/>
    <n v="1910"/>
    <n v="247"/>
    <n v="5936"/>
    <n v="0"/>
    <n v="0"/>
    <n v="105"/>
    <n v="33320"/>
    <n v="10439"/>
    <n v="6041"/>
  </r>
  <r>
    <s v="Monthly-AE-September-2024.csv"/>
    <x v="13"/>
    <s v="RF4"/>
    <s v="NHS ENGLAND LONDON"/>
    <x v="167"/>
    <n v="12549"/>
    <n v="2408"/>
    <n v="12453"/>
    <n v="0"/>
    <n v="0"/>
    <n v="0"/>
    <n v="5513"/>
    <n v="318"/>
    <n v="97"/>
    <n v="0"/>
    <n v="0"/>
    <n v="0"/>
    <n v="693"/>
    <n v="618"/>
    <n v="7657"/>
    <n v="0"/>
    <n v="0"/>
    <n v="386"/>
    <n v="27410"/>
    <n v="5928"/>
    <n v="8043"/>
  </r>
  <r>
    <s v="Monthly-AE-September-2024.csv"/>
    <x v="13"/>
    <s v="RFR"/>
    <s v="NHS ENGLAND NORTH EAST AND YORKSHIRE "/>
    <x v="45"/>
    <n v="8327"/>
    <n v="0"/>
    <n v="0"/>
    <n v="0"/>
    <n v="0"/>
    <n v="0"/>
    <n v="2924"/>
    <n v="0"/>
    <n v="0"/>
    <n v="0"/>
    <n v="0"/>
    <n v="0"/>
    <n v="481"/>
    <n v="6"/>
    <n v="1887"/>
    <n v="0"/>
    <n v="0"/>
    <n v="360"/>
    <n v="8327"/>
    <n v="2924"/>
    <n v="2247"/>
  </r>
  <r>
    <s v="Monthly-AE-September-2024.csv"/>
    <x v="13"/>
    <s v="RFS"/>
    <s v="NHS ENGLAND MIDLANDS "/>
    <x v="133"/>
    <n v="6907"/>
    <n v="0"/>
    <n v="5664"/>
    <n v="249"/>
    <n v="0"/>
    <n v="105"/>
    <n v="3635"/>
    <n v="0"/>
    <n v="241"/>
    <n v="119"/>
    <n v="0"/>
    <n v="34"/>
    <n v="940"/>
    <n v="99"/>
    <n v="2468"/>
    <n v="0"/>
    <n v="300"/>
    <n v="568"/>
    <n v="12571"/>
    <n v="3876"/>
    <n v="3336"/>
  </r>
  <r>
    <s v="Monthly-AE-September-2024.csv"/>
    <x v="13"/>
    <s v="RGT"/>
    <s v="NHS ENGLAND EAST OF ENGLAND "/>
    <x v="107"/>
    <n v="10326"/>
    <n v="0"/>
    <n v="5689"/>
    <n v="269"/>
    <n v="0"/>
    <n v="261"/>
    <n v="5112"/>
    <n v="0"/>
    <n v="139"/>
    <n v="88"/>
    <n v="0"/>
    <n v="21"/>
    <n v="605"/>
    <n v="397"/>
    <n v="2733"/>
    <n v="0"/>
    <n v="23"/>
    <n v="470"/>
    <n v="16015"/>
    <n v="5251"/>
    <n v="3226"/>
  </r>
  <r>
    <s v="Monthly-AE-September-2024.csv"/>
    <x v="13"/>
    <s v="RH8"/>
    <s v="NHS ENGLAND SOUTH WEST "/>
    <x v="186"/>
    <n v="12118"/>
    <n v="0"/>
    <n v="4225"/>
    <n v="1109"/>
    <n v="0"/>
    <n v="64"/>
    <n v="4581"/>
    <n v="0"/>
    <n v="33"/>
    <n v="327"/>
    <n v="0"/>
    <n v="1"/>
    <n v="1330"/>
    <n v="31"/>
    <n v="3836"/>
    <n v="0"/>
    <n v="0"/>
    <n v="2141"/>
    <n v="16343"/>
    <n v="4614"/>
    <n v="5977"/>
  </r>
  <r>
    <s v="Monthly-AE-September-2024.csv"/>
    <x v="13"/>
    <s v="RJ6"/>
    <s v="NHS ENGLAND LONDON"/>
    <x v="136"/>
    <n v="12509"/>
    <n v="0"/>
    <n v="4747"/>
    <n v="0"/>
    <n v="0"/>
    <n v="0"/>
    <n v="4632"/>
    <n v="0"/>
    <n v="0"/>
    <n v="0"/>
    <n v="0"/>
    <n v="0"/>
    <n v="281"/>
    <n v="617"/>
    <n v="1256"/>
    <n v="0"/>
    <n v="0"/>
    <n v="110"/>
    <n v="17256"/>
    <n v="4632"/>
    <n v="1366"/>
  </r>
  <r>
    <s v="Monthly-AE-September-2024.csv"/>
    <x v="13"/>
    <s v="RJN"/>
    <s v="NHS ENGLAND NORTH WEST "/>
    <x v="40"/>
    <n v="4101"/>
    <n v="0"/>
    <n v="0"/>
    <n v="67"/>
    <n v="0"/>
    <n v="55"/>
    <n v="1982"/>
    <n v="0"/>
    <n v="0"/>
    <n v="0"/>
    <n v="0"/>
    <n v="0"/>
    <n v="214"/>
    <n v="182"/>
    <n v="827"/>
    <n v="0"/>
    <n v="0"/>
    <n v="211"/>
    <n v="4101"/>
    <n v="1982"/>
    <n v="1038"/>
  </r>
  <r>
    <s v="Monthly-AE-September-2024.csv"/>
    <x v="13"/>
    <s v="RJZ"/>
    <s v="NHS ENGLAND LONDON"/>
    <x v="62"/>
    <n v="15439"/>
    <n v="0"/>
    <n v="8350"/>
    <n v="63"/>
    <n v="0"/>
    <n v="1208"/>
    <n v="6317"/>
    <n v="0"/>
    <n v="557"/>
    <n v="17"/>
    <n v="0"/>
    <n v="1"/>
    <n v="1469"/>
    <n v="647"/>
    <n v="4545"/>
    <n v="0"/>
    <n v="0"/>
    <n v="329"/>
    <n v="23789"/>
    <n v="6874"/>
    <n v="4874"/>
  </r>
  <r>
    <s v="Monthly-AE-September-2024.csv"/>
    <x v="13"/>
    <s v="RK5"/>
    <s v="NHS ENGLAND MIDLANDS "/>
    <x v="109"/>
    <n v="10570"/>
    <n v="0"/>
    <n v="5086"/>
    <n v="347"/>
    <n v="0"/>
    <n v="135"/>
    <n v="3989"/>
    <n v="0"/>
    <n v="123"/>
    <n v="144"/>
    <n v="0"/>
    <n v="2"/>
    <n v="623"/>
    <n v="127"/>
    <n v="3772"/>
    <n v="0"/>
    <n v="0"/>
    <n v="221"/>
    <n v="15656"/>
    <n v="4112"/>
    <n v="3993"/>
  </r>
  <r>
    <s v="Monthly-AE-September-2024.csv"/>
    <x v="13"/>
    <s v="RL1"/>
    <s v="NHS ENGLAND MIDLANDS "/>
    <x v="177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"/>
  </r>
  <r>
    <s v="Monthly-AE-September-2024.csv"/>
    <x v="13"/>
    <s v="RMP"/>
    <s v="NHS ENGLAND NORTH WEST "/>
    <x v="143"/>
    <n v="8525"/>
    <n v="0"/>
    <n v="2323"/>
    <n v="407"/>
    <n v="0"/>
    <n v="250"/>
    <n v="3915"/>
    <n v="0"/>
    <n v="0"/>
    <n v="0"/>
    <n v="0"/>
    <n v="0"/>
    <n v="652"/>
    <n v="286"/>
    <n v="1853"/>
    <n v="0"/>
    <n v="0"/>
    <n v="345"/>
    <n v="10848"/>
    <n v="3915"/>
    <n v="2198"/>
  </r>
  <r>
    <s v="Monthly-AE-September-2024.csv"/>
    <x v="13"/>
    <s v="RN3"/>
    <s v="NHS ENGLAND SOUTH WEST "/>
    <x v="179"/>
    <n v="5531"/>
    <n v="0"/>
    <n v="5535"/>
    <n v="0"/>
    <n v="0"/>
    <n v="0"/>
    <n v="2339"/>
    <n v="0"/>
    <n v="160"/>
    <n v="0"/>
    <n v="0"/>
    <n v="0"/>
    <n v="580"/>
    <n v="0"/>
    <n v="2495"/>
    <n v="0"/>
    <n v="0"/>
    <n v="1312"/>
    <n v="11066"/>
    <n v="2499"/>
    <n v="3807"/>
  </r>
  <r>
    <s v="Monthly-AE-September-2024.csv"/>
    <x v="13"/>
    <s v="RNS"/>
    <s v="NHS ENGLAND MIDLANDS "/>
    <x v="41"/>
    <n v="9886"/>
    <n v="513"/>
    <n v="2040"/>
    <n v="1252"/>
    <n v="2"/>
    <n v="78"/>
    <n v="3466"/>
    <n v="7"/>
    <n v="95"/>
    <n v="329"/>
    <n v="0"/>
    <n v="8"/>
    <n v="476"/>
    <n v="680"/>
    <n v="1973"/>
    <n v="0"/>
    <n v="0"/>
    <n v="1135"/>
    <n v="12439"/>
    <n v="3568"/>
    <n v="3108"/>
  </r>
  <r>
    <s v="Monthly-AE-September-2024.csv"/>
    <x v="13"/>
    <s v="RNU"/>
    <s v="NHS ENGLAND SOUTH EAST "/>
    <x v="112"/>
    <n v="0"/>
    <n v="0"/>
    <n v="4098"/>
    <n v="0"/>
    <n v="0"/>
    <n v="0"/>
    <n v="0"/>
    <n v="0"/>
    <n v="430"/>
    <n v="0"/>
    <n v="0"/>
    <n v="0"/>
    <n v="0"/>
    <n v="0"/>
    <n v="0"/>
    <n v="0"/>
    <n v="0"/>
    <n v="0"/>
    <n v="4098"/>
    <n v="430"/>
    <n v="0"/>
  </r>
  <r>
    <s v="Monthly-AE-September-2024.csv"/>
    <x v="13"/>
    <s v="RNZ"/>
    <s v="NHS ENGLAND SOUTH WEST "/>
    <x v="144"/>
    <n v="4560"/>
    <n v="297"/>
    <n v="1619"/>
    <n v="132"/>
    <n v="0"/>
    <n v="0"/>
    <n v="2027"/>
    <n v="0"/>
    <n v="0"/>
    <n v="51"/>
    <n v="0"/>
    <n v="0"/>
    <n v="413"/>
    <n v="8"/>
    <n v="1290"/>
    <n v="0"/>
    <n v="0"/>
    <n v="869"/>
    <n v="6476"/>
    <n v="2027"/>
    <n v="2159"/>
  </r>
  <r>
    <s v="Monthly-AE-September-2024.csv"/>
    <x v="13"/>
    <s v="RPC"/>
    <s v="NHS ENGLAND SOUTH EAST "/>
    <x v="27"/>
    <n v="0"/>
    <n v="0"/>
    <n v="1494"/>
    <n v="0"/>
    <n v="0"/>
    <n v="0"/>
    <n v="0"/>
    <n v="0"/>
    <n v="23"/>
    <n v="0"/>
    <n v="0"/>
    <n v="0"/>
    <n v="0"/>
    <n v="0"/>
    <n v="0"/>
    <n v="0"/>
    <n v="1"/>
    <n v="551"/>
    <n v="1494"/>
    <n v="23"/>
    <n v="552"/>
  </r>
  <r>
    <s v="Monthly-AE-September-2024.csv"/>
    <x v="13"/>
    <s v="RQW"/>
    <s v="NHS ENGLAND EAST OF ENGLAND "/>
    <x v="148"/>
    <n v="8169"/>
    <n v="0"/>
    <n v="1781"/>
    <n v="0"/>
    <n v="0"/>
    <n v="457"/>
    <n v="3891"/>
    <n v="0"/>
    <n v="0"/>
    <n v="0"/>
    <n v="0"/>
    <n v="0"/>
    <n v="466"/>
    <n v="102"/>
    <n v="2095"/>
    <n v="0"/>
    <n v="0"/>
    <n v="368"/>
    <n v="9950"/>
    <n v="3891"/>
    <n v="2463"/>
  </r>
  <r>
    <s v="Monthly-AE-September-2024.csv"/>
    <x v="13"/>
    <s v="RTD"/>
    <s v="NHS ENGLAND NORTH EAST AND YORKSHIRE "/>
    <x v="180"/>
    <n v="12114"/>
    <n v="1623"/>
    <n v="4974"/>
    <n v="0"/>
    <n v="0"/>
    <n v="841"/>
    <n v="4763"/>
    <n v="131"/>
    <n v="0"/>
    <n v="0"/>
    <n v="0"/>
    <n v="0"/>
    <n v="464"/>
    <n v="6"/>
    <n v="3664"/>
    <n v="29"/>
    <n v="0"/>
    <n v="2762"/>
    <n v="18711"/>
    <n v="4894"/>
    <n v="6455"/>
  </r>
  <r>
    <s v="Monthly-AE-September-2024.csv"/>
    <x v="13"/>
    <s v="RTE"/>
    <s v="NHS ENGLAND SOUTH WEST "/>
    <x v="151"/>
    <n v="12384"/>
    <n v="0"/>
    <n v="0"/>
    <n v="164"/>
    <n v="0"/>
    <n v="0"/>
    <n v="4818"/>
    <n v="0"/>
    <n v="0"/>
    <n v="45"/>
    <n v="0"/>
    <n v="0"/>
    <n v="429"/>
    <n v="407"/>
    <n v="2604"/>
    <n v="0"/>
    <n v="0"/>
    <n v="1979"/>
    <n v="12384"/>
    <n v="4818"/>
    <n v="4583"/>
  </r>
  <r>
    <s v="Monthly-AE-September-2024.csv"/>
    <x v="13"/>
    <s v="RTF"/>
    <s v="NHS ENGLAND NORTH EAST AND YORKSHIRE "/>
    <x v="152"/>
    <n v="9435"/>
    <n v="0"/>
    <n v="12298"/>
    <n v="0"/>
    <n v="0"/>
    <n v="0"/>
    <n v="2373"/>
    <n v="0"/>
    <n v="8"/>
    <n v="0"/>
    <n v="0"/>
    <n v="0"/>
    <n v="56"/>
    <n v="0"/>
    <n v="3888"/>
    <n v="0"/>
    <n v="65"/>
    <n v="450"/>
    <n v="21733"/>
    <n v="2381"/>
    <n v="4403"/>
  </r>
  <r>
    <s v="Monthly-AE-September-2024.csv"/>
    <x v="13"/>
    <s v="RTR"/>
    <s v="NHS ENGLAND NORTH EAST AND YORKSHIRE "/>
    <x v="153"/>
    <n v="7368"/>
    <n v="0"/>
    <n v="8782"/>
    <n v="0"/>
    <n v="0"/>
    <n v="1380"/>
    <n v="3528"/>
    <n v="0"/>
    <n v="417"/>
    <n v="0"/>
    <n v="0"/>
    <n v="37"/>
    <n v="189"/>
    <n v="2"/>
    <n v="2592"/>
    <n v="0"/>
    <n v="106"/>
    <n v="2185"/>
    <n v="16150"/>
    <n v="3945"/>
    <n v="4883"/>
  </r>
  <r>
    <s v="Monthly-AE-September-2024.csv"/>
    <x v="13"/>
    <s v="RTX"/>
    <s v="NHS ENGLAND NORTH WEST "/>
    <x v="172"/>
    <n v="8817"/>
    <n v="0"/>
    <n v="3284"/>
    <n v="120"/>
    <n v="0"/>
    <n v="589"/>
    <n v="2876"/>
    <n v="0"/>
    <n v="69"/>
    <n v="12"/>
    <n v="0"/>
    <n v="49"/>
    <n v="605"/>
    <n v="330"/>
    <n v="3135"/>
    <n v="0"/>
    <n v="18"/>
    <n v="881"/>
    <n v="12101"/>
    <n v="2945"/>
    <n v="4034"/>
  </r>
  <r>
    <s v="Monthly-AE-September-2024.csv"/>
    <x v="13"/>
    <s v="RV9"/>
    <s v="NHS ENGLAND NORTH EAST AND YORKSHIRE "/>
    <x v="67"/>
    <n v="0"/>
    <n v="0"/>
    <n v="1003"/>
    <n v="0"/>
    <n v="0"/>
    <n v="50"/>
    <n v="0"/>
    <n v="0"/>
    <n v="8"/>
    <n v="0"/>
    <n v="0"/>
    <n v="0"/>
    <n v="0"/>
    <n v="0"/>
    <n v="0"/>
    <n v="0"/>
    <n v="0"/>
    <n v="0"/>
    <n v="1003"/>
    <n v="8"/>
    <n v="0"/>
  </r>
  <r>
    <s v="Monthly-AE-September-2024.csv"/>
    <x v="13"/>
    <s v="RVV"/>
    <s v="NHS ENGLAND SOUTH EAST "/>
    <x v="155"/>
    <n v="12772"/>
    <n v="0"/>
    <n v="12158"/>
    <n v="0"/>
    <n v="0"/>
    <n v="0"/>
    <n v="5551"/>
    <n v="0"/>
    <n v="245"/>
    <n v="0"/>
    <n v="0"/>
    <n v="0"/>
    <n v="476"/>
    <n v="1017"/>
    <n v="2979"/>
    <n v="0"/>
    <n v="642"/>
    <n v="405"/>
    <n v="24930"/>
    <n v="5796"/>
    <n v="4026"/>
  </r>
  <r>
    <s v="Monthly-AE-September-2024.csv"/>
    <x v="13"/>
    <s v="RW4"/>
    <s v="NHS ENGLAND NORTH WEST "/>
    <x v="42"/>
    <n v="0"/>
    <n v="0"/>
    <n v="12055"/>
    <n v="0"/>
    <n v="0"/>
    <n v="0"/>
    <n v="0"/>
    <n v="0"/>
    <n v="222"/>
    <n v="0"/>
    <n v="0"/>
    <n v="0"/>
    <n v="0"/>
    <n v="0"/>
    <n v="0"/>
    <n v="0"/>
    <n v="0"/>
    <n v="55"/>
    <n v="12055"/>
    <n v="222"/>
    <n v="55"/>
  </r>
  <r>
    <s v="Monthly-AE-September-2024.csv"/>
    <x v="13"/>
    <s v="RWE"/>
    <s v="NHS ENGLAND MIDLANDS "/>
    <x v="117"/>
    <n v="21307"/>
    <n v="1896"/>
    <n v="0"/>
    <n v="0"/>
    <n v="0"/>
    <n v="0"/>
    <n v="9350"/>
    <n v="184"/>
    <n v="0"/>
    <n v="0"/>
    <n v="0"/>
    <n v="0"/>
    <n v="1414"/>
    <n v="840"/>
    <n v="5964"/>
    <n v="3"/>
    <n v="0"/>
    <n v="3345"/>
    <n v="23203"/>
    <n v="9534"/>
    <n v="9312"/>
  </r>
  <r>
    <s v="Monthly-AE-September-2024.csv"/>
    <x v="13"/>
    <s v="RWH"/>
    <s v="NHS ENGLAND EAST OF ENGLAND "/>
    <x v="157"/>
    <n v="8558"/>
    <n v="0"/>
    <n v="7319"/>
    <n v="0"/>
    <n v="0"/>
    <n v="0"/>
    <n v="4139"/>
    <n v="0"/>
    <n v="69"/>
    <n v="0"/>
    <n v="0"/>
    <n v="0"/>
    <n v="189"/>
    <n v="16"/>
    <n v="3375"/>
    <n v="0"/>
    <n v="86"/>
    <n v="288"/>
    <n v="15877"/>
    <n v="4208"/>
    <n v="3749"/>
  </r>
  <r>
    <s v="Monthly-AE-September-2024.csv"/>
    <x v="13"/>
    <s v="RWJ"/>
    <s v="NHS ENGLAND NORTH WEST "/>
    <x v="158"/>
    <n v="7871"/>
    <n v="0"/>
    <n v="972"/>
    <n v="129"/>
    <n v="0"/>
    <n v="26"/>
    <n v="3509"/>
    <n v="0"/>
    <n v="29"/>
    <n v="59"/>
    <n v="0"/>
    <n v="2"/>
    <n v="781"/>
    <n v="193"/>
    <n v="2571"/>
    <n v="0"/>
    <n v="65"/>
    <n v="783"/>
    <n v="8843"/>
    <n v="3538"/>
    <n v="3419"/>
  </r>
  <r>
    <s v="Monthly-AE-September-2024.csv"/>
    <x v="13"/>
    <s v="RYF"/>
    <s v="NHS ENGLAND SOUTH WEST "/>
    <x v="74"/>
    <n v="0"/>
    <n v="0"/>
    <n v="1656"/>
    <n v="0"/>
    <n v="0"/>
    <n v="0"/>
    <n v="0"/>
    <n v="0"/>
    <n v="117"/>
    <n v="0"/>
    <n v="0"/>
    <n v="0"/>
    <n v="0"/>
    <n v="0"/>
    <n v="0"/>
    <n v="0"/>
    <n v="0"/>
    <n v="0"/>
    <n v="1656"/>
    <n v="117"/>
    <n v="0"/>
  </r>
  <r>
    <s v="Monthly-AE-September-2024.csv"/>
    <x v="13"/>
    <s v="Y03218"/>
    <s v="NHS ENGLAND LONDON"/>
    <x v="18"/>
    <n v="0"/>
    <n v="0"/>
    <n v="1042"/>
    <n v="0"/>
    <n v="0"/>
    <n v="0"/>
    <n v="0"/>
    <n v="0"/>
    <n v="0"/>
    <n v="0"/>
    <n v="0"/>
    <n v="0"/>
    <n v="0"/>
    <n v="0"/>
    <n v="0"/>
    <n v="0"/>
    <n v="0"/>
    <n v="0"/>
    <n v="1042"/>
    <n v="0"/>
    <n v="0"/>
  </r>
  <r>
    <s v="Monthly-AE-September-2024.csv"/>
    <x v="13"/>
    <s v="R1F"/>
    <s v="NHS ENGLAND SOUTH EAST "/>
    <x v="127"/>
    <n v="3961"/>
    <n v="256"/>
    <n v="1692"/>
    <n v="22"/>
    <n v="0"/>
    <n v="14"/>
    <n v="1855"/>
    <n v="0"/>
    <n v="0"/>
    <n v="7"/>
    <n v="0"/>
    <n v="0"/>
    <n v="267"/>
    <n v="79"/>
    <n v="1071"/>
    <n v="0"/>
    <n v="0"/>
    <n v="306"/>
    <n v="5909"/>
    <n v="1855"/>
    <n v="1377"/>
  </r>
  <r>
    <s v="Monthly-AE-September-2024.csv"/>
    <x v="13"/>
    <s v="R1H"/>
    <s v="NHS ENGLAND LONDON"/>
    <x v="96"/>
    <n v="24191"/>
    <n v="947"/>
    <n v="16122"/>
    <n v="0"/>
    <n v="0"/>
    <n v="0"/>
    <n v="11058"/>
    <n v="36"/>
    <n v="1303"/>
    <n v="0"/>
    <n v="0"/>
    <n v="0"/>
    <n v="1135"/>
    <n v="885"/>
    <n v="4808"/>
    <n v="0"/>
    <n v="0"/>
    <n v="225"/>
    <n v="41260"/>
    <n v="12397"/>
    <n v="5033"/>
  </r>
  <r>
    <s v="Monthly-AE-September-2024.csv"/>
    <x v="13"/>
    <s v="RBK"/>
    <s v="NHS ENGLAND MIDLANDS "/>
    <x v="102"/>
    <n v="8721"/>
    <n v="0"/>
    <n v="3900"/>
    <n v="15"/>
    <n v="0"/>
    <n v="144"/>
    <n v="2968"/>
    <n v="0"/>
    <n v="64"/>
    <n v="8"/>
    <n v="0"/>
    <n v="0"/>
    <n v="1009"/>
    <n v="69"/>
    <n v="3665"/>
    <n v="0"/>
    <n v="0"/>
    <n v="668"/>
    <n v="12621"/>
    <n v="3032"/>
    <n v="4333"/>
  </r>
  <r>
    <s v="Monthly-AE-September-2024.csv"/>
    <x v="13"/>
    <s v="RBT"/>
    <s v="NHS ENGLAND NORTH WEST "/>
    <x v="130"/>
    <n v="6969"/>
    <n v="0"/>
    <n v="2778"/>
    <n v="3"/>
    <n v="0"/>
    <n v="42"/>
    <n v="3843"/>
    <n v="0"/>
    <n v="35"/>
    <n v="3"/>
    <n v="0"/>
    <n v="0"/>
    <n v="536"/>
    <n v="654"/>
    <n v="2229"/>
    <n v="0"/>
    <n v="0"/>
    <n v="1033"/>
    <n v="9747"/>
    <n v="3878"/>
    <n v="3262"/>
  </r>
  <r>
    <s v="Monthly-AE-September-2024.csv"/>
    <x v="13"/>
    <s v="RDE"/>
    <s v="NHS ENGLAND EAST OF ENGLAND "/>
    <x v="132"/>
    <n v="14079"/>
    <n v="0"/>
    <n v="11878"/>
    <n v="700"/>
    <n v="0"/>
    <n v="252"/>
    <n v="7049"/>
    <n v="0"/>
    <n v="272"/>
    <n v="0"/>
    <n v="0"/>
    <n v="0"/>
    <n v="1135"/>
    <n v="367"/>
    <n v="6030"/>
    <n v="0"/>
    <n v="411"/>
    <n v="977"/>
    <n v="25957"/>
    <n v="7321"/>
    <n v="7418"/>
  </r>
  <r>
    <s v="Monthly-AE-September-2024.csv"/>
    <x v="13"/>
    <s v="RDR"/>
    <s v="NHS ENGLAND SOUTH EAST "/>
    <x v="166"/>
    <n v="0"/>
    <n v="0"/>
    <n v="11533"/>
    <n v="0"/>
    <n v="0"/>
    <n v="0"/>
    <n v="0"/>
    <n v="0"/>
    <n v="47"/>
    <n v="0"/>
    <n v="0"/>
    <n v="0"/>
    <n v="0"/>
    <n v="0"/>
    <n v="0"/>
    <n v="0"/>
    <n v="1"/>
    <n v="0"/>
    <n v="11533"/>
    <n v="47"/>
    <n v="1"/>
  </r>
  <r>
    <s v="Monthly-AE-September-2024.csv"/>
    <x v="13"/>
    <s v="RH5"/>
    <s v="NHS ENGLAND SOUTH WEST "/>
    <x v="175"/>
    <n v="12678"/>
    <n v="0"/>
    <n v="9108"/>
    <n v="0"/>
    <n v="0"/>
    <n v="1"/>
    <n v="5198"/>
    <n v="0"/>
    <n v="198"/>
    <n v="0"/>
    <n v="0"/>
    <n v="0"/>
    <n v="417"/>
    <n v="53"/>
    <n v="2057"/>
    <n v="0"/>
    <n v="0"/>
    <n v="2955"/>
    <n v="21786"/>
    <n v="5396"/>
    <n v="5012"/>
  </r>
  <r>
    <s v="Monthly-AE-September-2024.csv"/>
    <x v="13"/>
    <s v="RHM"/>
    <s v="NHS ENGLAND SOUTH EAST "/>
    <x v="134"/>
    <n v="11349"/>
    <n v="1235"/>
    <n v="0"/>
    <n v="238"/>
    <n v="0"/>
    <n v="0"/>
    <n v="3915"/>
    <n v="114"/>
    <n v="0"/>
    <n v="87"/>
    <n v="0"/>
    <n v="0"/>
    <n v="354"/>
    <n v="11"/>
    <n v="3629"/>
    <n v="11"/>
    <n v="0"/>
    <n v="1467"/>
    <n v="12584"/>
    <n v="4029"/>
    <n v="5107"/>
  </r>
  <r>
    <s v="Monthly-AE-September-2024.csv"/>
    <x v="13"/>
    <s v="RHQ"/>
    <s v="NHS ENGLAND NORTH EAST AND YORKSHIRE "/>
    <x v="168"/>
    <n v="8718"/>
    <n v="1120"/>
    <n v="6800"/>
    <n v="347"/>
    <n v="0"/>
    <n v="939"/>
    <n v="4519"/>
    <n v="0"/>
    <n v="83"/>
    <n v="158"/>
    <n v="0"/>
    <n v="5"/>
    <n v="1171"/>
    <n v="10"/>
    <n v="3494"/>
    <n v="0"/>
    <n v="0"/>
    <n v="2881"/>
    <n v="16638"/>
    <n v="4602"/>
    <n v="6375"/>
  </r>
  <r>
    <s v="Monthly-AE-September-2024.csv"/>
    <x v="13"/>
    <s v="RJ1"/>
    <s v="NHS ENGLAND LONDON"/>
    <x v="135"/>
    <n v="10047"/>
    <n v="700"/>
    <n v="6464"/>
    <n v="0"/>
    <n v="0"/>
    <n v="0"/>
    <n v="4072"/>
    <n v="44"/>
    <n v="295"/>
    <n v="0"/>
    <n v="0"/>
    <n v="0"/>
    <n v="117"/>
    <n v="87"/>
    <n v="2045"/>
    <n v="0"/>
    <n v="0"/>
    <n v="336"/>
    <n v="17211"/>
    <n v="4411"/>
    <n v="2381"/>
  </r>
  <r>
    <s v="Monthly-AE-September-2024.csv"/>
    <x v="13"/>
    <s v="RJ2"/>
    <s v="NHS ENGLAND LONDON"/>
    <x v="169"/>
    <n v="13964"/>
    <n v="0"/>
    <n v="10209"/>
    <n v="0"/>
    <n v="0"/>
    <n v="0"/>
    <n v="7327"/>
    <n v="0"/>
    <n v="1271"/>
    <n v="0"/>
    <n v="0"/>
    <n v="0"/>
    <n v="1169"/>
    <n v="626"/>
    <n v="3958"/>
    <n v="0"/>
    <n v="0"/>
    <n v="1406"/>
    <n v="24173"/>
    <n v="8598"/>
    <n v="5364"/>
  </r>
  <r>
    <s v="Monthly-AE-September-2024.csv"/>
    <x v="13"/>
    <s v="RKB"/>
    <s v="NHS ENGLAND MIDLANDS "/>
    <x v="140"/>
    <n v="11329"/>
    <n v="811"/>
    <n v="5679"/>
    <n v="0"/>
    <n v="0"/>
    <n v="0"/>
    <n v="5607"/>
    <n v="125"/>
    <n v="239"/>
    <n v="0"/>
    <n v="0"/>
    <n v="0"/>
    <n v="81"/>
    <n v="18"/>
    <n v="1684"/>
    <n v="37"/>
    <n v="151"/>
    <n v="475"/>
    <n v="17819"/>
    <n v="5971"/>
    <n v="2347"/>
  </r>
  <r>
    <s v="Monthly-AE-September-2024.csv"/>
    <x v="13"/>
    <s v="RKE"/>
    <s v="NHS ENGLAND LONDON"/>
    <x v="170"/>
    <n v="8903"/>
    <n v="0"/>
    <n v="0"/>
    <n v="0"/>
    <n v="0"/>
    <n v="0"/>
    <n v="2474"/>
    <n v="0"/>
    <n v="0"/>
    <n v="0"/>
    <n v="0"/>
    <n v="0"/>
    <n v="253"/>
    <n v="164"/>
    <n v="1077"/>
    <n v="0"/>
    <n v="0"/>
    <n v="32"/>
    <n v="8903"/>
    <n v="2474"/>
    <n v="1109"/>
  </r>
  <r>
    <s v="Monthly-AE-September-2024.csv"/>
    <x v="13"/>
    <s v="RM1"/>
    <s v="NHS ENGLAND EAST OF ENGLAND "/>
    <x v="142"/>
    <n v="12146"/>
    <n v="0"/>
    <n v="8179"/>
    <n v="0"/>
    <n v="0"/>
    <n v="0"/>
    <n v="4168"/>
    <n v="0"/>
    <n v="3"/>
    <n v="0"/>
    <n v="0"/>
    <n v="0"/>
    <n v="916"/>
    <n v="165"/>
    <n v="2659"/>
    <n v="0"/>
    <n v="0"/>
    <n v="1556"/>
    <n v="20325"/>
    <n v="4171"/>
    <n v="4215"/>
  </r>
  <r>
    <s v="Monthly-AE-September-2024.csv"/>
    <x v="13"/>
    <s v="RN5"/>
    <s v="NHS ENGLAND SOUTH EAST "/>
    <x v="110"/>
    <n v="12291"/>
    <n v="103"/>
    <n v="529"/>
    <n v="0"/>
    <n v="0"/>
    <n v="157"/>
    <n v="4698"/>
    <n v="0"/>
    <n v="0"/>
    <n v="0"/>
    <n v="0"/>
    <n v="0"/>
    <n v="300"/>
    <n v="29"/>
    <n v="4231"/>
    <n v="7"/>
    <n v="0"/>
    <n v="1055"/>
    <n v="12923"/>
    <n v="4698"/>
    <n v="5293"/>
  </r>
  <r>
    <s v="Monthly-AE-September-2024.csv"/>
    <x v="13"/>
    <s v="RN7"/>
    <s v="NHS ENGLAND SOUTH EAST "/>
    <x v="171"/>
    <n v="10507"/>
    <n v="0"/>
    <n v="3475"/>
    <n v="0"/>
    <n v="0"/>
    <n v="0"/>
    <n v="3448"/>
    <n v="0"/>
    <n v="11"/>
    <n v="0"/>
    <n v="0"/>
    <n v="0"/>
    <n v="660"/>
    <n v="229"/>
    <n v="2861"/>
    <n v="0"/>
    <n v="0"/>
    <n v="402"/>
    <n v="13982"/>
    <n v="3459"/>
    <n v="3263"/>
  </r>
  <r>
    <s v="Monthly-AE-September-2024.csv"/>
    <x v="13"/>
    <s v="RP6"/>
    <s v="NHS ENGLAND LONDON"/>
    <x v="65"/>
    <n v="0"/>
    <n v="5626"/>
    <n v="0"/>
    <n v="0"/>
    <n v="0"/>
    <n v="0"/>
    <n v="0"/>
    <n v="154"/>
    <n v="0"/>
    <n v="0"/>
    <n v="0"/>
    <n v="0"/>
    <n v="0"/>
    <n v="0"/>
    <n v="0"/>
    <n v="6"/>
    <n v="0"/>
    <n v="210"/>
    <n v="5626"/>
    <n v="154"/>
    <n v="216"/>
  </r>
  <r>
    <s v="Monthly-AE-September-2024.csv"/>
    <x v="13"/>
    <s v="RQM"/>
    <s v="NHS ENGLAND LONDON"/>
    <x v="147"/>
    <n v="18856"/>
    <n v="0"/>
    <n v="5720"/>
    <n v="567"/>
    <n v="0"/>
    <n v="0"/>
    <n v="5574"/>
    <n v="0"/>
    <n v="75"/>
    <n v="0"/>
    <n v="0"/>
    <n v="0"/>
    <n v="682"/>
    <n v="69"/>
    <n v="2746"/>
    <n v="0"/>
    <n v="0"/>
    <n v="343"/>
    <n v="24576"/>
    <n v="5649"/>
    <n v="3089"/>
  </r>
  <r>
    <s v="Monthly-AE-September-2024.csv"/>
    <x v="13"/>
    <s v="RR8"/>
    <s v="NHS ENGLAND NORTH EAST AND YORKSHIRE "/>
    <x v="149"/>
    <n v="17191"/>
    <n v="680"/>
    <n v="10819"/>
    <n v="68"/>
    <n v="0"/>
    <n v="55"/>
    <n v="6794"/>
    <n v="0"/>
    <n v="185"/>
    <n v="19"/>
    <n v="0"/>
    <n v="0"/>
    <n v="1702"/>
    <n v="188"/>
    <n v="3485"/>
    <n v="0"/>
    <n v="0"/>
    <n v="1099"/>
    <n v="28690"/>
    <n v="6979"/>
    <n v="4584"/>
  </r>
  <r>
    <s v="Monthly-AE-September-2024.csv"/>
    <x v="13"/>
    <s v="RVJ"/>
    <s v="NHS ENGLAND SOUTH WEST "/>
    <x v="89"/>
    <n v="8865"/>
    <n v="0"/>
    <n v="0"/>
    <n v="27"/>
    <n v="0"/>
    <n v="0"/>
    <n v="3705"/>
    <n v="0"/>
    <n v="0"/>
    <n v="7"/>
    <n v="0"/>
    <n v="0"/>
    <n v="554"/>
    <n v="396"/>
    <n v="2912"/>
    <n v="0"/>
    <n v="0"/>
    <n v="1881"/>
    <n v="8865"/>
    <n v="3705"/>
    <n v="4793"/>
  </r>
  <r>
    <s v="Monthly-AE-September-2024.csv"/>
    <x v="13"/>
    <s v="RWA"/>
    <s v="NHS ENGLAND NORTH EAST AND YORKSHIRE "/>
    <x v="116"/>
    <n v="9040"/>
    <n v="0"/>
    <n v="4443"/>
    <n v="0"/>
    <n v="0"/>
    <n v="0"/>
    <n v="5084"/>
    <n v="0"/>
    <n v="86"/>
    <n v="0"/>
    <n v="0"/>
    <n v="0"/>
    <n v="779"/>
    <n v="535"/>
    <n v="3321"/>
    <n v="0"/>
    <n v="0"/>
    <n v="2080"/>
    <n v="13483"/>
    <n v="5170"/>
    <n v="5401"/>
  </r>
  <r>
    <s v="Monthly-AE-September-2024.csv"/>
    <x v="13"/>
    <s v="RWD"/>
    <s v="NHS ENGLAND MIDLANDS "/>
    <x v="156"/>
    <n v="9451"/>
    <n v="0"/>
    <n v="9571"/>
    <n v="0"/>
    <n v="0"/>
    <n v="0"/>
    <n v="5682"/>
    <n v="0"/>
    <n v="1118"/>
    <n v="0"/>
    <n v="0"/>
    <n v="0"/>
    <n v="1023"/>
    <n v="950"/>
    <n v="4054"/>
    <n v="0"/>
    <n v="0"/>
    <n v="1048"/>
    <n v="19022"/>
    <n v="6800"/>
    <n v="5102"/>
  </r>
  <r>
    <s v="Monthly-AE-September-2024.csv"/>
    <x v="13"/>
    <s v="RWW"/>
    <s v="NHS ENGLAND NORTH WEST "/>
    <x v="159"/>
    <n v="6727"/>
    <n v="0"/>
    <n v="2925"/>
    <n v="235"/>
    <n v="0"/>
    <n v="118"/>
    <n v="3400"/>
    <n v="0"/>
    <n v="85"/>
    <n v="80"/>
    <n v="0"/>
    <n v="0"/>
    <n v="712"/>
    <n v="616"/>
    <n v="1746"/>
    <n v="0"/>
    <n v="0"/>
    <n v="155"/>
    <n v="9652"/>
    <n v="3485"/>
    <n v="1901"/>
  </r>
  <r>
    <s v="Monthly-AE-September-2024.csv"/>
    <x v="13"/>
    <s v="RX1"/>
    <s v="NHS ENGLAND MIDLANDS "/>
    <x v="69"/>
    <n v="14885"/>
    <n v="1846"/>
    <n v="252"/>
    <n v="523"/>
    <n v="0"/>
    <n v="0"/>
    <n v="6937"/>
    <n v="75"/>
    <n v="5"/>
    <n v="217"/>
    <n v="0"/>
    <n v="0"/>
    <n v="831"/>
    <n v="496"/>
    <n v="4485"/>
    <n v="0"/>
    <n v="0"/>
    <n v="3797"/>
    <n v="16983"/>
    <n v="7017"/>
    <n v="8282"/>
  </r>
  <r>
    <s v="Monthly-AE-September-2024.csv"/>
    <x v="13"/>
    <s v="RXF"/>
    <s v="NHS ENGLAND NORTH EAST AND YORKSHIRE "/>
    <x v="160"/>
    <n v="15790"/>
    <n v="151"/>
    <n v="5736"/>
    <n v="120"/>
    <n v="0"/>
    <n v="67"/>
    <n v="6334"/>
    <n v="0"/>
    <n v="430"/>
    <n v="2"/>
    <n v="0"/>
    <n v="2"/>
    <n v="1952"/>
    <n v="86"/>
    <n v="3516"/>
    <n v="0"/>
    <n v="154"/>
    <n v="840"/>
    <n v="21677"/>
    <n v="6764"/>
    <n v="4510"/>
  </r>
  <r>
    <s v="Monthly-AE-September-2024.csv"/>
    <x v="13"/>
    <s v="RXN"/>
    <s v="NHS ENGLAND NORTH WEST "/>
    <x v="91"/>
    <n v="11724"/>
    <n v="0"/>
    <n v="3451"/>
    <n v="210"/>
    <n v="0"/>
    <n v="79"/>
    <n v="4459"/>
    <n v="0"/>
    <n v="89"/>
    <n v="38"/>
    <n v="0"/>
    <n v="0"/>
    <n v="1062"/>
    <n v="362"/>
    <n v="2964"/>
    <n v="0"/>
    <n v="76"/>
    <n v="1183"/>
    <n v="15175"/>
    <n v="4548"/>
    <n v="4223"/>
  </r>
  <r>
    <s v="Monthly-AE-September-2024.csv"/>
    <x v="13"/>
    <s v="RXP"/>
    <s v="NHS ENGLAND NORTH EAST AND YORKSHIRE "/>
    <x v="161"/>
    <n v="12324"/>
    <n v="0"/>
    <n v="3883"/>
    <n v="0"/>
    <n v="0"/>
    <n v="6672"/>
    <n v="5075"/>
    <n v="0"/>
    <n v="0"/>
    <n v="0"/>
    <n v="0"/>
    <n v="0"/>
    <n v="2196"/>
    <n v="17"/>
    <n v="4018"/>
    <n v="0"/>
    <n v="0"/>
    <n v="722"/>
    <n v="16207"/>
    <n v="5075"/>
    <n v="4740"/>
  </r>
  <r>
    <s v="Monthly-AE-September-2024.csv"/>
    <x v="13"/>
    <s v="RY5"/>
    <s v="NHS ENGLAND MIDLANDS "/>
    <x v="121"/>
    <n v="0"/>
    <n v="0"/>
    <n v="8258"/>
    <n v="0"/>
    <n v="0"/>
    <n v="0"/>
    <n v="0"/>
    <n v="0"/>
    <n v="253"/>
    <n v="0"/>
    <n v="0"/>
    <n v="0"/>
    <n v="0"/>
    <n v="0"/>
    <n v="0"/>
    <n v="0"/>
    <n v="0"/>
    <n v="0"/>
    <n v="8258"/>
    <n v="253"/>
    <n v="0"/>
  </r>
  <r>
    <s v="Monthly-AE-September-2024.csv"/>
    <x v="13"/>
    <s v="RYJ"/>
    <s v="NHS ENGLAND LONDON"/>
    <x v="163"/>
    <n v="11584"/>
    <n v="3907"/>
    <n v="7175"/>
    <n v="0"/>
    <n v="0"/>
    <n v="411"/>
    <n v="4575"/>
    <n v="93"/>
    <n v="375"/>
    <n v="0"/>
    <n v="0"/>
    <n v="0"/>
    <n v="713"/>
    <n v="221"/>
    <n v="4018"/>
    <n v="4"/>
    <n v="0"/>
    <n v="1113"/>
    <n v="22666"/>
    <n v="5043"/>
    <n v="5135"/>
  </r>
  <r>
    <s v="Monthly-AE-September-2024.csv"/>
    <x v="13"/>
    <s v="RYR"/>
    <s v="NHS ENGLAND SOUTH EAST "/>
    <x v="122"/>
    <n v="21377"/>
    <n v="1462"/>
    <n v="5035"/>
    <n v="1338"/>
    <n v="0"/>
    <n v="1061"/>
    <n v="8885"/>
    <n v="35"/>
    <n v="560"/>
    <n v="437"/>
    <n v="0"/>
    <n v="28"/>
    <n v="1641"/>
    <n v="1242"/>
    <n v="8274"/>
    <n v="21"/>
    <n v="39"/>
    <n v="1354"/>
    <n v="27874"/>
    <n v="9480"/>
    <n v="9688"/>
  </r>
  <r>
    <s v="Monthly-AE-September-2024.csv"/>
    <x v="13"/>
    <s v="AD913"/>
    <s v="NHS ENGLAND LONDON"/>
    <x v="3"/>
    <n v="0"/>
    <n v="0"/>
    <n v="622"/>
    <n v="0"/>
    <n v="0"/>
    <n v="378"/>
    <n v="0"/>
    <n v="0"/>
    <n v="9"/>
    <n v="0"/>
    <n v="0"/>
    <n v="0"/>
    <n v="0"/>
    <n v="0"/>
    <n v="0"/>
    <n v="0"/>
    <n v="0"/>
    <n v="0"/>
    <n v="622"/>
    <n v="9"/>
    <n v="0"/>
  </r>
  <r>
    <s v="Monthly-AE-September-2024.csv"/>
    <x v="13"/>
    <s v="RD1"/>
    <s v="NHS ENGLAND SOUTH WEST "/>
    <x v="165"/>
    <n v="8575"/>
    <n v="0"/>
    <n v="0"/>
    <n v="0"/>
    <n v="0"/>
    <n v="0"/>
    <n v="3119"/>
    <n v="0"/>
    <n v="0"/>
    <n v="0"/>
    <n v="0"/>
    <n v="0"/>
    <n v="709"/>
    <n v="54"/>
    <n v="2564"/>
    <n v="0"/>
    <n v="9"/>
    <n v="1448"/>
    <n v="8575"/>
    <n v="3119"/>
    <n v="4021"/>
  </r>
  <r>
    <s v="Monthly-AE-September-2024.csv"/>
    <x v="13"/>
    <s v="RP5"/>
    <s v="NHS ENGLAND NORTH EAST AND YORKSHIRE "/>
    <x v="145"/>
    <n v="13144"/>
    <n v="0"/>
    <n v="3803"/>
    <n v="0"/>
    <n v="0"/>
    <n v="0"/>
    <n v="5124"/>
    <n v="0"/>
    <n v="3"/>
    <n v="0"/>
    <n v="0"/>
    <n v="0"/>
    <n v="1004"/>
    <n v="234"/>
    <n v="3875"/>
    <n v="0"/>
    <n v="394"/>
    <n v="1011"/>
    <n v="16947"/>
    <n v="5127"/>
    <n v="5280"/>
  </r>
  <r>
    <s v="Monthly-AE-September-2024.csv"/>
    <x v="13"/>
    <s v="RVR"/>
    <s v="NHS ENGLAND LONDON"/>
    <x v="154"/>
    <n v="10698"/>
    <n v="333"/>
    <n v="1490"/>
    <n v="310"/>
    <n v="0"/>
    <n v="17"/>
    <n v="3019"/>
    <n v="0"/>
    <n v="96"/>
    <n v="30"/>
    <n v="0"/>
    <n v="1"/>
    <n v="368"/>
    <n v="596"/>
    <n v="1878"/>
    <n v="3"/>
    <n v="0"/>
    <n v="139"/>
    <n v="12521"/>
    <n v="3115"/>
    <n v="2020"/>
  </r>
  <r>
    <s v="Monthly-AE-September-2024.csv"/>
    <x v="13"/>
    <s v="RWX"/>
    <s v="NHS ENGLAND SOUTH EAST "/>
    <x v="173"/>
    <n v="0"/>
    <n v="0"/>
    <n v="1452"/>
    <n v="0"/>
    <n v="0"/>
    <n v="0"/>
    <n v="0"/>
    <n v="0"/>
    <n v="14"/>
    <n v="0"/>
    <n v="0"/>
    <n v="0"/>
    <n v="0"/>
    <n v="0"/>
    <n v="0"/>
    <n v="0"/>
    <n v="32"/>
    <n v="0"/>
    <n v="1452"/>
    <n v="14"/>
    <n v="32"/>
  </r>
  <r>
    <s v="Monthly-AE-September-2024.csv"/>
    <x v="13"/>
    <s v="RXC"/>
    <s v="NHS ENGLAND SOUTH EAST "/>
    <x v="70"/>
    <n v="8075"/>
    <n v="0"/>
    <n v="2563"/>
    <n v="1655"/>
    <n v="0"/>
    <n v="1194"/>
    <n v="3423"/>
    <n v="0"/>
    <n v="43"/>
    <n v="0"/>
    <n v="0"/>
    <n v="0"/>
    <n v="253"/>
    <n v="22"/>
    <n v="3356"/>
    <n v="0"/>
    <n v="0"/>
    <n v="444"/>
    <n v="10638"/>
    <n v="3466"/>
    <n v="3800"/>
  </r>
  <r>
    <s v="Monthly-AE-September-2024.csv"/>
    <x v="13"/>
    <s v="RJ7"/>
    <s v="NHS ENGLAND LONDON"/>
    <x v="137"/>
    <n v="8725"/>
    <n v="0"/>
    <n v="3371"/>
    <n v="430"/>
    <n v="0"/>
    <n v="0"/>
    <n v="2656"/>
    <n v="0"/>
    <n v="0"/>
    <n v="60"/>
    <n v="0"/>
    <n v="0"/>
    <n v="652"/>
    <n v="669"/>
    <n v="2710"/>
    <n v="0"/>
    <n v="0"/>
    <n v="706"/>
    <n v="12096"/>
    <n v="2656"/>
    <n v="3416"/>
  </r>
  <r>
    <s v="Monthly-AE-September-2024.csv"/>
    <x v="13"/>
    <s v="RJC"/>
    <s v="NHS ENGLAND MIDLANDS "/>
    <x v="138"/>
    <n v="8082"/>
    <n v="0"/>
    <n v="377"/>
    <n v="1"/>
    <n v="0"/>
    <n v="0"/>
    <n v="2088"/>
    <n v="0"/>
    <n v="0"/>
    <n v="0"/>
    <n v="0"/>
    <n v="0"/>
    <n v="287"/>
    <n v="10"/>
    <n v="2303"/>
    <n v="0"/>
    <n v="0"/>
    <n v="886"/>
    <n v="8459"/>
    <n v="2088"/>
    <n v="3189"/>
  </r>
  <r>
    <s v="Monthly-AE-September-2024.csv"/>
    <x v="13"/>
    <s v="RA7"/>
    <s v="NHS ENGLAND SOUTH WEST "/>
    <x v="78"/>
    <n v="14776"/>
    <n v="2238"/>
    <n v="0"/>
    <n v="0"/>
    <n v="0"/>
    <n v="0"/>
    <n v="5191"/>
    <n v="136"/>
    <n v="0"/>
    <n v="0"/>
    <n v="0"/>
    <n v="0"/>
    <n v="1214"/>
    <n v="261"/>
    <n v="5232"/>
    <n v="13"/>
    <n v="0"/>
    <n v="1366"/>
    <n v="17014"/>
    <n v="5327"/>
    <n v="6611"/>
  </r>
  <r>
    <s v="Monthly-AE-September-2024.csv"/>
    <x v="13"/>
    <s v="RBN"/>
    <s v="NHS ENGLAND NORTH WEST "/>
    <x v="174"/>
    <n v="15845"/>
    <n v="0"/>
    <n v="6698"/>
    <n v="389"/>
    <n v="0"/>
    <n v="0"/>
    <n v="5617"/>
    <n v="0"/>
    <n v="217"/>
    <n v="53"/>
    <n v="0"/>
    <n v="0"/>
    <n v="608"/>
    <n v="318"/>
    <n v="6805"/>
    <n v="0"/>
    <n v="0"/>
    <n v="593"/>
    <n v="22543"/>
    <n v="5834"/>
    <n v="7398"/>
  </r>
  <r>
    <s v="Monthly-AE-September-2024.csv"/>
    <x v="13"/>
    <s v="RJE"/>
    <s v="NHS ENGLAND MIDLANDS "/>
    <x v="84"/>
    <n v="13168"/>
    <n v="463"/>
    <n v="8057"/>
    <n v="611"/>
    <n v="0"/>
    <n v="469"/>
    <n v="6608"/>
    <n v="0"/>
    <n v="91"/>
    <n v="295"/>
    <n v="0"/>
    <n v="10"/>
    <n v="1076"/>
    <n v="546"/>
    <n v="5208"/>
    <n v="0"/>
    <n v="0"/>
    <n v="3840"/>
    <n v="21688"/>
    <n v="6699"/>
    <n v="9048"/>
  </r>
  <r>
    <s v="Monthly-AE-September-2024.csv"/>
    <x v="13"/>
    <s v="RM3"/>
    <s v="NHS ENGLAND NORTH WEST "/>
    <x v="193"/>
    <n v="24649"/>
    <n v="0"/>
    <n v="8398"/>
    <n v="0"/>
    <n v="0"/>
    <n v="0"/>
    <n v="10994"/>
    <n v="0"/>
    <n v="297"/>
    <n v="0"/>
    <n v="0"/>
    <n v="0"/>
    <n v="1972"/>
    <n v="583"/>
    <n v="7063"/>
    <n v="0"/>
    <n v="358"/>
    <n v="1725"/>
    <n v="33047"/>
    <n v="11291"/>
    <n v="9146"/>
  </r>
  <r>
    <s v="Monthly-AE-September-2024.csv"/>
    <x v="13"/>
    <s v="RRK"/>
    <s v="NHS ENGLAND MIDLANDS "/>
    <x v="87"/>
    <n v="32456"/>
    <n v="312"/>
    <n v="1650"/>
    <n v="19"/>
    <n v="0"/>
    <n v="259"/>
    <n v="12867"/>
    <n v="0"/>
    <n v="10"/>
    <n v="10"/>
    <n v="0"/>
    <n v="1"/>
    <n v="2274"/>
    <n v="1995"/>
    <n v="11198"/>
    <n v="0"/>
    <n v="0"/>
    <n v="6124"/>
    <n v="34418"/>
    <n v="12877"/>
    <n v="17322"/>
  </r>
  <r>
    <s v="Monthly-AE-September-2024.csv"/>
    <x v="13"/>
    <s v="RHU"/>
    <s v="NHS ENGLAND SOUTH EAST "/>
    <x v="194"/>
    <n v="9553"/>
    <n v="683"/>
    <n v="2945"/>
    <n v="1147"/>
    <n v="0"/>
    <n v="773"/>
    <n v="4829"/>
    <n v="6"/>
    <n v="58"/>
    <n v="573"/>
    <n v="0"/>
    <n v="2"/>
    <n v="1588"/>
    <n v="73"/>
    <n v="3297"/>
    <n v="0"/>
    <n v="0"/>
    <n v="2457"/>
    <n v="13181"/>
    <n v="4893"/>
    <n v="5754"/>
  </r>
  <r>
    <s v="Monthly-AE-September-2024.csv"/>
    <x v="13"/>
    <s v="RHW"/>
    <s v="NHS ENGLAND SOUTH EAST "/>
    <x v="187"/>
    <n v="11593"/>
    <n v="2247"/>
    <n v="0"/>
    <n v="767"/>
    <n v="29"/>
    <n v="0"/>
    <n v="3921"/>
    <n v="14"/>
    <n v="0"/>
    <n v="216"/>
    <n v="0"/>
    <n v="0"/>
    <n v="520"/>
    <n v="7"/>
    <n v="2423"/>
    <n v="0"/>
    <n v="0"/>
    <n v="373"/>
    <n v="13840"/>
    <n v="3935"/>
    <n v="2796"/>
  </r>
  <r>
    <s v="Monthly-AE-September-2024.csv"/>
    <x v="13"/>
    <s v="RPA"/>
    <s v="NHS ENGLAND SOUTH EAST "/>
    <x v="146"/>
    <n v="7925"/>
    <n v="0"/>
    <n v="6412"/>
    <n v="296"/>
    <n v="0"/>
    <n v="993"/>
    <n v="2816"/>
    <n v="0"/>
    <n v="507"/>
    <n v="67"/>
    <n v="0"/>
    <n v="0"/>
    <n v="337"/>
    <n v="636"/>
    <n v="1745"/>
    <n v="0"/>
    <n v="0"/>
    <n v="628"/>
    <n v="14337"/>
    <n v="3323"/>
    <n v="2373"/>
  </r>
  <r>
    <s v="Monthly-AE-September-2024.csv"/>
    <x v="13"/>
    <s v="RTG"/>
    <s v="NHS ENGLAND MIDLANDS "/>
    <x v="88"/>
    <n v="19298"/>
    <n v="0"/>
    <n v="9000"/>
    <n v="1762"/>
    <n v="0"/>
    <n v="18"/>
    <n v="8533"/>
    <n v="0"/>
    <n v="0"/>
    <n v="384"/>
    <n v="0"/>
    <n v="0"/>
    <n v="803"/>
    <n v="912"/>
    <n v="3961"/>
    <n v="0"/>
    <n v="0"/>
    <n v="1967"/>
    <n v="28298"/>
    <n v="8533"/>
    <n v="5928"/>
  </r>
  <r>
    <s v="Monthly-AE-September-2024.csv"/>
    <x v="13"/>
    <s v="RAL"/>
    <s v="NHS ENGLAND LONDON"/>
    <x v="99"/>
    <n v="16645"/>
    <n v="0"/>
    <n v="8306"/>
    <n v="0"/>
    <n v="0"/>
    <n v="0"/>
    <n v="6090"/>
    <n v="0"/>
    <n v="149"/>
    <n v="0"/>
    <n v="0"/>
    <n v="0"/>
    <n v="914"/>
    <n v="647"/>
    <n v="3778"/>
    <n v="0"/>
    <n v="0"/>
    <n v="543"/>
    <n v="24951"/>
    <n v="6239"/>
    <n v="4321"/>
  </r>
  <r>
    <s v="Monthly-AE-September-2024.csv"/>
    <x v="13"/>
    <s v="RBL"/>
    <s v="NHS ENGLAND NORTH WEST "/>
    <x v="183"/>
    <n v="7655"/>
    <n v="0"/>
    <n v="2625"/>
    <n v="0"/>
    <n v="0"/>
    <n v="198"/>
    <n v="4231"/>
    <n v="0"/>
    <n v="15"/>
    <n v="0"/>
    <n v="0"/>
    <n v="1"/>
    <n v="496"/>
    <n v="899"/>
    <n v="1930"/>
    <n v="0"/>
    <n v="0"/>
    <n v="1813"/>
    <n v="10280"/>
    <n v="4246"/>
    <n v="3743"/>
  </r>
  <r>
    <s v="Monthly-AE-September-2024.csv"/>
    <x v="13"/>
    <s v="RLT"/>
    <s v="NHS ENGLAND MIDLANDS "/>
    <x v="141"/>
    <n v="6493"/>
    <n v="0"/>
    <n v="1736"/>
    <n v="0"/>
    <n v="0"/>
    <n v="0"/>
    <n v="2073"/>
    <n v="0"/>
    <n v="15"/>
    <n v="0"/>
    <n v="0"/>
    <n v="0"/>
    <n v="566"/>
    <n v="160"/>
    <n v="1021"/>
    <n v="0"/>
    <n v="0"/>
    <n v="15"/>
    <n v="8229"/>
    <n v="2088"/>
    <n v="1036"/>
  </r>
  <r>
    <s v="Monthly-AE-September-2024.csv"/>
    <x v="13"/>
    <s v="RMC"/>
    <s v="NHS ENGLAND NORTH WEST "/>
    <x v="178"/>
    <n v="7821"/>
    <n v="0"/>
    <n v="3695"/>
    <n v="67"/>
    <n v="0"/>
    <n v="83"/>
    <n v="3793"/>
    <n v="0"/>
    <n v="144"/>
    <n v="27"/>
    <n v="0"/>
    <n v="5"/>
    <n v="523"/>
    <n v="569"/>
    <n v="2244"/>
    <n v="0"/>
    <n v="99"/>
    <n v="749"/>
    <n v="11516"/>
    <n v="3937"/>
    <n v="3092"/>
  </r>
  <r>
    <s v="Monthly-AE-September-2024.csv"/>
    <x v="13"/>
    <s v="RTH"/>
    <s v="NHS ENGLAND SOUTH EAST "/>
    <x v="196"/>
    <n v="11866"/>
    <n v="1775"/>
    <n v="1956"/>
    <n v="1319"/>
    <n v="0"/>
    <n v="116"/>
    <n v="4182"/>
    <n v="0"/>
    <n v="0"/>
    <n v="398"/>
    <n v="0"/>
    <n v="1"/>
    <n v="788"/>
    <n v="0"/>
    <n v="4476"/>
    <n v="127"/>
    <n v="17"/>
    <n v="4358"/>
    <n v="15597"/>
    <n v="4182"/>
    <n v="8978"/>
  </r>
  <r>
    <s v="Monthly-AE-September-2024.csv"/>
    <x v="13"/>
    <s v="RXK"/>
    <s v="NHS ENGLAND MIDLANDS "/>
    <x v="119"/>
    <n v="14245"/>
    <n v="1186"/>
    <n v="6905"/>
    <n v="1021"/>
    <n v="0"/>
    <n v="0"/>
    <n v="6703"/>
    <n v="171"/>
    <n v="100"/>
    <n v="101"/>
    <n v="0"/>
    <n v="0"/>
    <n v="1050"/>
    <n v="529"/>
    <n v="2628"/>
    <n v="0"/>
    <n v="0"/>
    <n v="415"/>
    <n v="22336"/>
    <n v="6974"/>
    <n v="3043"/>
  </r>
  <r>
    <s v="Monthly-AE-September-2024.csv"/>
    <x v="13"/>
    <s v="RYX"/>
    <s v="NHS ENGLAND LONDON"/>
    <x v="75"/>
    <n v="0"/>
    <n v="0"/>
    <n v="11186"/>
    <n v="0"/>
    <n v="0"/>
    <n v="433"/>
    <n v="0"/>
    <n v="0"/>
    <n v="222"/>
    <n v="0"/>
    <n v="0"/>
    <n v="7"/>
    <n v="0"/>
    <n v="0"/>
    <n v="0"/>
    <n v="0"/>
    <n v="0"/>
    <n v="0"/>
    <n v="11186"/>
    <n v="222"/>
    <n v="0"/>
  </r>
  <r>
    <s v="Monthly-AE-September-2024.csv"/>
    <x v="13"/>
    <s v="RAS"/>
    <s v="NHS ENGLAND LONDON"/>
    <x v="182"/>
    <n v="6077"/>
    <n v="0"/>
    <n v="6253"/>
    <n v="0"/>
    <n v="0"/>
    <n v="0"/>
    <n v="3644"/>
    <n v="0"/>
    <n v="177"/>
    <n v="0"/>
    <n v="0"/>
    <n v="0"/>
    <n v="523"/>
    <n v="39"/>
    <n v="2431"/>
    <n v="0"/>
    <n v="0"/>
    <n v="125"/>
    <n v="12330"/>
    <n v="3821"/>
    <n v="2556"/>
  </r>
  <r>
    <s v="Monthly-AE-September-2024.csv"/>
    <x v="3"/>
    <s v="Total "/>
    <s v="TOTAL"/>
    <x v="199"/>
    <n v="1335923"/>
    <n v="47946"/>
    <n v="757108"/>
    <n v="28559"/>
    <n v="588"/>
    <n v="44093"/>
    <n v="541162"/>
    <n v="2160"/>
    <n v="19757"/>
    <n v="7360"/>
    <n v="13"/>
    <n v="436"/>
    <n v="91752"/>
    <n v="38880"/>
    <n v="393406"/>
    <n v="1323"/>
    <n v="4677"/>
    <n v="131418"/>
    <n v="2140977"/>
    <n v="563079"/>
    <n v="5308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84D10-304D-4918-826E-E7612115B7E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6">
    <pivotField showAll="0"/>
    <pivotField axis="axisRow" showAll="0">
      <items count="15">
        <item x="0"/>
        <item x="10"/>
        <item x="8"/>
        <item x="7"/>
        <item x="2"/>
        <item x="13"/>
        <item x="12"/>
        <item x="11"/>
        <item x="4"/>
        <item x="6"/>
        <item x="5"/>
        <item x="9"/>
        <item h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ttendances" fld="2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CBDAC-44B9-4295-A25E-ECDF4023D15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6">
    <pivotField showAll="0"/>
    <pivotField axis="axisRow" showAll="0">
      <items count="15">
        <item x="0"/>
        <item x="10"/>
        <item x="8"/>
        <item x="7"/>
        <item x="2"/>
        <item x="13"/>
        <item x="12"/>
        <item x="11"/>
        <item x="4"/>
        <item x="6"/>
        <item x="5"/>
        <item x="9"/>
        <item h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Over 4hrs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7596E0-4848-42D6-8C0F-F805C128B6E4}" autoFormatId="16" applyNumberFormats="0" applyBorderFormats="0" applyFontFormats="0" applyPatternFormats="0" applyAlignmentFormats="0" applyWidthHeightFormats="0">
  <queryTableRefresh nextId="27" unboundColumnsRight="3">
    <queryTableFields count="26">
      <queryTableField id="1" name="Source.Name" tableColumnId="1"/>
      <queryTableField id="2" name="Period" tableColumnId="2"/>
      <queryTableField id="3" name="Org Code" tableColumnId="3"/>
      <queryTableField id="4" name="Parent Org" tableColumnId="4"/>
      <queryTableField id="5" name="Org name" tableColumnId="5"/>
      <queryTableField id="6" name="A&amp;E attendances Type 1" tableColumnId="6"/>
      <queryTableField id="7" name="A&amp;E attendances Type 2" tableColumnId="7"/>
      <queryTableField id="8" name="A&amp;E attendances Other A&amp;E Department" tableColumnId="8"/>
      <queryTableField id="9" name="A&amp;E attendances Booked Appointments Type 1" tableColumnId="9"/>
      <queryTableField id="10" name="A&amp;E attendances Booked Appointments Type 2" tableColumnId="10"/>
      <queryTableField id="11" name="A&amp;E attendances Booked Appointments Other Department" tableColumnId="11"/>
      <queryTableField id="12" name="Attendances over 4hrs Type 1" tableColumnId="12"/>
      <queryTableField id="13" name="Attendances over 4hrs Type 2" tableColumnId="13"/>
      <queryTableField id="14" name="Attendances over 4hrs Other Department" tableColumnId="14"/>
      <queryTableField id="15" name="Attendances over 4hrs Booked Appointments Type 1" tableColumnId="15"/>
      <queryTableField id="16" name="Attendances over 4hrs Booked Appointments Type 2" tableColumnId="16"/>
      <queryTableField id="17" name="Attendances over 4hrs Booked Appointments Other Department" tableColumnId="17"/>
      <queryTableField id="18" name="Patients who have waited 4-12 hs from DTA to admission" tableColumnId="18"/>
      <queryTableField id="19" name="Patients who have waited 12+ hrs from DTA to admission" tableColumnId="19"/>
      <queryTableField id="20" name="Emergency admissions via A&amp;E - Type 1" tableColumnId="20"/>
      <queryTableField id="21" name="Emergency admissions via A&amp;E - Type 2" tableColumnId="21"/>
      <queryTableField id="22" name="Emergency admissions via A&amp;E - Other A&amp;E department" tableColumnId="22"/>
      <queryTableField id="23" name="Other emergency admissions" tableColumnId="23"/>
      <queryTableField id="24" dataBound="0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5D495-E7A9-4598-BACF-E171CA0E60E2}" name="NHS_AE_2024_2025" displayName="NHS_AE_2024_2025" ref="A1:Z2385" tableType="queryTable" totalsRowShown="0">
  <autoFilter ref="A1:Z2385" xr:uid="{21E5D495-E7A9-4598-BACF-E171CA0E60E2}"/>
  <tableColumns count="26">
    <tableColumn id="1" xr3:uid="{09A0F925-BA11-4A31-BA09-99C8762E957E}" uniqueName="1" name="Source.Name" queryTableFieldId="1" dataDxfId="7"/>
    <tableColumn id="2" xr3:uid="{98A3076E-A350-4B7D-AE1D-766A21D72D4E}" uniqueName="2" name="Period" queryTableFieldId="2" dataDxfId="6"/>
    <tableColumn id="3" xr3:uid="{91AE6558-FD84-4EBE-BF7C-607AF113C107}" uniqueName="3" name="Org Code" queryTableFieldId="3" dataDxfId="5"/>
    <tableColumn id="4" xr3:uid="{B9FC8A82-A81F-4CF4-8BD6-EBEF471B4D28}" uniqueName="4" name="Parent Org" queryTableFieldId="4" dataDxfId="4"/>
    <tableColumn id="5" xr3:uid="{84A0993E-4FA2-4D68-B78C-A66D0CD7B7F4}" uniqueName="5" name="Org name" queryTableFieldId="5" dataDxfId="3"/>
    <tableColumn id="6" xr3:uid="{61739F4C-7E22-41D9-83BC-9919F7CE9564}" uniqueName="6" name="A&amp;E attendances Type 1" queryTableFieldId="6"/>
    <tableColumn id="7" xr3:uid="{6093498A-EA59-4AA5-9FEC-A1FE32EE5C8E}" uniqueName="7" name="A&amp;E attendances Type 2" queryTableFieldId="7"/>
    <tableColumn id="8" xr3:uid="{14C6E094-CEFD-4A3A-9765-E070494EC684}" uniqueName="8" name="A&amp;E attendances Other A&amp;E Department" queryTableFieldId="8"/>
    <tableColumn id="9" xr3:uid="{3A912B9A-8D51-4207-AFC3-F6927FF1C384}" uniqueName="9" name="A&amp;E attendances Booked Appointments Type 1" queryTableFieldId="9"/>
    <tableColumn id="10" xr3:uid="{D2F2E7A4-FB3A-4E83-8004-E8CB665AC29A}" uniqueName="10" name="A&amp;E attendances Booked Appointments Type 2" queryTableFieldId="10"/>
    <tableColumn id="11" xr3:uid="{0F8D33C5-27D6-4C5E-99A9-0D9E91126FCF}" uniqueName="11" name="A&amp;E attendances Booked Appointments Other Department" queryTableFieldId="11"/>
    <tableColumn id="12" xr3:uid="{0A85C16C-E467-4AD0-A434-1DDFA26823E8}" uniqueName="12" name="Attendances over 4hrs Type 1" queryTableFieldId="12"/>
    <tableColumn id="13" xr3:uid="{A67B532C-1E45-40CC-9393-48E4C457441E}" uniqueName="13" name="Attendances over 4hrs Type 2" queryTableFieldId="13"/>
    <tableColumn id="14" xr3:uid="{E9204499-3609-4DF7-A363-44E5BEFB409E}" uniqueName="14" name="Attendances over 4hrs Other Department" queryTableFieldId="14"/>
    <tableColumn id="15" xr3:uid="{F0E6A2A3-6A23-4110-A58D-7B5384A6FC51}" uniqueName="15" name="Attendances over 4hrs Booked Appointments Type 1" queryTableFieldId="15"/>
    <tableColumn id="16" xr3:uid="{823C261F-6A07-4BB1-BD5B-BAC57C333A10}" uniqueName="16" name="Attendances over 4hrs Booked Appointments Type 2" queryTableFieldId="16"/>
    <tableColumn id="17" xr3:uid="{7115719D-7FC2-4E7E-B069-81DCC8298582}" uniqueName="17" name="Attendances over 4hrs Booked Appointments Other Department" queryTableFieldId="17"/>
    <tableColumn id="18" xr3:uid="{5F6F5FCE-A033-4E75-87AC-90BB98E0A9A9}" uniqueName="18" name="Patients who have waited 4-12 hs from DTA to admission" queryTableFieldId="18"/>
    <tableColumn id="19" xr3:uid="{AB64F817-3C1A-4B33-9C16-4888DBD996D0}" uniqueName="19" name="Patients who have waited 12+ hrs from DTA to admission" queryTableFieldId="19"/>
    <tableColumn id="20" xr3:uid="{D22DD422-4092-436D-A690-E93C2D7C6CE8}" uniqueName="20" name="Emergency admissions via A&amp;E - Type 1" queryTableFieldId="20"/>
    <tableColumn id="21" xr3:uid="{EE673FBC-65B7-420C-A5DA-4D851903659B}" uniqueName="21" name="Emergency admissions via A&amp;E - Type 2" queryTableFieldId="21"/>
    <tableColumn id="22" xr3:uid="{9C7F60ED-BEDF-48CF-A038-4E99F35021A7}" uniqueName="22" name="Emergency admissions via A&amp;E - Other A&amp;E department" queryTableFieldId="22"/>
    <tableColumn id="23" xr3:uid="{A6317796-A8D1-4F1D-997E-9B80026ED6D8}" uniqueName="23" name="Other emergency admissions" queryTableFieldId="23"/>
    <tableColumn id="24" xr3:uid="{ACD4F5AD-8085-4CAC-B64D-EBD6217B6031}" uniqueName="24" name="Total Attendances" queryTableFieldId="24" dataDxfId="2">
      <calculatedColumnFormula>NHS_AE_2024_2025[[#This Row],[A&amp;E attendances Type 1]]+
NHS_AE_2024_2025[[#This Row],[A&amp;E attendances Type 2]]+
NHS_AE_2024_2025[[#This Row],[A&amp;E attendances Other A&amp;E Department]]</calculatedColumnFormula>
    </tableColumn>
    <tableColumn id="25" xr3:uid="{EDA162AB-C12C-4458-949D-B7D8CE544037}" uniqueName="25" name="Total Over 4hrs" queryTableFieldId="25" dataDxfId="1">
      <calculatedColumnFormula>L2+M2+N2</calculatedColumnFormula>
    </tableColumn>
    <tableColumn id="26" xr3:uid="{96BCE58A-C0A1-4AC6-9292-0E76BD50DB03}" uniqueName="26" name="Total Emergency Admissions" queryTableFieldId="26" dataDxfId="0">
      <calculatedColumnFormula>T2+U2+V2+W2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D5A39E-514D-462F-BA97-DC7F9F1BA43B}" name="Table4" displayName="Table4" ref="A5:B14" totalsRowShown="0">
  <autoFilter ref="A5:B14" xr:uid="{F8D5A39E-514D-462F-BA97-DC7F9F1BA43B}"/>
  <tableColumns count="2">
    <tableColumn id="1" xr3:uid="{62349A4A-C2BF-4070-AB16-A2D042C37FDF}" name="Row Labels"/>
    <tableColumn id="2" xr3:uid="{CA7A696C-9617-4BB1-A1B1-A2CEFEBD69C6}" name="Sum of Total Attendances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692AC1-D7F7-4A20-B1A3-D96C72814CA0}" name="Table5" displayName="Table5" ref="A5:B16" totalsRowShown="0">
  <autoFilter ref="A5:B16" xr:uid="{7D692AC1-D7F7-4A20-B1A3-D96C72814CA0}"/>
  <sortState xmlns:xlrd2="http://schemas.microsoft.com/office/spreadsheetml/2017/richdata2" ref="A6:B16">
    <sortCondition descending="1" ref="B5:B16"/>
  </sortState>
  <tableColumns count="2">
    <tableColumn id="1" xr3:uid="{477A39BA-6525-46DF-9CDC-D638CC9B1842}" name="Row Labels"/>
    <tableColumn id="2" xr3:uid="{95DE2C79-C31D-4376-BC07-EFF076B5CD5E}" name="Sum of Total Over 4hrs" dataDxfId="8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1E43-7101-423F-B144-F4139A334345}">
  <dimension ref="A1:Z2385"/>
  <sheetViews>
    <sheetView tabSelected="1" topLeftCell="D60" workbookViewId="0">
      <selection activeCell="E30" sqref="E30"/>
    </sheetView>
  </sheetViews>
  <sheetFormatPr baseColWidth="10" defaultColWidth="8.83203125" defaultRowHeight="15" x14ac:dyDescent="0.2"/>
  <cols>
    <col min="1" max="1" width="33.6640625" bestFit="1" customWidth="1"/>
    <col min="2" max="2" width="21.6640625" bestFit="1" customWidth="1"/>
    <col min="3" max="3" width="10.6640625" bestFit="1" customWidth="1"/>
    <col min="4" max="4" width="38.1640625" bestFit="1" customWidth="1"/>
    <col min="5" max="5" width="75.1640625" bestFit="1" customWidth="1"/>
    <col min="6" max="7" width="23" bestFit="1" customWidth="1"/>
    <col min="8" max="8" width="36.6640625" bestFit="1" customWidth="1"/>
    <col min="9" max="10" width="42.1640625" bestFit="1" customWidth="1"/>
    <col min="11" max="11" width="52.1640625" bestFit="1" customWidth="1"/>
    <col min="12" max="13" width="27.5" bestFit="1" customWidth="1"/>
    <col min="14" max="14" width="37.5" bestFit="1" customWidth="1"/>
    <col min="15" max="16" width="46.6640625" bestFit="1" customWidth="1"/>
    <col min="17" max="17" width="56.6640625" bestFit="1" customWidth="1"/>
    <col min="18" max="19" width="50.33203125" bestFit="1" customWidth="1"/>
    <col min="20" max="21" width="35.83203125" bestFit="1" customWidth="1"/>
    <col min="22" max="22" width="49.33203125" bestFit="1" customWidth="1"/>
    <col min="23" max="23" width="27.6640625" bestFit="1" customWidth="1"/>
    <col min="24" max="24" width="18.1640625" bestFit="1" customWidth="1"/>
    <col min="25" max="25" width="15.5" bestFit="1" customWidth="1"/>
    <col min="26" max="26" width="27.16406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460</v>
      </c>
      <c r="Y1" t="s">
        <v>461</v>
      </c>
      <c r="Z1" t="s">
        <v>462</v>
      </c>
    </row>
    <row r="2" spans="1:26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0</v>
      </c>
      <c r="G2">
        <v>0</v>
      </c>
      <c r="H2">
        <v>546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f>NHS_AE_2024_2025[[#This Row],[A&amp;E attendances Type 1]]+
NHS_AE_2024_2025[[#This Row],[A&amp;E attendances Type 2]]+
NHS_AE_2024_2025[[#This Row],[A&amp;E attendances Other A&amp;E Department]]</f>
        <v>546</v>
      </c>
      <c r="Y2">
        <f t="shared" ref="Y2:Y65" si="0">L2+M2+N2</f>
        <v>0</v>
      </c>
      <c r="Z2">
        <f t="shared" ref="Z2:Z65" si="1">T2+U2+V2+W2</f>
        <v>0</v>
      </c>
    </row>
    <row r="3" spans="1:26" x14ac:dyDescent="0.2">
      <c r="A3" t="s">
        <v>23</v>
      </c>
      <c r="B3" t="s">
        <v>24</v>
      </c>
      <c r="C3" t="s">
        <v>28</v>
      </c>
      <c r="D3" t="s">
        <v>29</v>
      </c>
      <c r="E3" t="s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41</v>
      </c>
      <c r="X3">
        <f>NHS_AE_2024_2025[[#This Row],[A&amp;E attendances Type 1]]+
NHS_AE_2024_2025[[#This Row],[A&amp;E attendances Type 2]]+
NHS_AE_2024_2025[[#This Row],[A&amp;E attendances Other A&amp;E Department]]</f>
        <v>0</v>
      </c>
      <c r="Y3">
        <f t="shared" si="0"/>
        <v>0</v>
      </c>
      <c r="Z3">
        <f t="shared" si="1"/>
        <v>41</v>
      </c>
    </row>
    <row r="4" spans="1:26" x14ac:dyDescent="0.2">
      <c r="A4" t="s">
        <v>23</v>
      </c>
      <c r="B4" t="s">
        <v>24</v>
      </c>
      <c r="C4" t="s">
        <v>31</v>
      </c>
      <c r="D4" t="s">
        <v>32</v>
      </c>
      <c r="E4" t="s">
        <v>33</v>
      </c>
      <c r="F4">
        <v>0</v>
      </c>
      <c r="G4">
        <v>0</v>
      </c>
      <c r="H4">
        <v>0</v>
      </c>
      <c r="I4">
        <v>0</v>
      </c>
      <c r="J4">
        <v>0</v>
      </c>
      <c r="K4">
        <v>2078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f>NHS_AE_2024_2025[[#This Row],[A&amp;E attendances Type 1]]+
NHS_AE_2024_2025[[#This Row],[A&amp;E attendances Type 2]]+
NHS_AE_2024_2025[[#This Row],[A&amp;E attendances Other A&amp;E Department]]</f>
        <v>0</v>
      </c>
      <c r="Y4">
        <f t="shared" si="0"/>
        <v>0</v>
      </c>
      <c r="Z4">
        <f t="shared" si="1"/>
        <v>0</v>
      </c>
    </row>
    <row r="5" spans="1:26" x14ac:dyDescent="0.2">
      <c r="A5" t="s">
        <v>23</v>
      </c>
      <c r="B5" t="s">
        <v>24</v>
      </c>
      <c r="C5" t="s">
        <v>34</v>
      </c>
      <c r="D5" t="s">
        <v>29</v>
      </c>
      <c r="E5" t="s">
        <v>35</v>
      </c>
      <c r="F5">
        <v>0</v>
      </c>
      <c r="G5">
        <v>0</v>
      </c>
      <c r="H5">
        <v>3694</v>
      </c>
      <c r="I5">
        <v>0</v>
      </c>
      <c r="J5">
        <v>0</v>
      </c>
      <c r="K5">
        <v>104</v>
      </c>
      <c r="L5">
        <v>0</v>
      </c>
      <c r="M5">
        <v>0</v>
      </c>
      <c r="N5">
        <v>17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f>NHS_AE_2024_2025[[#This Row],[A&amp;E attendances Type 1]]+
NHS_AE_2024_2025[[#This Row],[A&amp;E attendances Type 2]]+
NHS_AE_2024_2025[[#This Row],[A&amp;E attendances Other A&amp;E Department]]</f>
        <v>3694</v>
      </c>
      <c r="Y5">
        <f t="shared" si="0"/>
        <v>17</v>
      </c>
      <c r="Z5">
        <f t="shared" si="1"/>
        <v>0</v>
      </c>
    </row>
    <row r="6" spans="1:26" x14ac:dyDescent="0.2">
      <c r="A6" t="s">
        <v>23</v>
      </c>
      <c r="B6" t="s">
        <v>24</v>
      </c>
      <c r="C6" t="s">
        <v>36</v>
      </c>
      <c r="D6" t="s">
        <v>37</v>
      </c>
      <c r="E6" t="s">
        <v>38</v>
      </c>
      <c r="F6">
        <v>0</v>
      </c>
      <c r="G6">
        <v>0</v>
      </c>
      <c r="H6">
        <v>2897</v>
      </c>
      <c r="I6">
        <v>0</v>
      </c>
      <c r="J6">
        <v>0</v>
      </c>
      <c r="K6">
        <v>7</v>
      </c>
      <c r="L6">
        <v>0</v>
      </c>
      <c r="M6">
        <v>0</v>
      </c>
      <c r="N6">
        <v>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f>NHS_AE_2024_2025[[#This Row],[A&amp;E attendances Type 1]]+
NHS_AE_2024_2025[[#This Row],[A&amp;E attendances Type 2]]+
NHS_AE_2024_2025[[#This Row],[A&amp;E attendances Other A&amp;E Department]]</f>
        <v>2897</v>
      </c>
      <c r="Y6">
        <f t="shared" si="0"/>
        <v>8</v>
      </c>
      <c r="Z6">
        <f t="shared" si="1"/>
        <v>0</v>
      </c>
    </row>
    <row r="7" spans="1:26" x14ac:dyDescent="0.2">
      <c r="A7" t="s">
        <v>23</v>
      </c>
      <c r="B7" t="s">
        <v>24</v>
      </c>
      <c r="C7" t="s">
        <v>39</v>
      </c>
      <c r="D7" t="s">
        <v>26</v>
      </c>
      <c r="E7" t="s">
        <v>40</v>
      </c>
      <c r="F7">
        <v>0</v>
      </c>
      <c r="G7">
        <v>0</v>
      </c>
      <c r="H7">
        <v>65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f>NHS_AE_2024_2025[[#This Row],[A&amp;E attendances Type 1]]+
NHS_AE_2024_2025[[#This Row],[A&amp;E attendances Type 2]]+
NHS_AE_2024_2025[[#This Row],[A&amp;E attendances Other A&amp;E Department]]</f>
        <v>65</v>
      </c>
      <c r="Y7">
        <f t="shared" si="0"/>
        <v>0</v>
      </c>
      <c r="Z7">
        <f t="shared" si="1"/>
        <v>0</v>
      </c>
    </row>
    <row r="8" spans="1:26" x14ac:dyDescent="0.2">
      <c r="A8" t="s">
        <v>23</v>
      </c>
      <c r="B8" t="s">
        <v>24</v>
      </c>
      <c r="C8" t="s">
        <v>41</v>
      </c>
      <c r="D8" t="s">
        <v>32</v>
      </c>
      <c r="E8" t="s">
        <v>42</v>
      </c>
      <c r="F8">
        <v>0</v>
      </c>
      <c r="G8">
        <v>0</v>
      </c>
      <c r="H8">
        <v>3251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f>NHS_AE_2024_2025[[#This Row],[A&amp;E attendances Type 1]]+
NHS_AE_2024_2025[[#This Row],[A&amp;E attendances Type 2]]+
NHS_AE_2024_2025[[#This Row],[A&amp;E attendances Other A&amp;E Department]]</f>
        <v>3251</v>
      </c>
      <c r="Y8">
        <f t="shared" si="0"/>
        <v>0</v>
      </c>
      <c r="Z8">
        <f t="shared" si="1"/>
        <v>0</v>
      </c>
    </row>
    <row r="9" spans="1:26" x14ac:dyDescent="0.2">
      <c r="A9" t="s">
        <v>23</v>
      </c>
      <c r="B9" t="s">
        <v>24</v>
      </c>
      <c r="C9" t="s">
        <v>43</v>
      </c>
      <c r="D9" t="s">
        <v>26</v>
      </c>
      <c r="E9" t="s">
        <v>44</v>
      </c>
      <c r="F9">
        <v>6247</v>
      </c>
      <c r="G9">
        <v>0</v>
      </c>
      <c r="H9">
        <v>3233</v>
      </c>
      <c r="I9">
        <v>0</v>
      </c>
      <c r="J9">
        <v>0</v>
      </c>
      <c r="K9">
        <v>0</v>
      </c>
      <c r="L9">
        <v>3037</v>
      </c>
      <c r="M9">
        <v>0</v>
      </c>
      <c r="N9">
        <v>12</v>
      </c>
      <c r="O9">
        <v>0</v>
      </c>
      <c r="P9">
        <v>0</v>
      </c>
      <c r="Q9">
        <v>0</v>
      </c>
      <c r="R9">
        <v>315</v>
      </c>
      <c r="S9">
        <v>86</v>
      </c>
      <c r="T9">
        <v>1686</v>
      </c>
      <c r="U9">
        <v>0</v>
      </c>
      <c r="V9">
        <v>0</v>
      </c>
      <c r="W9">
        <v>989</v>
      </c>
      <c r="X9">
        <f>NHS_AE_2024_2025[[#This Row],[A&amp;E attendances Type 1]]+
NHS_AE_2024_2025[[#This Row],[A&amp;E attendances Type 2]]+
NHS_AE_2024_2025[[#This Row],[A&amp;E attendances Other A&amp;E Department]]</f>
        <v>9480</v>
      </c>
      <c r="Y9">
        <f t="shared" si="0"/>
        <v>3049</v>
      </c>
      <c r="Z9">
        <f t="shared" si="1"/>
        <v>2675</v>
      </c>
    </row>
    <row r="10" spans="1:26" x14ac:dyDescent="0.2">
      <c r="A10" t="s">
        <v>23</v>
      </c>
      <c r="B10" t="s">
        <v>24</v>
      </c>
      <c r="C10" t="s">
        <v>45</v>
      </c>
      <c r="D10" t="s">
        <v>26</v>
      </c>
      <c r="E10" t="s">
        <v>46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f>NHS_AE_2024_2025[[#This Row],[A&amp;E attendances Type 1]]+
NHS_AE_2024_2025[[#This Row],[A&amp;E attendances Type 2]]+
NHS_AE_2024_2025[[#This Row],[A&amp;E attendances Other A&amp;E Department]]</f>
        <v>0</v>
      </c>
      <c r="Y10">
        <f t="shared" si="0"/>
        <v>0</v>
      </c>
      <c r="Z10">
        <f t="shared" si="1"/>
        <v>2</v>
      </c>
    </row>
    <row r="11" spans="1:26" x14ac:dyDescent="0.2">
      <c r="A11" t="s">
        <v>23</v>
      </c>
      <c r="B11" t="s">
        <v>24</v>
      </c>
      <c r="C11" t="s">
        <v>47</v>
      </c>
      <c r="D11" t="s">
        <v>26</v>
      </c>
      <c r="E11" t="s">
        <v>48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</v>
      </c>
      <c r="W11">
        <v>42</v>
      </c>
      <c r="X11">
        <f>NHS_AE_2024_2025[[#This Row],[A&amp;E attendances Type 1]]+
NHS_AE_2024_2025[[#This Row],[A&amp;E attendances Type 2]]+
NHS_AE_2024_2025[[#This Row],[A&amp;E attendances Other A&amp;E Department]]</f>
        <v>0</v>
      </c>
      <c r="Y11">
        <f t="shared" si="0"/>
        <v>0</v>
      </c>
      <c r="Z11">
        <f t="shared" si="1"/>
        <v>53</v>
      </c>
    </row>
    <row r="12" spans="1:26" x14ac:dyDescent="0.2">
      <c r="A12" t="s">
        <v>23</v>
      </c>
      <c r="B12" t="s">
        <v>24</v>
      </c>
      <c r="C12" t="s">
        <v>49</v>
      </c>
      <c r="D12" t="s">
        <v>50</v>
      </c>
      <c r="E12" t="s">
        <v>51</v>
      </c>
      <c r="F12">
        <v>15028</v>
      </c>
      <c r="G12">
        <v>0</v>
      </c>
      <c r="H12">
        <v>0</v>
      </c>
      <c r="I12">
        <v>0</v>
      </c>
      <c r="J12">
        <v>0</v>
      </c>
      <c r="K12">
        <v>0</v>
      </c>
      <c r="L12">
        <v>4313</v>
      </c>
      <c r="M12">
        <v>0</v>
      </c>
      <c r="N12">
        <v>0</v>
      </c>
      <c r="O12">
        <v>0</v>
      </c>
      <c r="P12">
        <v>0</v>
      </c>
      <c r="Q12">
        <v>0</v>
      </c>
      <c r="R12">
        <v>1354</v>
      </c>
      <c r="S12">
        <v>2</v>
      </c>
      <c r="T12">
        <v>2969</v>
      </c>
      <c r="U12">
        <v>0</v>
      </c>
      <c r="V12">
        <v>0</v>
      </c>
      <c r="W12">
        <v>179</v>
      </c>
      <c r="X12">
        <f>NHS_AE_2024_2025[[#This Row],[A&amp;E attendances Type 1]]+
NHS_AE_2024_2025[[#This Row],[A&amp;E attendances Type 2]]+
NHS_AE_2024_2025[[#This Row],[A&amp;E attendances Other A&amp;E Department]]</f>
        <v>15028</v>
      </c>
      <c r="Y12">
        <f t="shared" si="0"/>
        <v>4313</v>
      </c>
      <c r="Z12">
        <f t="shared" si="1"/>
        <v>3148</v>
      </c>
    </row>
    <row r="13" spans="1:26" x14ac:dyDescent="0.2">
      <c r="A13" t="s">
        <v>23</v>
      </c>
      <c r="B13" t="s">
        <v>24</v>
      </c>
      <c r="C13" t="s">
        <v>52</v>
      </c>
      <c r="D13" t="s">
        <v>37</v>
      </c>
      <c r="E13" t="s">
        <v>53</v>
      </c>
      <c r="F13">
        <v>9767</v>
      </c>
      <c r="G13">
        <v>1186</v>
      </c>
      <c r="H13">
        <v>3547</v>
      </c>
      <c r="I13">
        <v>0</v>
      </c>
      <c r="J13">
        <v>0</v>
      </c>
      <c r="K13">
        <v>0</v>
      </c>
      <c r="L13">
        <v>3673</v>
      </c>
      <c r="M13">
        <v>0</v>
      </c>
      <c r="N13">
        <v>118</v>
      </c>
      <c r="O13">
        <v>0</v>
      </c>
      <c r="P13">
        <v>0</v>
      </c>
      <c r="Q13">
        <v>0</v>
      </c>
      <c r="R13">
        <v>321</v>
      </c>
      <c r="S13">
        <v>265</v>
      </c>
      <c r="T13">
        <v>3741</v>
      </c>
      <c r="U13">
        <v>824</v>
      </c>
      <c r="V13">
        <v>0</v>
      </c>
      <c r="W13">
        <v>1784</v>
      </c>
      <c r="X13">
        <f>NHS_AE_2024_2025[[#This Row],[A&amp;E attendances Type 1]]+
NHS_AE_2024_2025[[#This Row],[A&amp;E attendances Type 2]]+
NHS_AE_2024_2025[[#This Row],[A&amp;E attendances Other A&amp;E Department]]</f>
        <v>14500</v>
      </c>
      <c r="Y13">
        <f t="shared" si="0"/>
        <v>3791</v>
      </c>
      <c r="Z13">
        <f t="shared" si="1"/>
        <v>6349</v>
      </c>
    </row>
    <row r="14" spans="1:26" x14ac:dyDescent="0.2">
      <c r="A14" t="s">
        <v>23</v>
      </c>
      <c r="B14" t="s">
        <v>24</v>
      </c>
      <c r="C14" t="s">
        <v>54</v>
      </c>
      <c r="D14" t="s">
        <v>55</v>
      </c>
      <c r="E14" t="s">
        <v>56</v>
      </c>
      <c r="F14">
        <v>0</v>
      </c>
      <c r="G14">
        <v>0</v>
      </c>
      <c r="H14">
        <v>4382</v>
      </c>
      <c r="I14">
        <v>0</v>
      </c>
      <c r="J14">
        <v>0</v>
      </c>
      <c r="K14">
        <v>0</v>
      </c>
      <c r="L14">
        <v>0</v>
      </c>
      <c r="M14">
        <v>0</v>
      </c>
      <c r="N14">
        <v>101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f>NHS_AE_2024_2025[[#This Row],[A&amp;E attendances Type 1]]+
NHS_AE_2024_2025[[#This Row],[A&amp;E attendances Type 2]]+
NHS_AE_2024_2025[[#This Row],[A&amp;E attendances Other A&amp;E Department]]</f>
        <v>4382</v>
      </c>
      <c r="Y14">
        <f t="shared" si="0"/>
        <v>101</v>
      </c>
      <c r="Z14">
        <f t="shared" si="1"/>
        <v>0</v>
      </c>
    </row>
    <row r="15" spans="1:26" x14ac:dyDescent="0.2">
      <c r="A15" t="s">
        <v>23</v>
      </c>
      <c r="B15" t="s">
        <v>24</v>
      </c>
      <c r="C15" t="s">
        <v>57</v>
      </c>
      <c r="D15" t="s">
        <v>32</v>
      </c>
      <c r="E15" t="s">
        <v>58</v>
      </c>
      <c r="F15">
        <v>0</v>
      </c>
      <c r="G15">
        <v>0</v>
      </c>
      <c r="H15">
        <v>6272</v>
      </c>
      <c r="I15">
        <v>0</v>
      </c>
      <c r="J15">
        <v>0</v>
      </c>
      <c r="K15">
        <v>1630</v>
      </c>
      <c r="L15">
        <v>0</v>
      </c>
      <c r="M15">
        <v>0</v>
      </c>
      <c r="N15">
        <v>31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f>NHS_AE_2024_2025[[#This Row],[A&amp;E attendances Type 1]]+
NHS_AE_2024_2025[[#This Row],[A&amp;E attendances Type 2]]+
NHS_AE_2024_2025[[#This Row],[A&amp;E attendances Other A&amp;E Department]]</f>
        <v>6272</v>
      </c>
      <c r="Y15">
        <f t="shared" si="0"/>
        <v>31</v>
      </c>
      <c r="Z15">
        <f t="shared" si="1"/>
        <v>0</v>
      </c>
    </row>
    <row r="16" spans="1:26" x14ac:dyDescent="0.2">
      <c r="A16" t="s">
        <v>23</v>
      </c>
      <c r="B16" t="s">
        <v>24</v>
      </c>
      <c r="C16" t="s">
        <v>59</v>
      </c>
      <c r="D16" t="s">
        <v>37</v>
      </c>
      <c r="E16" t="s">
        <v>60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f>NHS_AE_2024_2025[[#This Row],[A&amp;E attendances Type 1]]+
NHS_AE_2024_2025[[#This Row],[A&amp;E attendances Type 2]]+
NHS_AE_2024_2025[[#This Row],[A&amp;E attendances Other A&amp;E Department]]</f>
        <v>0</v>
      </c>
      <c r="Y16">
        <f t="shared" si="0"/>
        <v>0</v>
      </c>
      <c r="Z16">
        <f t="shared" si="1"/>
        <v>0</v>
      </c>
    </row>
    <row r="17" spans="1:26" x14ac:dyDescent="0.2">
      <c r="A17" t="s">
        <v>23</v>
      </c>
      <c r="B17" t="s">
        <v>24</v>
      </c>
      <c r="C17" t="s">
        <v>61</v>
      </c>
      <c r="D17" t="s">
        <v>55</v>
      </c>
      <c r="E17" t="s">
        <v>62</v>
      </c>
      <c r="F17">
        <v>0</v>
      </c>
      <c r="G17">
        <v>0</v>
      </c>
      <c r="H17">
        <v>1706</v>
      </c>
      <c r="I17">
        <v>0</v>
      </c>
      <c r="J17">
        <v>0</v>
      </c>
      <c r="K17">
        <v>0</v>
      </c>
      <c r="L17">
        <v>0</v>
      </c>
      <c r="M17">
        <v>0</v>
      </c>
      <c r="N17">
        <v>13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f>NHS_AE_2024_2025[[#This Row],[A&amp;E attendances Type 1]]+
NHS_AE_2024_2025[[#This Row],[A&amp;E attendances Type 2]]+
NHS_AE_2024_2025[[#This Row],[A&amp;E attendances Other A&amp;E Department]]</f>
        <v>1706</v>
      </c>
      <c r="Y17">
        <f t="shared" si="0"/>
        <v>13</v>
      </c>
      <c r="Z17">
        <f t="shared" si="1"/>
        <v>0</v>
      </c>
    </row>
    <row r="18" spans="1:26" x14ac:dyDescent="0.2">
      <c r="A18" t="s">
        <v>23</v>
      </c>
      <c r="B18" t="s">
        <v>24</v>
      </c>
      <c r="C18" t="s">
        <v>63</v>
      </c>
      <c r="D18" t="s">
        <v>32</v>
      </c>
      <c r="E18" t="s">
        <v>64</v>
      </c>
      <c r="F18">
        <v>0</v>
      </c>
      <c r="G18">
        <v>0</v>
      </c>
      <c r="H18">
        <v>6526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f>NHS_AE_2024_2025[[#This Row],[A&amp;E attendances Type 1]]+
NHS_AE_2024_2025[[#This Row],[A&amp;E attendances Type 2]]+
NHS_AE_2024_2025[[#This Row],[A&amp;E attendances Other A&amp;E Department]]</f>
        <v>6526</v>
      </c>
      <c r="Y18">
        <f t="shared" si="0"/>
        <v>0</v>
      </c>
      <c r="Z18">
        <f t="shared" si="1"/>
        <v>0</v>
      </c>
    </row>
    <row r="19" spans="1:26" x14ac:dyDescent="0.2">
      <c r="A19" t="s">
        <v>23</v>
      </c>
      <c r="B19" t="s">
        <v>24</v>
      </c>
      <c r="C19" t="s">
        <v>65</v>
      </c>
      <c r="D19" t="s">
        <v>32</v>
      </c>
      <c r="E19" t="s">
        <v>66</v>
      </c>
      <c r="F19">
        <v>0</v>
      </c>
      <c r="G19">
        <v>0</v>
      </c>
      <c r="H19">
        <v>0</v>
      </c>
      <c r="I19">
        <v>0</v>
      </c>
      <c r="J19">
        <v>0</v>
      </c>
      <c r="K19">
        <v>2053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f>NHS_AE_2024_2025[[#This Row],[A&amp;E attendances Type 1]]+
NHS_AE_2024_2025[[#This Row],[A&amp;E attendances Type 2]]+
NHS_AE_2024_2025[[#This Row],[A&amp;E attendances Other A&amp;E Department]]</f>
        <v>0</v>
      </c>
      <c r="Y19">
        <f t="shared" si="0"/>
        <v>0</v>
      </c>
      <c r="Z19">
        <f t="shared" si="1"/>
        <v>0</v>
      </c>
    </row>
    <row r="20" spans="1:26" x14ac:dyDescent="0.2">
      <c r="A20" t="s">
        <v>23</v>
      </c>
      <c r="B20" t="s">
        <v>24</v>
      </c>
      <c r="C20" t="s">
        <v>67</v>
      </c>
      <c r="D20" t="s">
        <v>29</v>
      </c>
      <c r="E20" t="s">
        <v>68</v>
      </c>
      <c r="F20">
        <v>0</v>
      </c>
      <c r="G20">
        <v>0</v>
      </c>
      <c r="H20">
        <v>924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f>NHS_AE_2024_2025[[#This Row],[A&amp;E attendances Type 1]]+
NHS_AE_2024_2025[[#This Row],[A&amp;E attendances Type 2]]+
NHS_AE_2024_2025[[#This Row],[A&amp;E attendances Other A&amp;E Department]]</f>
        <v>924</v>
      </c>
      <c r="Y20">
        <f t="shared" si="0"/>
        <v>0</v>
      </c>
      <c r="Z20">
        <f t="shared" si="1"/>
        <v>0</v>
      </c>
    </row>
    <row r="21" spans="1:26" x14ac:dyDescent="0.2">
      <c r="A21" t="s">
        <v>23</v>
      </c>
      <c r="B21" t="s">
        <v>24</v>
      </c>
      <c r="C21" t="s">
        <v>69</v>
      </c>
      <c r="D21" t="s">
        <v>70</v>
      </c>
      <c r="E21" t="s">
        <v>71</v>
      </c>
      <c r="F21">
        <v>0</v>
      </c>
      <c r="G21">
        <v>0</v>
      </c>
      <c r="H21">
        <v>2273</v>
      </c>
      <c r="I21">
        <v>0</v>
      </c>
      <c r="J21">
        <v>0</v>
      </c>
      <c r="K21">
        <v>0</v>
      </c>
      <c r="L21">
        <v>0</v>
      </c>
      <c r="M21">
        <v>0</v>
      </c>
      <c r="N21">
        <v>17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f>NHS_AE_2024_2025[[#This Row],[A&amp;E attendances Type 1]]+
NHS_AE_2024_2025[[#This Row],[A&amp;E attendances Type 2]]+
NHS_AE_2024_2025[[#This Row],[A&amp;E attendances Other A&amp;E Department]]</f>
        <v>2273</v>
      </c>
      <c r="Y21">
        <f t="shared" si="0"/>
        <v>17</v>
      </c>
      <c r="Z21">
        <f t="shared" si="1"/>
        <v>0</v>
      </c>
    </row>
    <row r="22" spans="1:26" x14ac:dyDescent="0.2">
      <c r="A22" t="s">
        <v>23</v>
      </c>
      <c r="B22" t="s">
        <v>24</v>
      </c>
      <c r="C22" t="s">
        <v>72</v>
      </c>
      <c r="D22" t="s">
        <v>55</v>
      </c>
      <c r="E22" t="s">
        <v>73</v>
      </c>
      <c r="F22">
        <v>0</v>
      </c>
      <c r="G22">
        <v>0</v>
      </c>
      <c r="H22">
        <v>1871</v>
      </c>
      <c r="I22">
        <v>0</v>
      </c>
      <c r="J22">
        <v>0</v>
      </c>
      <c r="K22">
        <v>0</v>
      </c>
      <c r="L22">
        <v>0</v>
      </c>
      <c r="M22">
        <v>0</v>
      </c>
      <c r="N22">
        <v>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f>NHS_AE_2024_2025[[#This Row],[A&amp;E attendances Type 1]]+
NHS_AE_2024_2025[[#This Row],[A&amp;E attendances Type 2]]+
NHS_AE_2024_2025[[#This Row],[A&amp;E attendances Other A&amp;E Department]]</f>
        <v>1871</v>
      </c>
      <c r="Y22">
        <f t="shared" si="0"/>
        <v>5</v>
      </c>
      <c r="Z22">
        <f t="shared" si="1"/>
        <v>0</v>
      </c>
    </row>
    <row r="23" spans="1:26" x14ac:dyDescent="0.2">
      <c r="A23" t="s">
        <v>23</v>
      </c>
      <c r="B23" t="s">
        <v>24</v>
      </c>
      <c r="C23" t="s">
        <v>74</v>
      </c>
      <c r="D23" t="s">
        <v>26</v>
      </c>
      <c r="E23" t="s">
        <v>75</v>
      </c>
      <c r="F23">
        <v>0</v>
      </c>
      <c r="G23">
        <v>0</v>
      </c>
      <c r="H23">
        <v>925</v>
      </c>
      <c r="I23">
        <v>0</v>
      </c>
      <c r="J23">
        <v>0</v>
      </c>
      <c r="K23">
        <v>0</v>
      </c>
      <c r="L23">
        <v>0</v>
      </c>
      <c r="M23">
        <v>0</v>
      </c>
      <c r="N23">
        <v>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f>NHS_AE_2024_2025[[#This Row],[A&amp;E attendances Type 1]]+
NHS_AE_2024_2025[[#This Row],[A&amp;E attendances Type 2]]+
NHS_AE_2024_2025[[#This Row],[A&amp;E attendances Other A&amp;E Department]]</f>
        <v>925</v>
      </c>
      <c r="Y23">
        <f t="shared" si="0"/>
        <v>8</v>
      </c>
      <c r="Z23">
        <f t="shared" si="1"/>
        <v>0</v>
      </c>
    </row>
    <row r="24" spans="1:26" x14ac:dyDescent="0.2">
      <c r="A24" t="s">
        <v>23</v>
      </c>
      <c r="B24" t="s">
        <v>24</v>
      </c>
      <c r="C24" t="s">
        <v>76</v>
      </c>
      <c r="D24" t="s">
        <v>37</v>
      </c>
      <c r="E24" t="s">
        <v>77</v>
      </c>
      <c r="F24">
        <v>0</v>
      </c>
      <c r="G24">
        <v>0</v>
      </c>
      <c r="H24">
        <v>5566</v>
      </c>
      <c r="I24">
        <v>0</v>
      </c>
      <c r="J24">
        <v>0</v>
      </c>
      <c r="K24">
        <v>327</v>
      </c>
      <c r="L24">
        <v>0</v>
      </c>
      <c r="M24">
        <v>0</v>
      </c>
      <c r="N24">
        <v>238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f>NHS_AE_2024_2025[[#This Row],[A&amp;E attendances Type 1]]+
NHS_AE_2024_2025[[#This Row],[A&amp;E attendances Type 2]]+
NHS_AE_2024_2025[[#This Row],[A&amp;E attendances Other A&amp;E Department]]</f>
        <v>5566</v>
      </c>
      <c r="Y24">
        <f t="shared" si="0"/>
        <v>238</v>
      </c>
      <c r="Z24">
        <f t="shared" si="1"/>
        <v>0</v>
      </c>
    </row>
    <row r="25" spans="1:26" x14ac:dyDescent="0.2">
      <c r="A25" t="s">
        <v>23</v>
      </c>
      <c r="B25" t="s">
        <v>24</v>
      </c>
      <c r="C25" t="s">
        <v>78</v>
      </c>
      <c r="D25" t="s">
        <v>37</v>
      </c>
      <c r="E25" t="s">
        <v>79</v>
      </c>
      <c r="F25">
        <v>0</v>
      </c>
      <c r="G25">
        <v>0</v>
      </c>
      <c r="H25">
        <v>2476</v>
      </c>
      <c r="I25">
        <v>0</v>
      </c>
      <c r="J25">
        <v>0</v>
      </c>
      <c r="K25">
        <v>0</v>
      </c>
      <c r="L25">
        <v>0</v>
      </c>
      <c r="M25">
        <v>0</v>
      </c>
      <c r="N25">
        <v>51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f>NHS_AE_2024_2025[[#This Row],[A&amp;E attendances Type 1]]+
NHS_AE_2024_2025[[#This Row],[A&amp;E attendances Type 2]]+
NHS_AE_2024_2025[[#This Row],[A&amp;E attendances Other A&amp;E Department]]</f>
        <v>2476</v>
      </c>
      <c r="Y25">
        <f t="shared" si="0"/>
        <v>51</v>
      </c>
      <c r="Z25">
        <f t="shared" si="1"/>
        <v>0</v>
      </c>
    </row>
    <row r="26" spans="1:26" x14ac:dyDescent="0.2">
      <c r="A26" t="s">
        <v>23</v>
      </c>
      <c r="B26" t="s">
        <v>24</v>
      </c>
      <c r="C26" t="s">
        <v>80</v>
      </c>
      <c r="D26" t="s">
        <v>37</v>
      </c>
      <c r="E26" t="s">
        <v>81</v>
      </c>
      <c r="F26">
        <v>0</v>
      </c>
      <c r="G26">
        <v>0</v>
      </c>
      <c r="H26">
        <v>2482</v>
      </c>
      <c r="I26">
        <v>0</v>
      </c>
      <c r="J26">
        <v>0</v>
      </c>
      <c r="K26">
        <v>0</v>
      </c>
      <c r="L26">
        <v>0</v>
      </c>
      <c r="M26">
        <v>0</v>
      </c>
      <c r="N26">
        <v>89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f>NHS_AE_2024_2025[[#This Row],[A&amp;E attendances Type 1]]+
NHS_AE_2024_2025[[#This Row],[A&amp;E attendances Type 2]]+
NHS_AE_2024_2025[[#This Row],[A&amp;E attendances Other A&amp;E Department]]</f>
        <v>2482</v>
      </c>
      <c r="Y26">
        <f t="shared" si="0"/>
        <v>89</v>
      </c>
      <c r="Z26">
        <f t="shared" si="1"/>
        <v>0</v>
      </c>
    </row>
    <row r="27" spans="1:26" x14ac:dyDescent="0.2">
      <c r="A27" t="s">
        <v>23</v>
      </c>
      <c r="B27" t="s">
        <v>24</v>
      </c>
      <c r="C27" t="s">
        <v>82</v>
      </c>
      <c r="D27" t="s">
        <v>55</v>
      </c>
      <c r="E27" t="s">
        <v>83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160</v>
      </c>
      <c r="X27">
        <f>NHS_AE_2024_2025[[#This Row],[A&amp;E attendances Type 1]]+
NHS_AE_2024_2025[[#This Row],[A&amp;E attendances Type 2]]+
NHS_AE_2024_2025[[#This Row],[A&amp;E attendances Other A&amp;E Department]]</f>
        <v>0</v>
      </c>
      <c r="Y27">
        <f t="shared" si="0"/>
        <v>0</v>
      </c>
      <c r="Z27">
        <f t="shared" si="1"/>
        <v>160</v>
      </c>
    </row>
    <row r="28" spans="1:26" x14ac:dyDescent="0.2">
      <c r="A28" t="s">
        <v>23</v>
      </c>
      <c r="B28" t="s">
        <v>24</v>
      </c>
      <c r="C28" t="s">
        <v>84</v>
      </c>
      <c r="D28" t="s">
        <v>50</v>
      </c>
      <c r="E28" t="s">
        <v>85</v>
      </c>
      <c r="F28">
        <v>8335</v>
      </c>
      <c r="G28">
        <v>0</v>
      </c>
      <c r="H28">
        <v>0</v>
      </c>
      <c r="I28">
        <v>432</v>
      </c>
      <c r="J28">
        <v>0</v>
      </c>
      <c r="K28">
        <v>0</v>
      </c>
      <c r="L28">
        <v>2671</v>
      </c>
      <c r="M28">
        <v>0</v>
      </c>
      <c r="N28">
        <v>0</v>
      </c>
      <c r="O28">
        <v>0</v>
      </c>
      <c r="P28">
        <v>0</v>
      </c>
      <c r="Q28">
        <v>0</v>
      </c>
      <c r="R28">
        <v>456</v>
      </c>
      <c r="S28">
        <v>0</v>
      </c>
      <c r="T28">
        <v>2872</v>
      </c>
      <c r="U28">
        <v>0</v>
      </c>
      <c r="V28">
        <v>0</v>
      </c>
      <c r="W28">
        <v>470</v>
      </c>
      <c r="X28">
        <f>NHS_AE_2024_2025[[#This Row],[A&amp;E attendances Type 1]]+
NHS_AE_2024_2025[[#This Row],[A&amp;E attendances Type 2]]+
NHS_AE_2024_2025[[#This Row],[A&amp;E attendances Other A&amp;E Department]]</f>
        <v>8335</v>
      </c>
      <c r="Y28">
        <f t="shared" si="0"/>
        <v>2671</v>
      </c>
      <c r="Z28">
        <f t="shared" si="1"/>
        <v>3342</v>
      </c>
    </row>
    <row r="29" spans="1:26" x14ac:dyDescent="0.2">
      <c r="A29" t="s">
        <v>23</v>
      </c>
      <c r="B29" t="s">
        <v>24</v>
      </c>
      <c r="C29" t="s">
        <v>86</v>
      </c>
      <c r="D29" t="s">
        <v>37</v>
      </c>
      <c r="E29" t="s">
        <v>87</v>
      </c>
      <c r="F29">
        <v>0</v>
      </c>
      <c r="G29">
        <v>0</v>
      </c>
      <c r="H29">
        <v>1400</v>
      </c>
      <c r="I29">
        <v>0</v>
      </c>
      <c r="J29">
        <v>0</v>
      </c>
      <c r="K29">
        <v>0</v>
      </c>
      <c r="L29">
        <v>0</v>
      </c>
      <c r="M29">
        <v>0</v>
      </c>
      <c r="N29">
        <v>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</v>
      </c>
      <c r="W29">
        <v>493</v>
      </c>
      <c r="X29">
        <f>NHS_AE_2024_2025[[#This Row],[A&amp;E attendances Type 1]]+
NHS_AE_2024_2025[[#This Row],[A&amp;E attendances Type 2]]+
NHS_AE_2024_2025[[#This Row],[A&amp;E attendances Other A&amp;E Department]]</f>
        <v>1400</v>
      </c>
      <c r="Y29">
        <f t="shared" si="0"/>
        <v>6</v>
      </c>
      <c r="Z29">
        <f t="shared" si="1"/>
        <v>496</v>
      </c>
    </row>
    <row r="30" spans="1:26" x14ac:dyDescent="0.2">
      <c r="A30" t="s">
        <v>23</v>
      </c>
      <c r="B30" t="s">
        <v>24</v>
      </c>
      <c r="C30" t="s">
        <v>88</v>
      </c>
      <c r="D30" t="s">
        <v>29</v>
      </c>
      <c r="E30" t="s">
        <v>89</v>
      </c>
      <c r="F30">
        <v>12195</v>
      </c>
      <c r="G30">
        <v>0</v>
      </c>
      <c r="H30">
        <v>0</v>
      </c>
      <c r="I30">
        <v>545</v>
      </c>
      <c r="J30">
        <v>0</v>
      </c>
      <c r="K30">
        <v>0</v>
      </c>
      <c r="L30">
        <v>4209</v>
      </c>
      <c r="M30">
        <v>0</v>
      </c>
      <c r="N30">
        <v>0</v>
      </c>
      <c r="O30">
        <v>0</v>
      </c>
      <c r="P30">
        <v>0</v>
      </c>
      <c r="Q30">
        <v>0</v>
      </c>
      <c r="R30">
        <v>419</v>
      </c>
      <c r="S30">
        <v>144</v>
      </c>
      <c r="T30">
        <v>1364</v>
      </c>
      <c r="U30">
        <v>0</v>
      </c>
      <c r="V30">
        <v>0</v>
      </c>
      <c r="W30">
        <v>276</v>
      </c>
      <c r="X30">
        <f>NHS_AE_2024_2025[[#This Row],[A&amp;E attendances Type 1]]+
NHS_AE_2024_2025[[#This Row],[A&amp;E attendances Type 2]]+
NHS_AE_2024_2025[[#This Row],[A&amp;E attendances Other A&amp;E Department]]</f>
        <v>12195</v>
      </c>
      <c r="Y30">
        <f t="shared" si="0"/>
        <v>4209</v>
      </c>
      <c r="Z30">
        <f t="shared" si="1"/>
        <v>1640</v>
      </c>
    </row>
    <row r="31" spans="1:26" x14ac:dyDescent="0.2">
      <c r="A31" t="s">
        <v>23</v>
      </c>
      <c r="B31" t="s">
        <v>24</v>
      </c>
      <c r="C31" t="s">
        <v>90</v>
      </c>
      <c r="D31" t="s">
        <v>29</v>
      </c>
      <c r="E31" t="s">
        <v>91</v>
      </c>
      <c r="F31">
        <v>0</v>
      </c>
      <c r="G31">
        <v>0</v>
      </c>
      <c r="H31">
        <v>7556</v>
      </c>
      <c r="I31">
        <v>0</v>
      </c>
      <c r="J31">
        <v>0</v>
      </c>
      <c r="K31">
        <v>592</v>
      </c>
      <c r="L31">
        <v>0</v>
      </c>
      <c r="M31">
        <v>0</v>
      </c>
      <c r="N31">
        <v>304</v>
      </c>
      <c r="O31">
        <v>0</v>
      </c>
      <c r="P31">
        <v>0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f>NHS_AE_2024_2025[[#This Row],[A&amp;E attendances Type 1]]+
NHS_AE_2024_2025[[#This Row],[A&amp;E attendances Type 2]]+
NHS_AE_2024_2025[[#This Row],[A&amp;E attendances Other A&amp;E Department]]</f>
        <v>7556</v>
      </c>
      <c r="Y31">
        <f t="shared" si="0"/>
        <v>304</v>
      </c>
      <c r="Z31">
        <f t="shared" si="1"/>
        <v>0</v>
      </c>
    </row>
    <row r="32" spans="1:26" x14ac:dyDescent="0.2">
      <c r="A32" t="s">
        <v>23</v>
      </c>
      <c r="B32" t="s">
        <v>24</v>
      </c>
      <c r="C32" t="s">
        <v>92</v>
      </c>
      <c r="D32" t="s">
        <v>26</v>
      </c>
      <c r="E32" t="s">
        <v>93</v>
      </c>
      <c r="F32">
        <v>0</v>
      </c>
      <c r="G32">
        <v>0</v>
      </c>
      <c r="H32">
        <v>2355</v>
      </c>
      <c r="I32">
        <v>0</v>
      </c>
      <c r="J32">
        <v>0</v>
      </c>
      <c r="K32">
        <v>0</v>
      </c>
      <c r="L32">
        <v>0</v>
      </c>
      <c r="M32">
        <v>0</v>
      </c>
      <c r="N32">
        <v>24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f>NHS_AE_2024_2025[[#This Row],[A&amp;E attendances Type 1]]+
NHS_AE_2024_2025[[#This Row],[A&amp;E attendances Type 2]]+
NHS_AE_2024_2025[[#This Row],[A&amp;E attendances Other A&amp;E Department]]</f>
        <v>2355</v>
      </c>
      <c r="Y32">
        <f t="shared" si="0"/>
        <v>24</v>
      </c>
      <c r="Z32">
        <f t="shared" si="1"/>
        <v>0</v>
      </c>
    </row>
    <row r="33" spans="1:26" x14ac:dyDescent="0.2">
      <c r="A33" t="s">
        <v>23</v>
      </c>
      <c r="B33" t="s">
        <v>24</v>
      </c>
      <c r="C33" t="s">
        <v>94</v>
      </c>
      <c r="D33" t="s">
        <v>32</v>
      </c>
      <c r="E33" t="s">
        <v>95</v>
      </c>
      <c r="F33">
        <v>0</v>
      </c>
      <c r="G33">
        <v>0</v>
      </c>
      <c r="H33">
        <v>274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f>NHS_AE_2024_2025[[#This Row],[A&amp;E attendances Type 1]]+
NHS_AE_2024_2025[[#This Row],[A&amp;E attendances Type 2]]+
NHS_AE_2024_2025[[#This Row],[A&amp;E attendances Other A&amp;E Department]]</f>
        <v>274</v>
      </c>
      <c r="Y33">
        <f t="shared" si="0"/>
        <v>0</v>
      </c>
      <c r="Z33">
        <f t="shared" si="1"/>
        <v>0</v>
      </c>
    </row>
    <row r="34" spans="1:26" x14ac:dyDescent="0.2">
      <c r="A34" t="s">
        <v>23</v>
      </c>
      <c r="B34" t="s">
        <v>24</v>
      </c>
      <c r="C34" t="s">
        <v>96</v>
      </c>
      <c r="D34" t="s">
        <v>29</v>
      </c>
      <c r="E34" t="s">
        <v>97</v>
      </c>
      <c r="F34">
        <v>0</v>
      </c>
      <c r="G34">
        <v>0</v>
      </c>
      <c r="H34">
        <v>2758</v>
      </c>
      <c r="I34">
        <v>0</v>
      </c>
      <c r="J34">
        <v>0</v>
      </c>
      <c r="K34">
        <v>0</v>
      </c>
      <c r="L34">
        <v>0</v>
      </c>
      <c r="M34">
        <v>0</v>
      </c>
      <c r="N34">
        <v>34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f>NHS_AE_2024_2025[[#This Row],[A&amp;E attendances Type 1]]+
NHS_AE_2024_2025[[#This Row],[A&amp;E attendances Type 2]]+
NHS_AE_2024_2025[[#This Row],[A&amp;E attendances Other A&amp;E Department]]</f>
        <v>2758</v>
      </c>
      <c r="Y34">
        <f t="shared" si="0"/>
        <v>34</v>
      </c>
      <c r="Z34">
        <f t="shared" si="1"/>
        <v>0</v>
      </c>
    </row>
    <row r="35" spans="1:26" x14ac:dyDescent="0.2">
      <c r="A35" t="s">
        <v>23</v>
      </c>
      <c r="B35" t="s">
        <v>24</v>
      </c>
      <c r="C35" t="s">
        <v>98</v>
      </c>
      <c r="D35" t="s">
        <v>29</v>
      </c>
      <c r="E35" t="s">
        <v>99</v>
      </c>
      <c r="F35">
        <v>0</v>
      </c>
      <c r="G35">
        <v>0</v>
      </c>
      <c r="H35">
        <v>2858</v>
      </c>
      <c r="I35">
        <v>0</v>
      </c>
      <c r="J35">
        <v>0</v>
      </c>
      <c r="K35">
        <v>0</v>
      </c>
      <c r="L35">
        <v>0</v>
      </c>
      <c r="M35">
        <v>0</v>
      </c>
      <c r="N35">
        <v>37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f>NHS_AE_2024_2025[[#This Row],[A&amp;E attendances Type 1]]+
NHS_AE_2024_2025[[#This Row],[A&amp;E attendances Type 2]]+
NHS_AE_2024_2025[[#This Row],[A&amp;E attendances Other A&amp;E Department]]</f>
        <v>2858</v>
      </c>
      <c r="Y35">
        <f t="shared" si="0"/>
        <v>37</v>
      </c>
      <c r="Z35">
        <f t="shared" si="1"/>
        <v>0</v>
      </c>
    </row>
    <row r="36" spans="1:26" x14ac:dyDescent="0.2">
      <c r="A36" t="s">
        <v>23</v>
      </c>
      <c r="B36" t="s">
        <v>24</v>
      </c>
      <c r="C36" t="s">
        <v>100</v>
      </c>
      <c r="D36" t="s">
        <v>37</v>
      </c>
      <c r="E36" t="s">
        <v>101</v>
      </c>
      <c r="F36">
        <v>0</v>
      </c>
      <c r="G36">
        <v>0</v>
      </c>
      <c r="H36">
        <v>5442</v>
      </c>
      <c r="I36">
        <v>0</v>
      </c>
      <c r="J36">
        <v>0</v>
      </c>
      <c r="K36">
        <v>0</v>
      </c>
      <c r="L36">
        <v>0</v>
      </c>
      <c r="M36">
        <v>0</v>
      </c>
      <c r="N36">
        <v>353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f>NHS_AE_2024_2025[[#This Row],[A&amp;E attendances Type 1]]+
NHS_AE_2024_2025[[#This Row],[A&amp;E attendances Type 2]]+
NHS_AE_2024_2025[[#This Row],[A&amp;E attendances Other A&amp;E Department]]</f>
        <v>5442</v>
      </c>
      <c r="Y36">
        <f t="shared" si="0"/>
        <v>353</v>
      </c>
      <c r="Z36">
        <f t="shared" si="1"/>
        <v>0</v>
      </c>
    </row>
    <row r="37" spans="1:26" x14ac:dyDescent="0.2">
      <c r="A37" t="s">
        <v>23</v>
      </c>
      <c r="B37" t="s">
        <v>24</v>
      </c>
      <c r="C37" t="s">
        <v>102</v>
      </c>
      <c r="D37" t="s">
        <v>55</v>
      </c>
      <c r="E37" t="s">
        <v>103</v>
      </c>
      <c r="F37">
        <v>14949</v>
      </c>
      <c r="G37">
        <v>1654</v>
      </c>
      <c r="H37">
        <v>7385</v>
      </c>
      <c r="I37">
        <v>465</v>
      </c>
      <c r="J37">
        <v>0</v>
      </c>
      <c r="K37">
        <v>0</v>
      </c>
      <c r="L37">
        <v>6916</v>
      </c>
      <c r="M37">
        <v>196</v>
      </c>
      <c r="N37">
        <v>466</v>
      </c>
      <c r="O37">
        <v>69</v>
      </c>
      <c r="P37">
        <v>0</v>
      </c>
      <c r="Q37">
        <v>0</v>
      </c>
      <c r="R37">
        <v>2040</v>
      </c>
      <c r="S37">
        <v>1268</v>
      </c>
      <c r="T37">
        <v>4976</v>
      </c>
      <c r="U37">
        <v>0</v>
      </c>
      <c r="V37">
        <v>0</v>
      </c>
      <c r="W37">
        <v>2327</v>
      </c>
      <c r="X37">
        <f>NHS_AE_2024_2025[[#This Row],[A&amp;E attendances Type 1]]+
NHS_AE_2024_2025[[#This Row],[A&amp;E attendances Type 2]]+
NHS_AE_2024_2025[[#This Row],[A&amp;E attendances Other A&amp;E Department]]</f>
        <v>23988</v>
      </c>
      <c r="Y37">
        <f t="shared" si="0"/>
        <v>7578</v>
      </c>
      <c r="Z37">
        <f t="shared" si="1"/>
        <v>7303</v>
      </c>
    </row>
    <row r="38" spans="1:26" x14ac:dyDescent="0.2">
      <c r="A38" t="s">
        <v>23</v>
      </c>
      <c r="B38" t="s">
        <v>24</v>
      </c>
      <c r="C38" t="s">
        <v>104</v>
      </c>
      <c r="D38" t="s">
        <v>29</v>
      </c>
      <c r="E38" t="s">
        <v>105</v>
      </c>
      <c r="F38">
        <v>10569</v>
      </c>
      <c r="G38">
        <v>0</v>
      </c>
      <c r="H38">
        <v>0</v>
      </c>
      <c r="I38">
        <v>27</v>
      </c>
      <c r="J38">
        <v>0</v>
      </c>
      <c r="K38">
        <v>0</v>
      </c>
      <c r="L38">
        <v>1770</v>
      </c>
      <c r="M38">
        <v>0</v>
      </c>
      <c r="N38">
        <v>0</v>
      </c>
      <c r="O38">
        <v>0</v>
      </c>
      <c r="P38">
        <v>0</v>
      </c>
      <c r="Q38">
        <v>0</v>
      </c>
      <c r="R38">
        <v>158</v>
      </c>
      <c r="S38">
        <v>17</v>
      </c>
      <c r="T38">
        <v>1702</v>
      </c>
      <c r="U38">
        <v>0</v>
      </c>
      <c r="V38">
        <v>0</v>
      </c>
      <c r="W38">
        <v>321</v>
      </c>
      <c r="X38">
        <f>NHS_AE_2024_2025[[#This Row],[A&amp;E attendances Type 1]]+
NHS_AE_2024_2025[[#This Row],[A&amp;E attendances Type 2]]+
NHS_AE_2024_2025[[#This Row],[A&amp;E attendances Other A&amp;E Department]]</f>
        <v>10569</v>
      </c>
      <c r="Y38">
        <f t="shared" si="0"/>
        <v>1770</v>
      </c>
      <c r="Z38">
        <f t="shared" si="1"/>
        <v>2023</v>
      </c>
    </row>
    <row r="39" spans="1:26" x14ac:dyDescent="0.2">
      <c r="A39" t="s">
        <v>23</v>
      </c>
      <c r="B39" t="s">
        <v>24</v>
      </c>
      <c r="C39" t="s">
        <v>106</v>
      </c>
      <c r="D39" t="s">
        <v>37</v>
      </c>
      <c r="E39" t="s">
        <v>107</v>
      </c>
      <c r="F39">
        <v>0</v>
      </c>
      <c r="G39">
        <v>0</v>
      </c>
      <c r="H39">
        <v>1953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f>NHS_AE_2024_2025[[#This Row],[A&amp;E attendances Type 1]]+
NHS_AE_2024_2025[[#This Row],[A&amp;E attendances Type 2]]+
NHS_AE_2024_2025[[#This Row],[A&amp;E attendances Other A&amp;E Department]]</f>
        <v>1953</v>
      </c>
      <c r="Y39">
        <f t="shared" si="0"/>
        <v>0</v>
      </c>
      <c r="Z39">
        <f t="shared" si="1"/>
        <v>0</v>
      </c>
    </row>
    <row r="40" spans="1:26" x14ac:dyDescent="0.2">
      <c r="A40" t="s">
        <v>23</v>
      </c>
      <c r="B40" t="s">
        <v>24</v>
      </c>
      <c r="C40" t="s">
        <v>108</v>
      </c>
      <c r="D40" t="s">
        <v>37</v>
      </c>
      <c r="E40" t="s">
        <v>109</v>
      </c>
      <c r="F40">
        <v>0</v>
      </c>
      <c r="G40">
        <v>0</v>
      </c>
      <c r="H40">
        <v>2165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f>NHS_AE_2024_2025[[#This Row],[A&amp;E attendances Type 1]]+
NHS_AE_2024_2025[[#This Row],[A&amp;E attendances Type 2]]+
NHS_AE_2024_2025[[#This Row],[A&amp;E attendances Other A&amp;E Department]]</f>
        <v>2165</v>
      </c>
      <c r="Y40">
        <f t="shared" si="0"/>
        <v>0</v>
      </c>
      <c r="Z40">
        <f t="shared" si="1"/>
        <v>0</v>
      </c>
    </row>
    <row r="41" spans="1:26" x14ac:dyDescent="0.2">
      <c r="A41" t="s">
        <v>23</v>
      </c>
      <c r="B41" t="s">
        <v>24</v>
      </c>
      <c r="C41" t="s">
        <v>110</v>
      </c>
      <c r="D41" t="s">
        <v>37</v>
      </c>
      <c r="E41" t="s">
        <v>111</v>
      </c>
      <c r="F41">
        <v>0</v>
      </c>
      <c r="G41">
        <v>0</v>
      </c>
      <c r="H41">
        <v>1625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f>NHS_AE_2024_2025[[#This Row],[A&amp;E attendances Type 1]]+
NHS_AE_2024_2025[[#This Row],[A&amp;E attendances Type 2]]+
NHS_AE_2024_2025[[#This Row],[A&amp;E attendances Other A&amp;E Department]]</f>
        <v>1625</v>
      </c>
      <c r="Y41">
        <f t="shared" si="0"/>
        <v>0</v>
      </c>
      <c r="Z41">
        <f t="shared" si="1"/>
        <v>0</v>
      </c>
    </row>
    <row r="42" spans="1:26" x14ac:dyDescent="0.2">
      <c r="A42" t="s">
        <v>23</v>
      </c>
      <c r="B42" t="s">
        <v>24</v>
      </c>
      <c r="C42" t="s">
        <v>112</v>
      </c>
      <c r="D42" t="s">
        <v>55</v>
      </c>
      <c r="E42" t="s">
        <v>113</v>
      </c>
      <c r="F42">
        <v>4227</v>
      </c>
      <c r="G42">
        <v>0</v>
      </c>
      <c r="H42">
        <v>0</v>
      </c>
      <c r="I42">
        <v>67</v>
      </c>
      <c r="J42">
        <v>0</v>
      </c>
      <c r="K42">
        <v>42</v>
      </c>
      <c r="L42">
        <v>2040</v>
      </c>
      <c r="M42">
        <v>0</v>
      </c>
      <c r="N42">
        <v>0</v>
      </c>
      <c r="O42">
        <v>0</v>
      </c>
      <c r="P42">
        <v>0</v>
      </c>
      <c r="Q42">
        <v>0</v>
      </c>
      <c r="R42">
        <v>265</v>
      </c>
      <c r="S42">
        <v>144</v>
      </c>
      <c r="T42">
        <v>848</v>
      </c>
      <c r="U42">
        <v>0</v>
      </c>
      <c r="V42">
        <v>0</v>
      </c>
      <c r="W42">
        <v>188</v>
      </c>
      <c r="X42">
        <f>NHS_AE_2024_2025[[#This Row],[A&amp;E attendances Type 1]]+
NHS_AE_2024_2025[[#This Row],[A&amp;E attendances Type 2]]+
NHS_AE_2024_2025[[#This Row],[A&amp;E attendances Other A&amp;E Department]]</f>
        <v>4227</v>
      </c>
      <c r="Y42">
        <f t="shared" si="0"/>
        <v>2040</v>
      </c>
      <c r="Z42">
        <f t="shared" si="1"/>
        <v>1036</v>
      </c>
    </row>
    <row r="43" spans="1:26" x14ac:dyDescent="0.2">
      <c r="A43" t="s">
        <v>23</v>
      </c>
      <c r="B43" t="s">
        <v>24</v>
      </c>
      <c r="C43" t="s">
        <v>114</v>
      </c>
      <c r="D43" t="s">
        <v>32</v>
      </c>
      <c r="E43" t="s">
        <v>115</v>
      </c>
      <c r="F43">
        <v>11308</v>
      </c>
      <c r="G43">
        <v>594</v>
      </c>
      <c r="H43">
        <v>2420</v>
      </c>
      <c r="I43">
        <v>19</v>
      </c>
      <c r="J43">
        <v>0</v>
      </c>
      <c r="K43">
        <v>0</v>
      </c>
      <c r="L43">
        <v>3500</v>
      </c>
      <c r="M43">
        <v>17</v>
      </c>
      <c r="N43">
        <v>55</v>
      </c>
      <c r="O43">
        <v>13</v>
      </c>
      <c r="P43">
        <v>0</v>
      </c>
      <c r="Q43">
        <v>0</v>
      </c>
      <c r="R43">
        <v>337</v>
      </c>
      <c r="S43">
        <v>907</v>
      </c>
      <c r="T43">
        <v>1885</v>
      </c>
      <c r="U43">
        <v>0</v>
      </c>
      <c r="V43">
        <v>0</v>
      </c>
      <c r="W43">
        <v>1130</v>
      </c>
      <c r="X43">
        <f>NHS_AE_2024_2025[[#This Row],[A&amp;E attendances Type 1]]+
NHS_AE_2024_2025[[#This Row],[A&amp;E attendances Type 2]]+
NHS_AE_2024_2025[[#This Row],[A&amp;E attendances Other A&amp;E Department]]</f>
        <v>14322</v>
      </c>
      <c r="Y43">
        <f t="shared" si="0"/>
        <v>3572</v>
      </c>
      <c r="Z43">
        <f t="shared" si="1"/>
        <v>3015</v>
      </c>
    </row>
    <row r="44" spans="1:26" x14ac:dyDescent="0.2">
      <c r="A44" t="s">
        <v>23</v>
      </c>
      <c r="B44" t="s">
        <v>24</v>
      </c>
      <c r="C44" t="s">
        <v>116</v>
      </c>
      <c r="D44" t="s">
        <v>55</v>
      </c>
      <c r="E44" t="s">
        <v>117</v>
      </c>
      <c r="F44">
        <v>0</v>
      </c>
      <c r="G44">
        <v>0</v>
      </c>
      <c r="H44">
        <v>10698</v>
      </c>
      <c r="I44">
        <v>0</v>
      </c>
      <c r="J44">
        <v>0</v>
      </c>
      <c r="K44">
        <v>0</v>
      </c>
      <c r="L44">
        <v>0</v>
      </c>
      <c r="M44">
        <v>0</v>
      </c>
      <c r="N44">
        <v>587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53</v>
      </c>
      <c r="X44">
        <f>NHS_AE_2024_2025[[#This Row],[A&amp;E attendances Type 1]]+
NHS_AE_2024_2025[[#This Row],[A&amp;E attendances Type 2]]+
NHS_AE_2024_2025[[#This Row],[A&amp;E attendances Other A&amp;E Department]]</f>
        <v>10698</v>
      </c>
      <c r="Y44">
        <f t="shared" si="0"/>
        <v>587</v>
      </c>
      <c r="Z44">
        <f t="shared" si="1"/>
        <v>53</v>
      </c>
    </row>
    <row r="45" spans="1:26" x14ac:dyDescent="0.2">
      <c r="A45" t="s">
        <v>23</v>
      </c>
      <c r="B45" t="s">
        <v>24</v>
      </c>
      <c r="C45" t="s">
        <v>118</v>
      </c>
      <c r="D45" t="s">
        <v>32</v>
      </c>
      <c r="E45" t="s">
        <v>119</v>
      </c>
      <c r="F45">
        <v>0</v>
      </c>
      <c r="G45">
        <v>0</v>
      </c>
      <c r="H45">
        <v>2054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f>NHS_AE_2024_2025[[#This Row],[A&amp;E attendances Type 1]]+
NHS_AE_2024_2025[[#This Row],[A&amp;E attendances Type 2]]+
NHS_AE_2024_2025[[#This Row],[A&amp;E attendances Other A&amp;E Department]]</f>
        <v>2054</v>
      </c>
      <c r="Y45">
        <f t="shared" si="0"/>
        <v>2</v>
      </c>
      <c r="Z45">
        <f t="shared" si="1"/>
        <v>0</v>
      </c>
    </row>
    <row r="46" spans="1:26" x14ac:dyDescent="0.2">
      <c r="A46" t="s">
        <v>23</v>
      </c>
      <c r="B46" t="s">
        <v>24</v>
      </c>
      <c r="C46" t="s">
        <v>120</v>
      </c>
      <c r="D46" t="s">
        <v>50</v>
      </c>
      <c r="E46" t="s">
        <v>121</v>
      </c>
      <c r="F46">
        <v>11076</v>
      </c>
      <c r="G46">
        <v>1348</v>
      </c>
      <c r="H46">
        <v>5875</v>
      </c>
      <c r="I46">
        <v>463</v>
      </c>
      <c r="J46">
        <v>0</v>
      </c>
      <c r="K46">
        <v>1423</v>
      </c>
      <c r="L46">
        <v>5043</v>
      </c>
      <c r="M46">
        <v>36</v>
      </c>
      <c r="N46">
        <v>110</v>
      </c>
      <c r="O46">
        <v>227</v>
      </c>
      <c r="P46">
        <v>0</v>
      </c>
      <c r="Q46">
        <v>26</v>
      </c>
      <c r="R46">
        <v>695</v>
      </c>
      <c r="S46">
        <v>3</v>
      </c>
      <c r="T46">
        <v>4348</v>
      </c>
      <c r="U46">
        <v>17</v>
      </c>
      <c r="V46">
        <v>0</v>
      </c>
      <c r="W46">
        <v>1119</v>
      </c>
      <c r="X46">
        <f>NHS_AE_2024_2025[[#This Row],[A&amp;E attendances Type 1]]+
NHS_AE_2024_2025[[#This Row],[A&amp;E attendances Type 2]]+
NHS_AE_2024_2025[[#This Row],[A&amp;E attendances Other A&amp;E Department]]</f>
        <v>18299</v>
      </c>
      <c r="Y46">
        <f t="shared" si="0"/>
        <v>5189</v>
      </c>
      <c r="Z46">
        <f t="shared" si="1"/>
        <v>5484</v>
      </c>
    </row>
    <row r="47" spans="1:26" x14ac:dyDescent="0.2">
      <c r="A47" t="s">
        <v>23</v>
      </c>
      <c r="B47" t="s">
        <v>24</v>
      </c>
      <c r="C47" t="s">
        <v>122</v>
      </c>
      <c r="D47" t="s">
        <v>50</v>
      </c>
      <c r="E47" t="s">
        <v>123</v>
      </c>
      <c r="F47">
        <v>8172</v>
      </c>
      <c r="G47">
        <v>0</v>
      </c>
      <c r="H47">
        <v>0</v>
      </c>
      <c r="I47">
        <v>0</v>
      </c>
      <c r="J47">
        <v>0</v>
      </c>
      <c r="K47">
        <v>0</v>
      </c>
      <c r="L47">
        <v>2707</v>
      </c>
      <c r="M47">
        <v>0</v>
      </c>
      <c r="N47">
        <v>0</v>
      </c>
      <c r="O47">
        <v>0</v>
      </c>
      <c r="P47">
        <v>0</v>
      </c>
      <c r="Q47">
        <v>0</v>
      </c>
      <c r="R47">
        <v>593</v>
      </c>
      <c r="S47">
        <v>2</v>
      </c>
      <c r="T47">
        <v>2978</v>
      </c>
      <c r="U47">
        <v>0</v>
      </c>
      <c r="V47">
        <v>0</v>
      </c>
      <c r="W47">
        <v>530</v>
      </c>
      <c r="X47">
        <f>NHS_AE_2024_2025[[#This Row],[A&amp;E attendances Type 1]]+
NHS_AE_2024_2025[[#This Row],[A&amp;E attendances Type 2]]+
NHS_AE_2024_2025[[#This Row],[A&amp;E attendances Other A&amp;E Department]]</f>
        <v>8172</v>
      </c>
      <c r="Y47">
        <f t="shared" si="0"/>
        <v>2707</v>
      </c>
      <c r="Z47">
        <f t="shared" si="1"/>
        <v>3508</v>
      </c>
    </row>
    <row r="48" spans="1:26" x14ac:dyDescent="0.2">
      <c r="A48" t="s">
        <v>23</v>
      </c>
      <c r="B48" t="s">
        <v>24</v>
      </c>
      <c r="C48" t="s">
        <v>124</v>
      </c>
      <c r="D48" t="s">
        <v>37</v>
      </c>
      <c r="E48" t="s">
        <v>125</v>
      </c>
      <c r="F48">
        <v>0</v>
      </c>
      <c r="G48">
        <v>0</v>
      </c>
      <c r="H48">
        <v>3132</v>
      </c>
      <c r="I48">
        <v>0</v>
      </c>
      <c r="J48">
        <v>0</v>
      </c>
      <c r="K48">
        <v>0</v>
      </c>
      <c r="L48">
        <v>0</v>
      </c>
      <c r="M48">
        <v>0</v>
      </c>
      <c r="N48">
        <v>74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141</v>
      </c>
      <c r="X48">
        <f>NHS_AE_2024_2025[[#This Row],[A&amp;E attendances Type 1]]+
NHS_AE_2024_2025[[#This Row],[A&amp;E attendances Type 2]]+
NHS_AE_2024_2025[[#This Row],[A&amp;E attendances Other A&amp;E Department]]</f>
        <v>3132</v>
      </c>
      <c r="Y48">
        <f t="shared" si="0"/>
        <v>74</v>
      </c>
      <c r="Z48">
        <f t="shared" si="1"/>
        <v>142</v>
      </c>
    </row>
    <row r="49" spans="1:26" x14ac:dyDescent="0.2">
      <c r="A49" t="s">
        <v>23</v>
      </c>
      <c r="B49" t="s">
        <v>24</v>
      </c>
      <c r="C49" t="s">
        <v>126</v>
      </c>
      <c r="D49" t="s">
        <v>70</v>
      </c>
      <c r="E49" t="s">
        <v>127</v>
      </c>
      <c r="F49">
        <v>8081</v>
      </c>
      <c r="G49">
        <v>0</v>
      </c>
      <c r="H49">
        <v>7466</v>
      </c>
      <c r="I49">
        <v>0</v>
      </c>
      <c r="J49">
        <v>0</v>
      </c>
      <c r="K49">
        <v>771</v>
      </c>
      <c r="L49">
        <v>3123</v>
      </c>
      <c r="M49">
        <v>0</v>
      </c>
      <c r="N49">
        <v>329</v>
      </c>
      <c r="O49">
        <v>0</v>
      </c>
      <c r="P49">
        <v>0</v>
      </c>
      <c r="Q49">
        <v>2</v>
      </c>
      <c r="R49">
        <v>841</v>
      </c>
      <c r="S49">
        <v>1</v>
      </c>
      <c r="T49">
        <v>3826</v>
      </c>
      <c r="U49">
        <v>0</v>
      </c>
      <c r="V49">
        <v>0</v>
      </c>
      <c r="W49">
        <v>526</v>
      </c>
      <c r="X49">
        <f>NHS_AE_2024_2025[[#This Row],[A&amp;E attendances Type 1]]+
NHS_AE_2024_2025[[#This Row],[A&amp;E attendances Type 2]]+
NHS_AE_2024_2025[[#This Row],[A&amp;E attendances Other A&amp;E Department]]</f>
        <v>15547</v>
      </c>
      <c r="Y49">
        <f t="shared" si="0"/>
        <v>3452</v>
      </c>
      <c r="Z49">
        <f t="shared" si="1"/>
        <v>4352</v>
      </c>
    </row>
    <row r="50" spans="1:26" x14ac:dyDescent="0.2">
      <c r="A50" t="s">
        <v>23</v>
      </c>
      <c r="B50" t="s">
        <v>24</v>
      </c>
      <c r="C50" t="s">
        <v>128</v>
      </c>
      <c r="D50" t="s">
        <v>37</v>
      </c>
      <c r="E50" t="s">
        <v>129</v>
      </c>
      <c r="F50">
        <v>0</v>
      </c>
      <c r="G50">
        <v>0</v>
      </c>
      <c r="H50">
        <v>10020</v>
      </c>
      <c r="I50">
        <v>0</v>
      </c>
      <c r="J50">
        <v>0</v>
      </c>
      <c r="K50">
        <v>0</v>
      </c>
      <c r="L50">
        <v>0</v>
      </c>
      <c r="M50">
        <v>0</v>
      </c>
      <c r="N50">
        <v>37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f>NHS_AE_2024_2025[[#This Row],[A&amp;E attendances Type 1]]+
NHS_AE_2024_2025[[#This Row],[A&amp;E attendances Type 2]]+
NHS_AE_2024_2025[[#This Row],[A&amp;E attendances Other A&amp;E Department]]</f>
        <v>10020</v>
      </c>
      <c r="Y50">
        <f t="shared" si="0"/>
        <v>37</v>
      </c>
      <c r="Z50">
        <f t="shared" si="1"/>
        <v>0</v>
      </c>
    </row>
    <row r="51" spans="1:26" x14ac:dyDescent="0.2">
      <c r="A51" t="s">
        <v>23</v>
      </c>
      <c r="B51" t="s">
        <v>24</v>
      </c>
      <c r="C51" t="s">
        <v>130</v>
      </c>
      <c r="D51" t="s">
        <v>70</v>
      </c>
      <c r="E51" t="s">
        <v>131</v>
      </c>
      <c r="F51">
        <v>0</v>
      </c>
      <c r="G51">
        <v>0</v>
      </c>
      <c r="H51">
        <v>3102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f>NHS_AE_2024_2025[[#This Row],[A&amp;E attendances Type 1]]+
NHS_AE_2024_2025[[#This Row],[A&amp;E attendances Type 2]]+
NHS_AE_2024_2025[[#This Row],[A&amp;E attendances Other A&amp;E Department]]</f>
        <v>3102</v>
      </c>
      <c r="Y51">
        <f t="shared" si="0"/>
        <v>0</v>
      </c>
      <c r="Z51">
        <f t="shared" si="1"/>
        <v>0</v>
      </c>
    </row>
    <row r="52" spans="1:26" x14ac:dyDescent="0.2">
      <c r="A52" t="s">
        <v>23</v>
      </c>
      <c r="B52" t="s">
        <v>24</v>
      </c>
      <c r="C52" t="s">
        <v>132</v>
      </c>
      <c r="D52" t="s">
        <v>37</v>
      </c>
      <c r="E52" t="s">
        <v>133</v>
      </c>
      <c r="F52">
        <v>0</v>
      </c>
      <c r="G52">
        <v>0</v>
      </c>
      <c r="H52">
        <v>4419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f>NHS_AE_2024_2025[[#This Row],[A&amp;E attendances Type 1]]+
NHS_AE_2024_2025[[#This Row],[A&amp;E attendances Type 2]]+
NHS_AE_2024_2025[[#This Row],[A&amp;E attendances Other A&amp;E Department]]</f>
        <v>4419</v>
      </c>
      <c r="Y52">
        <f t="shared" si="0"/>
        <v>0</v>
      </c>
      <c r="Z52">
        <f t="shared" si="1"/>
        <v>0</v>
      </c>
    </row>
    <row r="53" spans="1:26" x14ac:dyDescent="0.2">
      <c r="A53" t="s">
        <v>23</v>
      </c>
      <c r="B53" t="s">
        <v>24</v>
      </c>
      <c r="C53" t="s">
        <v>134</v>
      </c>
      <c r="D53" t="s">
        <v>37</v>
      </c>
      <c r="E53" t="s">
        <v>135</v>
      </c>
      <c r="F53">
        <v>0</v>
      </c>
      <c r="G53">
        <v>0</v>
      </c>
      <c r="H53">
        <v>2183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f>NHS_AE_2024_2025[[#This Row],[A&amp;E attendances Type 1]]+
NHS_AE_2024_2025[[#This Row],[A&amp;E attendances Type 2]]+
NHS_AE_2024_2025[[#This Row],[A&amp;E attendances Other A&amp;E Department]]</f>
        <v>2183</v>
      </c>
      <c r="Y53">
        <f t="shared" si="0"/>
        <v>0</v>
      </c>
      <c r="Z53">
        <f t="shared" si="1"/>
        <v>0</v>
      </c>
    </row>
    <row r="54" spans="1:26" x14ac:dyDescent="0.2">
      <c r="A54" t="s">
        <v>23</v>
      </c>
      <c r="B54" t="s">
        <v>24</v>
      </c>
      <c r="C54" t="s">
        <v>136</v>
      </c>
      <c r="D54" t="s">
        <v>32</v>
      </c>
      <c r="E54" t="s">
        <v>137</v>
      </c>
      <c r="F54">
        <v>0</v>
      </c>
      <c r="G54">
        <v>0</v>
      </c>
      <c r="H54">
        <v>6079</v>
      </c>
      <c r="I54">
        <v>0</v>
      </c>
      <c r="J54">
        <v>0</v>
      </c>
      <c r="K54">
        <v>211</v>
      </c>
      <c r="L54">
        <v>0</v>
      </c>
      <c r="M54">
        <v>0</v>
      </c>
      <c r="N54">
        <v>19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f>NHS_AE_2024_2025[[#This Row],[A&amp;E attendances Type 1]]+
NHS_AE_2024_2025[[#This Row],[A&amp;E attendances Type 2]]+
NHS_AE_2024_2025[[#This Row],[A&amp;E attendances Other A&amp;E Department]]</f>
        <v>6079</v>
      </c>
      <c r="Y54">
        <f t="shared" si="0"/>
        <v>19</v>
      </c>
      <c r="Z54">
        <f t="shared" si="1"/>
        <v>0</v>
      </c>
    </row>
    <row r="55" spans="1:26" x14ac:dyDescent="0.2">
      <c r="A55" t="s">
        <v>23</v>
      </c>
      <c r="B55" t="s">
        <v>24</v>
      </c>
      <c r="C55" t="s">
        <v>138</v>
      </c>
      <c r="D55" t="s">
        <v>32</v>
      </c>
      <c r="E55" t="s">
        <v>139</v>
      </c>
      <c r="F55">
        <v>0</v>
      </c>
      <c r="G55">
        <v>0</v>
      </c>
      <c r="H55">
        <v>208</v>
      </c>
      <c r="I55">
        <v>0</v>
      </c>
      <c r="J55">
        <v>0</v>
      </c>
      <c r="K55">
        <v>2011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f>NHS_AE_2024_2025[[#This Row],[A&amp;E attendances Type 1]]+
NHS_AE_2024_2025[[#This Row],[A&amp;E attendances Type 2]]+
NHS_AE_2024_2025[[#This Row],[A&amp;E attendances Other A&amp;E Department]]</f>
        <v>208</v>
      </c>
      <c r="Y55">
        <f t="shared" si="0"/>
        <v>0</v>
      </c>
      <c r="Z55">
        <f t="shared" si="1"/>
        <v>0</v>
      </c>
    </row>
    <row r="56" spans="1:26" x14ac:dyDescent="0.2">
      <c r="A56" t="s">
        <v>23</v>
      </c>
      <c r="B56" t="s">
        <v>24</v>
      </c>
      <c r="C56" t="s">
        <v>140</v>
      </c>
      <c r="D56" t="s">
        <v>32</v>
      </c>
      <c r="E56" t="s">
        <v>141</v>
      </c>
      <c r="F56">
        <v>0</v>
      </c>
      <c r="G56">
        <v>0</v>
      </c>
      <c r="H56">
        <v>101</v>
      </c>
      <c r="I56">
        <v>0</v>
      </c>
      <c r="J56">
        <v>0</v>
      </c>
      <c r="K56">
        <v>326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f>NHS_AE_2024_2025[[#This Row],[A&amp;E attendances Type 1]]+
NHS_AE_2024_2025[[#This Row],[A&amp;E attendances Type 2]]+
NHS_AE_2024_2025[[#This Row],[A&amp;E attendances Other A&amp;E Department]]</f>
        <v>101</v>
      </c>
      <c r="Y56">
        <f t="shared" si="0"/>
        <v>0</v>
      </c>
      <c r="Z56">
        <f t="shared" si="1"/>
        <v>0</v>
      </c>
    </row>
    <row r="57" spans="1:26" x14ac:dyDescent="0.2">
      <c r="A57" t="s">
        <v>23</v>
      </c>
      <c r="B57" t="s">
        <v>24</v>
      </c>
      <c r="C57" t="s">
        <v>142</v>
      </c>
      <c r="D57" t="s">
        <v>32</v>
      </c>
      <c r="E57" t="s">
        <v>143</v>
      </c>
      <c r="F57">
        <v>0</v>
      </c>
      <c r="G57">
        <v>0</v>
      </c>
      <c r="H57">
        <v>71</v>
      </c>
      <c r="I57">
        <v>0</v>
      </c>
      <c r="J57">
        <v>0</v>
      </c>
      <c r="K57">
        <v>348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f>NHS_AE_2024_2025[[#This Row],[A&amp;E attendances Type 1]]+
NHS_AE_2024_2025[[#This Row],[A&amp;E attendances Type 2]]+
NHS_AE_2024_2025[[#This Row],[A&amp;E attendances Other A&amp;E Department]]</f>
        <v>71</v>
      </c>
      <c r="Y57">
        <f t="shared" si="0"/>
        <v>1</v>
      </c>
      <c r="Z57">
        <f t="shared" si="1"/>
        <v>0</v>
      </c>
    </row>
    <row r="58" spans="1:26" x14ac:dyDescent="0.2">
      <c r="A58" t="s">
        <v>23</v>
      </c>
      <c r="B58" t="s">
        <v>24</v>
      </c>
      <c r="C58" t="s">
        <v>144</v>
      </c>
      <c r="D58" t="s">
        <v>32</v>
      </c>
      <c r="E58" t="s">
        <v>145</v>
      </c>
      <c r="F58">
        <v>0</v>
      </c>
      <c r="G58">
        <v>0</v>
      </c>
      <c r="H58">
        <v>75</v>
      </c>
      <c r="I58">
        <v>0</v>
      </c>
      <c r="J58">
        <v>0</v>
      </c>
      <c r="K58">
        <v>359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f>NHS_AE_2024_2025[[#This Row],[A&amp;E attendances Type 1]]+
NHS_AE_2024_2025[[#This Row],[A&amp;E attendances Type 2]]+
NHS_AE_2024_2025[[#This Row],[A&amp;E attendances Other A&amp;E Department]]</f>
        <v>75</v>
      </c>
      <c r="Y58">
        <f t="shared" si="0"/>
        <v>0</v>
      </c>
      <c r="Z58">
        <f t="shared" si="1"/>
        <v>0</v>
      </c>
    </row>
    <row r="59" spans="1:26" x14ac:dyDescent="0.2">
      <c r="A59" t="s">
        <v>23</v>
      </c>
      <c r="B59" t="s">
        <v>24</v>
      </c>
      <c r="C59" t="s">
        <v>146</v>
      </c>
      <c r="D59" t="s">
        <v>32</v>
      </c>
      <c r="E59" t="s">
        <v>147</v>
      </c>
      <c r="F59">
        <v>0</v>
      </c>
      <c r="G59">
        <v>0</v>
      </c>
      <c r="H59">
        <v>5160</v>
      </c>
      <c r="I59">
        <v>0</v>
      </c>
      <c r="J59">
        <v>0</v>
      </c>
      <c r="K59">
        <v>262</v>
      </c>
      <c r="L59">
        <v>0</v>
      </c>
      <c r="M59">
        <v>0</v>
      </c>
      <c r="N59">
        <v>124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f>NHS_AE_2024_2025[[#This Row],[A&amp;E attendances Type 1]]+
NHS_AE_2024_2025[[#This Row],[A&amp;E attendances Type 2]]+
NHS_AE_2024_2025[[#This Row],[A&amp;E attendances Other A&amp;E Department]]</f>
        <v>5160</v>
      </c>
      <c r="Y59">
        <f t="shared" si="0"/>
        <v>124</v>
      </c>
      <c r="Z59">
        <f t="shared" si="1"/>
        <v>0</v>
      </c>
    </row>
    <row r="60" spans="1:26" x14ac:dyDescent="0.2">
      <c r="A60" t="s">
        <v>23</v>
      </c>
      <c r="B60" t="s">
        <v>24</v>
      </c>
      <c r="C60" t="s">
        <v>148</v>
      </c>
      <c r="D60" t="s">
        <v>32</v>
      </c>
      <c r="E60" t="s">
        <v>149</v>
      </c>
      <c r="F60">
        <v>0</v>
      </c>
      <c r="G60">
        <v>0</v>
      </c>
      <c r="H60">
        <v>3359</v>
      </c>
      <c r="I60">
        <v>0</v>
      </c>
      <c r="J60">
        <v>0</v>
      </c>
      <c r="K60">
        <v>0</v>
      </c>
      <c r="L60">
        <v>0</v>
      </c>
      <c r="M60">
        <v>0</v>
      </c>
      <c r="N60">
        <v>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f>NHS_AE_2024_2025[[#This Row],[A&amp;E attendances Type 1]]+
NHS_AE_2024_2025[[#This Row],[A&amp;E attendances Type 2]]+
NHS_AE_2024_2025[[#This Row],[A&amp;E attendances Other A&amp;E Department]]</f>
        <v>3359</v>
      </c>
      <c r="Y60">
        <f t="shared" si="0"/>
        <v>4</v>
      </c>
      <c r="Z60">
        <f t="shared" si="1"/>
        <v>1</v>
      </c>
    </row>
    <row r="61" spans="1:26" x14ac:dyDescent="0.2">
      <c r="A61" t="s">
        <v>23</v>
      </c>
      <c r="B61" t="s">
        <v>24</v>
      </c>
      <c r="C61" t="s">
        <v>150</v>
      </c>
      <c r="D61" t="s">
        <v>55</v>
      </c>
      <c r="E61" t="s">
        <v>151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703</v>
      </c>
      <c r="X61">
        <f>NHS_AE_2024_2025[[#This Row],[A&amp;E attendances Type 1]]+
NHS_AE_2024_2025[[#This Row],[A&amp;E attendances Type 2]]+
NHS_AE_2024_2025[[#This Row],[A&amp;E attendances Other A&amp;E Department]]</f>
        <v>0</v>
      </c>
      <c r="Y61">
        <f t="shared" si="0"/>
        <v>0</v>
      </c>
      <c r="Z61">
        <f t="shared" si="1"/>
        <v>703</v>
      </c>
    </row>
    <row r="62" spans="1:26" x14ac:dyDescent="0.2">
      <c r="A62" t="s">
        <v>23</v>
      </c>
      <c r="B62" t="s">
        <v>24</v>
      </c>
      <c r="C62" t="s">
        <v>152</v>
      </c>
      <c r="D62" t="s">
        <v>26</v>
      </c>
      <c r="E62" t="s">
        <v>153</v>
      </c>
      <c r="F62">
        <v>6105</v>
      </c>
      <c r="G62">
        <v>0</v>
      </c>
      <c r="H62">
        <v>11367</v>
      </c>
      <c r="I62">
        <v>0</v>
      </c>
      <c r="J62">
        <v>0</v>
      </c>
      <c r="K62">
        <v>0</v>
      </c>
      <c r="L62">
        <v>3146</v>
      </c>
      <c r="M62">
        <v>0</v>
      </c>
      <c r="N62">
        <v>516</v>
      </c>
      <c r="O62">
        <v>0</v>
      </c>
      <c r="P62">
        <v>0</v>
      </c>
      <c r="Q62">
        <v>0</v>
      </c>
      <c r="R62">
        <v>546</v>
      </c>
      <c r="S62">
        <v>371</v>
      </c>
      <c r="T62">
        <v>2190</v>
      </c>
      <c r="U62">
        <v>0</v>
      </c>
      <c r="V62">
        <v>50</v>
      </c>
      <c r="W62">
        <v>1078</v>
      </c>
      <c r="X62">
        <f>NHS_AE_2024_2025[[#This Row],[A&amp;E attendances Type 1]]+
NHS_AE_2024_2025[[#This Row],[A&amp;E attendances Type 2]]+
NHS_AE_2024_2025[[#This Row],[A&amp;E attendances Other A&amp;E Department]]</f>
        <v>17472</v>
      </c>
      <c r="Y62">
        <f t="shared" si="0"/>
        <v>3662</v>
      </c>
      <c r="Z62">
        <f t="shared" si="1"/>
        <v>3318</v>
      </c>
    </row>
    <row r="63" spans="1:26" x14ac:dyDescent="0.2">
      <c r="A63" t="s">
        <v>23</v>
      </c>
      <c r="B63" t="s">
        <v>24</v>
      </c>
      <c r="C63" t="s">
        <v>154</v>
      </c>
      <c r="D63" t="s">
        <v>70</v>
      </c>
      <c r="E63" t="s">
        <v>155</v>
      </c>
      <c r="F63">
        <v>6950</v>
      </c>
      <c r="G63">
        <v>0</v>
      </c>
      <c r="H63">
        <v>1392</v>
      </c>
      <c r="I63">
        <v>132</v>
      </c>
      <c r="J63">
        <v>0</v>
      </c>
      <c r="K63">
        <v>0</v>
      </c>
      <c r="L63">
        <v>2636</v>
      </c>
      <c r="M63">
        <v>0</v>
      </c>
      <c r="N63">
        <v>0</v>
      </c>
      <c r="O63">
        <v>35</v>
      </c>
      <c r="P63">
        <v>0</v>
      </c>
      <c r="Q63">
        <v>0</v>
      </c>
      <c r="R63">
        <v>642</v>
      </c>
      <c r="S63">
        <v>357</v>
      </c>
      <c r="T63">
        <v>1644</v>
      </c>
      <c r="U63">
        <v>0</v>
      </c>
      <c r="V63">
        <v>0</v>
      </c>
      <c r="W63">
        <v>405</v>
      </c>
      <c r="X63">
        <f>NHS_AE_2024_2025[[#This Row],[A&amp;E attendances Type 1]]+
NHS_AE_2024_2025[[#This Row],[A&amp;E attendances Type 2]]+
NHS_AE_2024_2025[[#This Row],[A&amp;E attendances Other A&amp;E Department]]</f>
        <v>8342</v>
      </c>
      <c r="Y63">
        <f t="shared" si="0"/>
        <v>2636</v>
      </c>
      <c r="Z63">
        <f t="shared" si="1"/>
        <v>2049</v>
      </c>
    </row>
    <row r="64" spans="1:26" x14ac:dyDescent="0.2">
      <c r="A64" t="s">
        <v>23</v>
      </c>
      <c r="B64" t="s">
        <v>24</v>
      </c>
      <c r="C64" t="s">
        <v>156</v>
      </c>
      <c r="D64" t="s">
        <v>29</v>
      </c>
      <c r="E64" t="s">
        <v>157</v>
      </c>
      <c r="F64">
        <v>15174</v>
      </c>
      <c r="G64">
        <v>0</v>
      </c>
      <c r="H64">
        <v>8660</v>
      </c>
      <c r="I64">
        <v>75</v>
      </c>
      <c r="J64">
        <v>0</v>
      </c>
      <c r="K64">
        <v>1253</v>
      </c>
      <c r="L64">
        <v>6963</v>
      </c>
      <c r="M64">
        <v>0</v>
      </c>
      <c r="N64">
        <v>774</v>
      </c>
      <c r="O64">
        <v>15</v>
      </c>
      <c r="P64">
        <v>0</v>
      </c>
      <c r="Q64">
        <v>96</v>
      </c>
      <c r="R64">
        <v>1435</v>
      </c>
      <c r="S64">
        <v>943</v>
      </c>
      <c r="T64">
        <v>3592</v>
      </c>
      <c r="U64">
        <v>0</v>
      </c>
      <c r="V64">
        <v>0</v>
      </c>
      <c r="W64">
        <v>509</v>
      </c>
      <c r="X64">
        <f>NHS_AE_2024_2025[[#This Row],[A&amp;E attendances Type 1]]+
NHS_AE_2024_2025[[#This Row],[A&amp;E attendances Type 2]]+
NHS_AE_2024_2025[[#This Row],[A&amp;E attendances Other A&amp;E Department]]</f>
        <v>23834</v>
      </c>
      <c r="Y64">
        <f t="shared" si="0"/>
        <v>7737</v>
      </c>
      <c r="Z64">
        <f t="shared" si="1"/>
        <v>4101</v>
      </c>
    </row>
    <row r="65" spans="1:26" x14ac:dyDescent="0.2">
      <c r="A65" t="s">
        <v>23</v>
      </c>
      <c r="B65" t="s">
        <v>24</v>
      </c>
      <c r="C65" t="s">
        <v>158</v>
      </c>
      <c r="D65" t="s">
        <v>32</v>
      </c>
      <c r="E65" t="s">
        <v>159</v>
      </c>
      <c r="F65">
        <v>9265</v>
      </c>
      <c r="G65">
        <v>0</v>
      </c>
      <c r="H65">
        <v>4928</v>
      </c>
      <c r="I65">
        <v>164</v>
      </c>
      <c r="J65">
        <v>0</v>
      </c>
      <c r="K65">
        <v>689</v>
      </c>
      <c r="L65">
        <v>2751</v>
      </c>
      <c r="M65">
        <v>0</v>
      </c>
      <c r="N65">
        <v>192</v>
      </c>
      <c r="O65">
        <v>20</v>
      </c>
      <c r="P65">
        <v>0</v>
      </c>
      <c r="Q65">
        <v>0</v>
      </c>
      <c r="R65">
        <v>2125</v>
      </c>
      <c r="S65">
        <v>135</v>
      </c>
      <c r="T65">
        <v>3452</v>
      </c>
      <c r="U65">
        <v>0</v>
      </c>
      <c r="V65">
        <v>0</v>
      </c>
      <c r="W65">
        <v>2022</v>
      </c>
      <c r="X65">
        <f>NHS_AE_2024_2025[[#This Row],[A&amp;E attendances Type 1]]+
NHS_AE_2024_2025[[#This Row],[A&amp;E attendances Type 2]]+
NHS_AE_2024_2025[[#This Row],[A&amp;E attendances Other A&amp;E Department]]</f>
        <v>14193</v>
      </c>
      <c r="Y65">
        <f t="shared" si="0"/>
        <v>2943</v>
      </c>
      <c r="Z65">
        <f t="shared" si="1"/>
        <v>5474</v>
      </c>
    </row>
    <row r="66" spans="1:26" x14ac:dyDescent="0.2">
      <c r="A66" t="s">
        <v>23</v>
      </c>
      <c r="B66" t="s">
        <v>24</v>
      </c>
      <c r="C66" t="s">
        <v>160</v>
      </c>
      <c r="D66" t="s">
        <v>32</v>
      </c>
      <c r="E66" t="s">
        <v>161</v>
      </c>
      <c r="F66">
        <v>9087</v>
      </c>
      <c r="G66">
        <v>0</v>
      </c>
      <c r="H66">
        <v>8804</v>
      </c>
      <c r="I66">
        <v>592</v>
      </c>
      <c r="J66">
        <v>0</v>
      </c>
      <c r="K66">
        <v>0</v>
      </c>
      <c r="L66">
        <v>3344</v>
      </c>
      <c r="M66">
        <v>0</v>
      </c>
      <c r="N66">
        <v>112</v>
      </c>
      <c r="O66">
        <v>0</v>
      </c>
      <c r="P66">
        <v>0</v>
      </c>
      <c r="Q66">
        <v>0</v>
      </c>
      <c r="R66">
        <v>1372</v>
      </c>
      <c r="S66">
        <v>0</v>
      </c>
      <c r="T66">
        <v>1996</v>
      </c>
      <c r="U66">
        <v>0</v>
      </c>
      <c r="V66">
        <v>0</v>
      </c>
      <c r="W66">
        <v>226</v>
      </c>
      <c r="X66">
        <f>NHS_AE_2024_2025[[#This Row],[A&amp;E attendances Type 1]]+
NHS_AE_2024_2025[[#This Row],[A&amp;E attendances Type 2]]+
NHS_AE_2024_2025[[#This Row],[A&amp;E attendances Other A&amp;E Department]]</f>
        <v>17891</v>
      </c>
      <c r="Y66">
        <f t="shared" ref="Y66:Y129" si="2">L66+M66+N66</f>
        <v>3456</v>
      </c>
      <c r="Z66">
        <f t="shared" ref="Z66:Z129" si="3">T66+U66+V66+W66</f>
        <v>2222</v>
      </c>
    </row>
    <row r="67" spans="1:26" x14ac:dyDescent="0.2">
      <c r="A67" t="s">
        <v>23</v>
      </c>
      <c r="B67" t="s">
        <v>24</v>
      </c>
      <c r="C67" t="s">
        <v>162</v>
      </c>
      <c r="D67" t="s">
        <v>29</v>
      </c>
      <c r="E67" t="s">
        <v>163</v>
      </c>
      <c r="F67">
        <v>0</v>
      </c>
      <c r="G67">
        <v>6050</v>
      </c>
      <c r="H67">
        <v>0</v>
      </c>
      <c r="I67">
        <v>0</v>
      </c>
      <c r="J67">
        <v>0</v>
      </c>
      <c r="K67">
        <v>0</v>
      </c>
      <c r="L67">
        <v>0</v>
      </c>
      <c r="M67">
        <v>110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</v>
      </c>
      <c r="V67">
        <v>0</v>
      </c>
      <c r="W67">
        <v>184</v>
      </c>
      <c r="X67">
        <f>NHS_AE_2024_2025[[#This Row],[A&amp;E attendances Type 1]]+
NHS_AE_2024_2025[[#This Row],[A&amp;E attendances Type 2]]+
NHS_AE_2024_2025[[#This Row],[A&amp;E attendances Other A&amp;E Department]]</f>
        <v>6050</v>
      </c>
      <c r="Y67">
        <f t="shared" si="2"/>
        <v>110</v>
      </c>
      <c r="Z67">
        <f t="shared" si="3"/>
        <v>190</v>
      </c>
    </row>
    <row r="68" spans="1:26" x14ac:dyDescent="0.2">
      <c r="A68" t="s">
        <v>23</v>
      </c>
      <c r="B68" t="s">
        <v>24</v>
      </c>
      <c r="C68" t="s">
        <v>164</v>
      </c>
      <c r="D68" t="s">
        <v>37</v>
      </c>
      <c r="E68" t="s">
        <v>165</v>
      </c>
      <c r="F68">
        <v>10191</v>
      </c>
      <c r="G68">
        <v>0</v>
      </c>
      <c r="H68">
        <v>0</v>
      </c>
      <c r="I68">
        <v>0</v>
      </c>
      <c r="J68">
        <v>0</v>
      </c>
      <c r="K68">
        <v>0</v>
      </c>
      <c r="L68">
        <v>3246</v>
      </c>
      <c r="M68">
        <v>0</v>
      </c>
      <c r="N68">
        <v>0</v>
      </c>
      <c r="O68">
        <v>0</v>
      </c>
      <c r="P68">
        <v>0</v>
      </c>
      <c r="Q68">
        <v>0</v>
      </c>
      <c r="R68">
        <v>643</v>
      </c>
      <c r="S68">
        <v>479</v>
      </c>
      <c r="T68">
        <v>3094</v>
      </c>
      <c r="U68">
        <v>0</v>
      </c>
      <c r="V68">
        <v>0</v>
      </c>
      <c r="W68">
        <v>765</v>
      </c>
      <c r="X68">
        <f>NHS_AE_2024_2025[[#This Row],[A&amp;E attendances Type 1]]+
NHS_AE_2024_2025[[#This Row],[A&amp;E attendances Type 2]]+
NHS_AE_2024_2025[[#This Row],[A&amp;E attendances Other A&amp;E Department]]</f>
        <v>10191</v>
      </c>
      <c r="Y68">
        <f t="shared" si="2"/>
        <v>3246</v>
      </c>
      <c r="Z68">
        <f t="shared" si="3"/>
        <v>3859</v>
      </c>
    </row>
    <row r="69" spans="1:26" x14ac:dyDescent="0.2">
      <c r="A69" t="s">
        <v>23</v>
      </c>
      <c r="B69" t="s">
        <v>24</v>
      </c>
      <c r="C69" t="s">
        <v>166</v>
      </c>
      <c r="D69" t="s">
        <v>50</v>
      </c>
      <c r="E69" t="s">
        <v>167</v>
      </c>
      <c r="F69">
        <v>0</v>
      </c>
      <c r="G69">
        <v>0</v>
      </c>
      <c r="H69">
        <v>1182</v>
      </c>
      <c r="I69">
        <v>0</v>
      </c>
      <c r="J69">
        <v>0</v>
      </c>
      <c r="K69">
        <v>25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f>NHS_AE_2024_2025[[#This Row],[A&amp;E attendances Type 1]]+
NHS_AE_2024_2025[[#This Row],[A&amp;E attendances Type 2]]+
NHS_AE_2024_2025[[#This Row],[A&amp;E attendances Other A&amp;E Department]]</f>
        <v>1182</v>
      </c>
      <c r="Y69">
        <f t="shared" si="2"/>
        <v>1</v>
      </c>
      <c r="Z69">
        <f t="shared" si="3"/>
        <v>0</v>
      </c>
    </row>
    <row r="70" spans="1:26" x14ac:dyDescent="0.2">
      <c r="A70" t="s">
        <v>23</v>
      </c>
      <c r="B70" t="s">
        <v>24</v>
      </c>
      <c r="C70" t="s">
        <v>168</v>
      </c>
      <c r="D70" t="s">
        <v>32</v>
      </c>
      <c r="E70" t="s">
        <v>169</v>
      </c>
      <c r="F70">
        <v>12732</v>
      </c>
      <c r="G70">
        <v>0</v>
      </c>
      <c r="H70">
        <v>5740</v>
      </c>
      <c r="I70">
        <v>170</v>
      </c>
      <c r="J70">
        <v>0</v>
      </c>
      <c r="K70">
        <v>20</v>
      </c>
      <c r="L70">
        <v>6543</v>
      </c>
      <c r="M70">
        <v>0</v>
      </c>
      <c r="N70">
        <v>42</v>
      </c>
      <c r="O70">
        <v>66</v>
      </c>
      <c r="P70">
        <v>0</v>
      </c>
      <c r="Q70">
        <v>0</v>
      </c>
      <c r="R70">
        <v>824</v>
      </c>
      <c r="S70">
        <v>248</v>
      </c>
      <c r="T70">
        <v>3784</v>
      </c>
      <c r="U70">
        <v>0</v>
      </c>
      <c r="V70">
        <v>0</v>
      </c>
      <c r="W70">
        <v>1505</v>
      </c>
      <c r="X70">
        <f>NHS_AE_2024_2025[[#This Row],[A&amp;E attendances Type 1]]+
NHS_AE_2024_2025[[#This Row],[A&amp;E attendances Type 2]]+
NHS_AE_2024_2025[[#This Row],[A&amp;E attendances Other A&amp;E Department]]</f>
        <v>18472</v>
      </c>
      <c r="Y70">
        <f t="shared" si="2"/>
        <v>6585</v>
      </c>
      <c r="Z70">
        <f t="shared" si="3"/>
        <v>5289</v>
      </c>
    </row>
    <row r="71" spans="1:26" x14ac:dyDescent="0.2">
      <c r="A71" t="s">
        <v>23</v>
      </c>
      <c r="B71" t="s">
        <v>24</v>
      </c>
      <c r="C71" t="s">
        <v>170</v>
      </c>
      <c r="D71" t="s">
        <v>32</v>
      </c>
      <c r="E71" t="s">
        <v>171</v>
      </c>
      <c r="F71">
        <v>14649</v>
      </c>
      <c r="G71">
        <v>2022</v>
      </c>
      <c r="H71">
        <v>316</v>
      </c>
      <c r="I71">
        <v>570</v>
      </c>
      <c r="J71">
        <v>0</v>
      </c>
      <c r="K71">
        <v>0</v>
      </c>
      <c r="L71">
        <v>7071</v>
      </c>
      <c r="M71">
        <v>119</v>
      </c>
      <c r="N71">
        <v>5</v>
      </c>
      <c r="O71">
        <v>267</v>
      </c>
      <c r="P71">
        <v>0</v>
      </c>
      <c r="Q71">
        <v>0</v>
      </c>
      <c r="R71">
        <v>695</v>
      </c>
      <c r="S71">
        <v>519</v>
      </c>
      <c r="T71">
        <v>3880</v>
      </c>
      <c r="U71">
        <v>0</v>
      </c>
      <c r="V71">
        <v>0</v>
      </c>
      <c r="W71">
        <v>3931</v>
      </c>
      <c r="X71">
        <f>NHS_AE_2024_2025[[#This Row],[A&amp;E attendances Type 1]]+
NHS_AE_2024_2025[[#This Row],[A&amp;E attendances Type 2]]+
NHS_AE_2024_2025[[#This Row],[A&amp;E attendances Other A&amp;E Department]]</f>
        <v>16987</v>
      </c>
      <c r="Y71">
        <f t="shared" si="2"/>
        <v>7195</v>
      </c>
      <c r="Z71">
        <f t="shared" si="3"/>
        <v>7811</v>
      </c>
    </row>
    <row r="72" spans="1:26" x14ac:dyDescent="0.2">
      <c r="A72" t="s">
        <v>23</v>
      </c>
      <c r="B72" t="s">
        <v>24</v>
      </c>
      <c r="C72" t="s">
        <v>172</v>
      </c>
      <c r="D72" t="s">
        <v>37</v>
      </c>
      <c r="E72" t="s">
        <v>173</v>
      </c>
      <c r="F72">
        <v>9911</v>
      </c>
      <c r="G72">
        <v>0</v>
      </c>
      <c r="H72">
        <v>2291</v>
      </c>
      <c r="I72">
        <v>785</v>
      </c>
      <c r="J72">
        <v>0</v>
      </c>
      <c r="K72">
        <v>976</v>
      </c>
      <c r="L72">
        <v>3222</v>
      </c>
      <c r="M72">
        <v>0</v>
      </c>
      <c r="N72">
        <v>26</v>
      </c>
      <c r="O72">
        <v>0</v>
      </c>
      <c r="P72">
        <v>0</v>
      </c>
      <c r="Q72">
        <v>0</v>
      </c>
      <c r="R72">
        <v>249</v>
      </c>
      <c r="S72">
        <v>0</v>
      </c>
      <c r="T72">
        <v>3526</v>
      </c>
      <c r="U72">
        <v>0</v>
      </c>
      <c r="V72">
        <v>0</v>
      </c>
      <c r="W72">
        <v>530</v>
      </c>
      <c r="X72">
        <f>NHS_AE_2024_2025[[#This Row],[A&amp;E attendances Type 1]]+
NHS_AE_2024_2025[[#This Row],[A&amp;E attendances Type 2]]+
NHS_AE_2024_2025[[#This Row],[A&amp;E attendances Other A&amp;E Department]]</f>
        <v>12202</v>
      </c>
      <c r="Y72">
        <f t="shared" si="2"/>
        <v>3248</v>
      </c>
      <c r="Z72">
        <f t="shared" si="3"/>
        <v>4056</v>
      </c>
    </row>
    <row r="73" spans="1:26" x14ac:dyDescent="0.2">
      <c r="A73" t="s">
        <v>23</v>
      </c>
      <c r="B73" t="s">
        <v>24</v>
      </c>
      <c r="C73" t="s">
        <v>174</v>
      </c>
      <c r="D73" t="s">
        <v>50</v>
      </c>
      <c r="E73" t="s">
        <v>175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111</v>
      </c>
      <c r="X73">
        <f>NHS_AE_2024_2025[[#This Row],[A&amp;E attendances Type 1]]+
NHS_AE_2024_2025[[#This Row],[A&amp;E attendances Type 2]]+
NHS_AE_2024_2025[[#This Row],[A&amp;E attendances Other A&amp;E Department]]</f>
        <v>0</v>
      </c>
      <c r="Y73">
        <f t="shared" si="2"/>
        <v>0</v>
      </c>
      <c r="Z73">
        <f t="shared" si="3"/>
        <v>111</v>
      </c>
    </row>
    <row r="74" spans="1:26" x14ac:dyDescent="0.2">
      <c r="A74" t="s">
        <v>23</v>
      </c>
      <c r="B74" t="s">
        <v>24</v>
      </c>
      <c r="C74" t="s">
        <v>176</v>
      </c>
      <c r="D74" t="s">
        <v>55</v>
      </c>
      <c r="E74" t="s">
        <v>177</v>
      </c>
      <c r="F74">
        <v>8434</v>
      </c>
      <c r="G74">
        <v>0</v>
      </c>
      <c r="H74">
        <v>10404</v>
      </c>
      <c r="I74">
        <v>264</v>
      </c>
      <c r="J74">
        <v>0</v>
      </c>
      <c r="K74">
        <v>278</v>
      </c>
      <c r="L74">
        <v>3726</v>
      </c>
      <c r="M74">
        <v>0</v>
      </c>
      <c r="N74">
        <v>109</v>
      </c>
      <c r="O74">
        <v>84</v>
      </c>
      <c r="P74">
        <v>0</v>
      </c>
      <c r="Q74">
        <v>0</v>
      </c>
      <c r="R74">
        <v>428</v>
      </c>
      <c r="S74">
        <v>517</v>
      </c>
      <c r="T74">
        <v>2485</v>
      </c>
      <c r="U74">
        <v>0</v>
      </c>
      <c r="V74">
        <v>0</v>
      </c>
      <c r="W74">
        <v>1460</v>
      </c>
      <c r="X74">
        <f>NHS_AE_2024_2025[[#This Row],[A&amp;E attendances Type 1]]+
NHS_AE_2024_2025[[#This Row],[A&amp;E attendances Type 2]]+
NHS_AE_2024_2025[[#This Row],[A&amp;E attendances Other A&amp;E Department]]</f>
        <v>18838</v>
      </c>
      <c r="Y74">
        <f t="shared" si="2"/>
        <v>3835</v>
      </c>
      <c r="Z74">
        <f t="shared" si="3"/>
        <v>3945</v>
      </c>
    </row>
    <row r="75" spans="1:26" x14ac:dyDescent="0.2">
      <c r="A75" t="s">
        <v>23</v>
      </c>
      <c r="B75" t="s">
        <v>24</v>
      </c>
      <c r="C75" t="s">
        <v>178</v>
      </c>
      <c r="D75" t="s">
        <v>55</v>
      </c>
      <c r="E75" t="s">
        <v>179</v>
      </c>
      <c r="F75">
        <v>0</v>
      </c>
      <c r="G75">
        <v>0</v>
      </c>
      <c r="H75">
        <v>3432</v>
      </c>
      <c r="I75">
        <v>0</v>
      </c>
      <c r="J75">
        <v>0</v>
      </c>
      <c r="K75">
        <v>183</v>
      </c>
      <c r="L75">
        <v>0</v>
      </c>
      <c r="M75">
        <v>0</v>
      </c>
      <c r="N75">
        <v>54</v>
      </c>
      <c r="O75">
        <v>0</v>
      </c>
      <c r="P75">
        <v>0</v>
      </c>
      <c r="Q75">
        <v>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f>NHS_AE_2024_2025[[#This Row],[A&amp;E attendances Type 1]]+
NHS_AE_2024_2025[[#This Row],[A&amp;E attendances Type 2]]+
NHS_AE_2024_2025[[#This Row],[A&amp;E attendances Other A&amp;E Department]]</f>
        <v>3432</v>
      </c>
      <c r="Y75">
        <f t="shared" si="2"/>
        <v>54</v>
      </c>
      <c r="Z75">
        <f t="shared" si="3"/>
        <v>0</v>
      </c>
    </row>
    <row r="76" spans="1:26" x14ac:dyDescent="0.2">
      <c r="A76" t="s">
        <v>23</v>
      </c>
      <c r="B76" t="s">
        <v>24</v>
      </c>
      <c r="C76" t="s">
        <v>180</v>
      </c>
      <c r="D76" t="s">
        <v>26</v>
      </c>
      <c r="E76" t="s">
        <v>181</v>
      </c>
      <c r="F76">
        <v>0</v>
      </c>
      <c r="G76">
        <v>0</v>
      </c>
      <c r="H76">
        <v>1691</v>
      </c>
      <c r="I76">
        <v>0</v>
      </c>
      <c r="J76">
        <v>0</v>
      </c>
      <c r="K76">
        <v>21</v>
      </c>
      <c r="L76">
        <v>0</v>
      </c>
      <c r="M76">
        <v>0</v>
      </c>
      <c r="N76">
        <v>142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f>NHS_AE_2024_2025[[#This Row],[A&amp;E attendances Type 1]]+
NHS_AE_2024_2025[[#This Row],[A&amp;E attendances Type 2]]+
NHS_AE_2024_2025[[#This Row],[A&amp;E attendances Other A&amp;E Department]]</f>
        <v>1691</v>
      </c>
      <c r="Y76">
        <f t="shared" si="2"/>
        <v>142</v>
      </c>
      <c r="Z76">
        <f t="shared" si="3"/>
        <v>0</v>
      </c>
    </row>
    <row r="77" spans="1:26" x14ac:dyDescent="0.2">
      <c r="A77" t="s">
        <v>23</v>
      </c>
      <c r="B77" t="s">
        <v>24</v>
      </c>
      <c r="C77" t="s">
        <v>182</v>
      </c>
      <c r="D77" t="s">
        <v>29</v>
      </c>
      <c r="E77" t="s">
        <v>183</v>
      </c>
      <c r="F77">
        <v>0</v>
      </c>
      <c r="G77">
        <v>0</v>
      </c>
      <c r="H77">
        <v>10114</v>
      </c>
      <c r="I77">
        <v>0</v>
      </c>
      <c r="J77">
        <v>0</v>
      </c>
      <c r="K77">
        <v>647</v>
      </c>
      <c r="L77">
        <v>0</v>
      </c>
      <c r="M77">
        <v>0</v>
      </c>
      <c r="N77">
        <v>247</v>
      </c>
      <c r="O77">
        <v>0</v>
      </c>
      <c r="P77">
        <v>0</v>
      </c>
      <c r="Q77">
        <v>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f>NHS_AE_2024_2025[[#This Row],[A&amp;E attendances Type 1]]+
NHS_AE_2024_2025[[#This Row],[A&amp;E attendances Type 2]]+
NHS_AE_2024_2025[[#This Row],[A&amp;E attendances Other A&amp;E Department]]</f>
        <v>10114</v>
      </c>
      <c r="Y77">
        <f t="shared" si="2"/>
        <v>247</v>
      </c>
      <c r="Z77">
        <f t="shared" si="3"/>
        <v>0</v>
      </c>
    </row>
    <row r="78" spans="1:26" x14ac:dyDescent="0.2">
      <c r="A78" t="s">
        <v>23</v>
      </c>
      <c r="B78" t="s">
        <v>24</v>
      </c>
      <c r="C78" t="s">
        <v>184</v>
      </c>
      <c r="D78" t="s">
        <v>55</v>
      </c>
      <c r="E78" t="s">
        <v>185</v>
      </c>
      <c r="F78">
        <v>0</v>
      </c>
      <c r="G78">
        <v>0</v>
      </c>
      <c r="H78">
        <v>1019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f>NHS_AE_2024_2025[[#This Row],[A&amp;E attendances Type 1]]+
NHS_AE_2024_2025[[#This Row],[A&amp;E attendances Type 2]]+
NHS_AE_2024_2025[[#This Row],[A&amp;E attendances Other A&amp;E Department]]</f>
        <v>1019</v>
      </c>
      <c r="Y78">
        <f t="shared" si="2"/>
        <v>1</v>
      </c>
      <c r="Z78">
        <f t="shared" si="3"/>
        <v>0</v>
      </c>
    </row>
    <row r="79" spans="1:26" x14ac:dyDescent="0.2">
      <c r="A79" t="s">
        <v>23</v>
      </c>
      <c r="B79" t="s">
        <v>24</v>
      </c>
      <c r="C79" t="s">
        <v>186</v>
      </c>
      <c r="D79" t="s">
        <v>26</v>
      </c>
      <c r="E79" t="s">
        <v>187</v>
      </c>
      <c r="F79">
        <v>12739</v>
      </c>
      <c r="G79">
        <v>0</v>
      </c>
      <c r="H79">
        <v>4818</v>
      </c>
      <c r="I79">
        <v>0</v>
      </c>
      <c r="J79">
        <v>0</v>
      </c>
      <c r="K79">
        <v>0</v>
      </c>
      <c r="L79">
        <v>5255</v>
      </c>
      <c r="M79">
        <v>0</v>
      </c>
      <c r="N79">
        <v>0</v>
      </c>
      <c r="O79">
        <v>0</v>
      </c>
      <c r="P79">
        <v>0</v>
      </c>
      <c r="Q79">
        <v>0</v>
      </c>
      <c r="R79">
        <v>863</v>
      </c>
      <c r="S79">
        <v>131</v>
      </c>
      <c r="T79">
        <v>3992</v>
      </c>
      <c r="U79">
        <v>4</v>
      </c>
      <c r="V79">
        <v>0</v>
      </c>
      <c r="W79">
        <v>2340</v>
      </c>
      <c r="X79">
        <f>NHS_AE_2024_2025[[#This Row],[A&amp;E attendances Type 1]]+
NHS_AE_2024_2025[[#This Row],[A&amp;E attendances Type 2]]+
NHS_AE_2024_2025[[#This Row],[A&amp;E attendances Other A&amp;E Department]]</f>
        <v>17557</v>
      </c>
      <c r="Y79">
        <f t="shared" si="2"/>
        <v>5255</v>
      </c>
      <c r="Z79">
        <f t="shared" si="3"/>
        <v>6336</v>
      </c>
    </row>
    <row r="80" spans="1:26" x14ac:dyDescent="0.2">
      <c r="A80" t="s">
        <v>23</v>
      </c>
      <c r="B80" t="s">
        <v>24</v>
      </c>
      <c r="C80" t="s">
        <v>188</v>
      </c>
      <c r="D80" t="s">
        <v>26</v>
      </c>
      <c r="E80" t="s">
        <v>189</v>
      </c>
      <c r="F80">
        <v>15115</v>
      </c>
      <c r="G80">
        <v>2307</v>
      </c>
      <c r="H80">
        <v>0</v>
      </c>
      <c r="I80">
        <v>0</v>
      </c>
      <c r="J80">
        <v>0</v>
      </c>
      <c r="K80">
        <v>0</v>
      </c>
      <c r="L80">
        <v>5366</v>
      </c>
      <c r="M80">
        <v>115</v>
      </c>
      <c r="N80">
        <v>0</v>
      </c>
      <c r="O80">
        <v>0</v>
      </c>
      <c r="P80">
        <v>0</v>
      </c>
      <c r="Q80">
        <v>0</v>
      </c>
      <c r="R80">
        <v>1201</v>
      </c>
      <c r="S80">
        <v>350</v>
      </c>
      <c r="T80">
        <v>5118</v>
      </c>
      <c r="U80">
        <v>12</v>
      </c>
      <c r="V80">
        <v>0</v>
      </c>
      <c r="W80">
        <v>1458</v>
      </c>
      <c r="X80">
        <f>NHS_AE_2024_2025[[#This Row],[A&amp;E attendances Type 1]]+
NHS_AE_2024_2025[[#This Row],[A&amp;E attendances Type 2]]+
NHS_AE_2024_2025[[#This Row],[A&amp;E attendances Other A&amp;E Department]]</f>
        <v>17422</v>
      </c>
      <c r="Y80">
        <f t="shared" si="2"/>
        <v>5481</v>
      </c>
      <c r="Z80">
        <f t="shared" si="3"/>
        <v>6588</v>
      </c>
    </row>
    <row r="81" spans="1:26" x14ac:dyDescent="0.2">
      <c r="A81" t="s">
        <v>23</v>
      </c>
      <c r="B81" t="s">
        <v>24</v>
      </c>
      <c r="C81" t="s">
        <v>190</v>
      </c>
      <c r="D81" t="s">
        <v>50</v>
      </c>
      <c r="E81" t="s">
        <v>191</v>
      </c>
      <c r="F81">
        <v>9299</v>
      </c>
      <c r="G81">
        <v>910</v>
      </c>
      <c r="H81">
        <v>2849</v>
      </c>
      <c r="I81">
        <v>0</v>
      </c>
      <c r="J81">
        <v>0</v>
      </c>
      <c r="K81">
        <v>0</v>
      </c>
      <c r="L81">
        <v>2164</v>
      </c>
      <c r="M81">
        <v>0</v>
      </c>
      <c r="N81">
        <v>0</v>
      </c>
      <c r="O81">
        <v>0</v>
      </c>
      <c r="P81">
        <v>0</v>
      </c>
      <c r="Q81">
        <v>0</v>
      </c>
      <c r="R81">
        <v>623</v>
      </c>
      <c r="S81">
        <v>94</v>
      </c>
      <c r="T81">
        <v>2314</v>
      </c>
      <c r="U81">
        <v>0</v>
      </c>
      <c r="V81">
        <v>66</v>
      </c>
      <c r="W81">
        <v>1500</v>
      </c>
      <c r="X81">
        <f>NHS_AE_2024_2025[[#This Row],[A&amp;E attendances Type 1]]+
NHS_AE_2024_2025[[#This Row],[A&amp;E attendances Type 2]]+
NHS_AE_2024_2025[[#This Row],[A&amp;E attendances Other A&amp;E Department]]</f>
        <v>13058</v>
      </c>
      <c r="Y81">
        <f t="shared" si="2"/>
        <v>2164</v>
      </c>
      <c r="Z81">
        <f t="shared" si="3"/>
        <v>3880</v>
      </c>
    </row>
    <row r="82" spans="1:26" x14ac:dyDescent="0.2">
      <c r="A82" t="s">
        <v>23</v>
      </c>
      <c r="B82" t="s">
        <v>24</v>
      </c>
      <c r="C82" t="s">
        <v>192</v>
      </c>
      <c r="D82" t="s">
        <v>55</v>
      </c>
      <c r="E82" t="s">
        <v>193</v>
      </c>
      <c r="F82">
        <v>5628</v>
      </c>
      <c r="G82">
        <v>0</v>
      </c>
      <c r="H82">
        <v>0</v>
      </c>
      <c r="I82">
        <v>0</v>
      </c>
      <c r="J82">
        <v>0</v>
      </c>
      <c r="K82">
        <v>0</v>
      </c>
      <c r="L82">
        <v>712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920</v>
      </c>
      <c r="U82">
        <v>0</v>
      </c>
      <c r="V82">
        <v>0</v>
      </c>
      <c r="W82">
        <v>337</v>
      </c>
      <c r="X82">
        <f>NHS_AE_2024_2025[[#This Row],[A&amp;E attendances Type 1]]+
NHS_AE_2024_2025[[#This Row],[A&amp;E attendances Type 2]]+
NHS_AE_2024_2025[[#This Row],[A&amp;E attendances Other A&amp;E Department]]</f>
        <v>5628</v>
      </c>
      <c r="Y82">
        <f t="shared" si="2"/>
        <v>712</v>
      </c>
      <c r="Z82">
        <f t="shared" si="3"/>
        <v>1257</v>
      </c>
    </row>
    <row r="83" spans="1:26" x14ac:dyDescent="0.2">
      <c r="A83" t="s">
        <v>23</v>
      </c>
      <c r="B83" t="s">
        <v>24</v>
      </c>
      <c r="C83" t="s">
        <v>194</v>
      </c>
      <c r="D83" t="s">
        <v>50</v>
      </c>
      <c r="E83" t="s">
        <v>195</v>
      </c>
      <c r="F83">
        <v>4319</v>
      </c>
      <c r="G83">
        <v>0</v>
      </c>
      <c r="H83">
        <v>214</v>
      </c>
      <c r="I83">
        <v>261</v>
      </c>
      <c r="J83">
        <v>0</v>
      </c>
      <c r="K83">
        <v>12</v>
      </c>
      <c r="L83">
        <v>516</v>
      </c>
      <c r="M83">
        <v>0</v>
      </c>
      <c r="N83">
        <v>0</v>
      </c>
      <c r="O83">
        <v>31</v>
      </c>
      <c r="P83">
        <v>0</v>
      </c>
      <c r="Q83">
        <v>0</v>
      </c>
      <c r="R83">
        <v>9</v>
      </c>
      <c r="S83">
        <v>0</v>
      </c>
      <c r="T83">
        <v>868</v>
      </c>
      <c r="U83">
        <v>0</v>
      </c>
      <c r="V83">
        <v>0</v>
      </c>
      <c r="W83">
        <v>108</v>
      </c>
      <c r="X83">
        <f>NHS_AE_2024_2025[[#This Row],[A&amp;E attendances Type 1]]+
NHS_AE_2024_2025[[#This Row],[A&amp;E attendances Type 2]]+
NHS_AE_2024_2025[[#This Row],[A&amp;E attendances Other A&amp;E Department]]</f>
        <v>4533</v>
      </c>
      <c r="Y83">
        <f t="shared" si="2"/>
        <v>516</v>
      </c>
      <c r="Z83">
        <f t="shared" si="3"/>
        <v>976</v>
      </c>
    </row>
    <row r="84" spans="1:26" x14ac:dyDescent="0.2">
      <c r="A84" t="s">
        <v>23</v>
      </c>
      <c r="B84" t="s">
        <v>24</v>
      </c>
      <c r="C84" t="s">
        <v>196</v>
      </c>
      <c r="D84" t="s">
        <v>37</v>
      </c>
      <c r="E84" t="s">
        <v>197</v>
      </c>
      <c r="F84">
        <v>21666</v>
      </c>
      <c r="G84">
        <v>990</v>
      </c>
      <c r="H84">
        <v>12046</v>
      </c>
      <c r="I84">
        <v>0</v>
      </c>
      <c r="J84">
        <v>0</v>
      </c>
      <c r="K84">
        <v>0</v>
      </c>
      <c r="L84">
        <v>8793</v>
      </c>
      <c r="M84">
        <v>1</v>
      </c>
      <c r="N84">
        <v>79</v>
      </c>
      <c r="O84">
        <v>0</v>
      </c>
      <c r="P84">
        <v>0</v>
      </c>
      <c r="Q84">
        <v>0</v>
      </c>
      <c r="R84">
        <v>2206</v>
      </c>
      <c r="S84">
        <v>181</v>
      </c>
      <c r="T84">
        <v>5878</v>
      </c>
      <c r="U84">
        <v>0</v>
      </c>
      <c r="V84">
        <v>0</v>
      </c>
      <c r="W84">
        <v>272</v>
      </c>
      <c r="X84">
        <f>NHS_AE_2024_2025[[#This Row],[A&amp;E attendances Type 1]]+
NHS_AE_2024_2025[[#This Row],[A&amp;E attendances Type 2]]+
NHS_AE_2024_2025[[#This Row],[A&amp;E attendances Other A&amp;E Department]]</f>
        <v>34702</v>
      </c>
      <c r="Y84">
        <f t="shared" si="2"/>
        <v>8873</v>
      </c>
      <c r="Z84">
        <f t="shared" si="3"/>
        <v>6150</v>
      </c>
    </row>
    <row r="85" spans="1:26" x14ac:dyDescent="0.2">
      <c r="A85" t="s">
        <v>23</v>
      </c>
      <c r="B85" t="s">
        <v>24</v>
      </c>
      <c r="C85" t="s">
        <v>198</v>
      </c>
      <c r="D85" t="s">
        <v>55</v>
      </c>
      <c r="E85" t="s">
        <v>199</v>
      </c>
      <c r="F85">
        <v>0</v>
      </c>
      <c r="G85">
        <v>1265</v>
      </c>
      <c r="H85">
        <v>0</v>
      </c>
      <c r="I85">
        <v>0</v>
      </c>
      <c r="J85">
        <v>139</v>
      </c>
      <c r="K85">
        <v>0</v>
      </c>
      <c r="L85">
        <v>0</v>
      </c>
      <c r="M85">
        <v>125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98</v>
      </c>
      <c r="V85">
        <v>0</v>
      </c>
      <c r="W85">
        <v>18</v>
      </c>
      <c r="X85">
        <f>NHS_AE_2024_2025[[#This Row],[A&amp;E attendances Type 1]]+
NHS_AE_2024_2025[[#This Row],[A&amp;E attendances Type 2]]+
NHS_AE_2024_2025[[#This Row],[A&amp;E attendances Other A&amp;E Department]]</f>
        <v>1265</v>
      </c>
      <c r="Y85">
        <f t="shared" si="2"/>
        <v>125</v>
      </c>
      <c r="Z85">
        <f t="shared" si="3"/>
        <v>116</v>
      </c>
    </row>
    <row r="86" spans="1:26" x14ac:dyDescent="0.2">
      <c r="A86" t="s">
        <v>23</v>
      </c>
      <c r="B86" t="s">
        <v>24</v>
      </c>
      <c r="C86" t="s">
        <v>200</v>
      </c>
      <c r="D86" t="s">
        <v>32</v>
      </c>
      <c r="E86" t="s">
        <v>201</v>
      </c>
      <c r="F86">
        <v>13330</v>
      </c>
      <c r="G86">
        <v>490</v>
      </c>
      <c r="H86">
        <v>8542</v>
      </c>
      <c r="I86">
        <v>643</v>
      </c>
      <c r="J86">
        <v>0</v>
      </c>
      <c r="K86">
        <v>487</v>
      </c>
      <c r="L86">
        <v>6574</v>
      </c>
      <c r="M86">
        <v>0</v>
      </c>
      <c r="N86">
        <v>73</v>
      </c>
      <c r="O86">
        <v>237</v>
      </c>
      <c r="P86">
        <v>0</v>
      </c>
      <c r="Q86">
        <v>10</v>
      </c>
      <c r="R86">
        <v>1060</v>
      </c>
      <c r="S86">
        <v>927</v>
      </c>
      <c r="T86">
        <v>5823</v>
      </c>
      <c r="U86">
        <v>0</v>
      </c>
      <c r="V86">
        <v>0</v>
      </c>
      <c r="W86">
        <v>3002</v>
      </c>
      <c r="X86">
        <f>NHS_AE_2024_2025[[#This Row],[A&amp;E attendances Type 1]]+
NHS_AE_2024_2025[[#This Row],[A&amp;E attendances Type 2]]+
NHS_AE_2024_2025[[#This Row],[A&amp;E attendances Other A&amp;E Department]]</f>
        <v>22362</v>
      </c>
      <c r="Y86">
        <f t="shared" si="2"/>
        <v>6647</v>
      </c>
      <c r="Z86">
        <f t="shared" si="3"/>
        <v>8825</v>
      </c>
    </row>
    <row r="87" spans="1:26" x14ac:dyDescent="0.2">
      <c r="A87" t="s">
        <v>23</v>
      </c>
      <c r="B87" t="s">
        <v>24</v>
      </c>
      <c r="C87" t="s">
        <v>202</v>
      </c>
      <c r="D87" t="s">
        <v>32</v>
      </c>
      <c r="E87" t="s">
        <v>203</v>
      </c>
      <c r="F87">
        <v>13101</v>
      </c>
      <c r="G87">
        <v>0</v>
      </c>
      <c r="H87">
        <v>8087</v>
      </c>
      <c r="I87">
        <v>171</v>
      </c>
      <c r="J87">
        <v>0</v>
      </c>
      <c r="K87">
        <v>823</v>
      </c>
      <c r="L87">
        <v>3736</v>
      </c>
      <c r="M87">
        <v>0</v>
      </c>
      <c r="N87">
        <v>250</v>
      </c>
      <c r="O87">
        <v>17</v>
      </c>
      <c r="P87">
        <v>0</v>
      </c>
      <c r="Q87">
        <v>3</v>
      </c>
      <c r="R87">
        <v>1074</v>
      </c>
      <c r="S87">
        <v>156</v>
      </c>
      <c r="T87">
        <v>5774</v>
      </c>
      <c r="U87">
        <v>0</v>
      </c>
      <c r="V87">
        <v>0</v>
      </c>
      <c r="W87">
        <v>970</v>
      </c>
      <c r="X87">
        <f>NHS_AE_2024_2025[[#This Row],[A&amp;E attendances Type 1]]+
NHS_AE_2024_2025[[#This Row],[A&amp;E attendances Type 2]]+
NHS_AE_2024_2025[[#This Row],[A&amp;E attendances Other A&amp;E Department]]</f>
        <v>21188</v>
      </c>
      <c r="Y87">
        <f t="shared" si="2"/>
        <v>3986</v>
      </c>
      <c r="Z87">
        <f t="shared" si="3"/>
        <v>6744</v>
      </c>
    </row>
    <row r="88" spans="1:26" x14ac:dyDescent="0.2">
      <c r="A88" t="s">
        <v>23</v>
      </c>
      <c r="B88" t="s">
        <v>24</v>
      </c>
      <c r="C88" t="s">
        <v>204</v>
      </c>
      <c r="D88" t="s">
        <v>32</v>
      </c>
      <c r="E88" t="s">
        <v>205</v>
      </c>
      <c r="F88">
        <v>6127</v>
      </c>
      <c r="G88">
        <v>1329</v>
      </c>
      <c r="H88">
        <v>0</v>
      </c>
      <c r="I88">
        <v>170</v>
      </c>
      <c r="J88">
        <v>0</v>
      </c>
      <c r="K88">
        <v>0</v>
      </c>
      <c r="L88">
        <v>2349</v>
      </c>
      <c r="M88">
        <v>0</v>
      </c>
      <c r="N88">
        <v>0</v>
      </c>
      <c r="O88">
        <v>29</v>
      </c>
      <c r="P88">
        <v>0</v>
      </c>
      <c r="Q88">
        <v>0</v>
      </c>
      <c r="R88">
        <v>383</v>
      </c>
      <c r="S88">
        <v>293</v>
      </c>
      <c r="T88">
        <v>2019</v>
      </c>
      <c r="U88">
        <v>0</v>
      </c>
      <c r="V88">
        <v>0</v>
      </c>
      <c r="W88">
        <v>625</v>
      </c>
      <c r="X88">
        <f>NHS_AE_2024_2025[[#This Row],[A&amp;E attendances Type 1]]+
NHS_AE_2024_2025[[#This Row],[A&amp;E attendances Type 2]]+
NHS_AE_2024_2025[[#This Row],[A&amp;E attendances Other A&amp;E Department]]</f>
        <v>7456</v>
      </c>
      <c r="Y88">
        <f t="shared" si="2"/>
        <v>2349</v>
      </c>
      <c r="Z88">
        <f t="shared" si="3"/>
        <v>2644</v>
      </c>
    </row>
    <row r="89" spans="1:26" x14ac:dyDescent="0.2">
      <c r="A89" t="s">
        <v>23</v>
      </c>
      <c r="B89" t="s">
        <v>24</v>
      </c>
      <c r="C89" t="s">
        <v>206</v>
      </c>
      <c r="D89" t="s">
        <v>32</v>
      </c>
      <c r="E89" t="s">
        <v>207</v>
      </c>
      <c r="F89">
        <v>32656</v>
      </c>
      <c r="G89">
        <v>307</v>
      </c>
      <c r="H89">
        <v>1558</v>
      </c>
      <c r="I89">
        <v>63</v>
      </c>
      <c r="J89">
        <v>0</v>
      </c>
      <c r="K89">
        <v>253</v>
      </c>
      <c r="L89">
        <v>13825</v>
      </c>
      <c r="M89">
        <v>0</v>
      </c>
      <c r="N89">
        <v>16</v>
      </c>
      <c r="O89">
        <v>11</v>
      </c>
      <c r="P89">
        <v>0</v>
      </c>
      <c r="Q89">
        <v>2</v>
      </c>
      <c r="R89">
        <v>2112</v>
      </c>
      <c r="S89">
        <v>2228</v>
      </c>
      <c r="T89">
        <v>10561</v>
      </c>
      <c r="U89">
        <v>0</v>
      </c>
      <c r="V89">
        <v>0</v>
      </c>
      <c r="W89">
        <v>6074</v>
      </c>
      <c r="X89">
        <f>NHS_AE_2024_2025[[#This Row],[A&amp;E attendances Type 1]]+
NHS_AE_2024_2025[[#This Row],[A&amp;E attendances Type 2]]+
NHS_AE_2024_2025[[#This Row],[A&amp;E attendances Other A&amp;E Department]]</f>
        <v>34521</v>
      </c>
      <c r="Y89">
        <f t="shared" si="2"/>
        <v>13841</v>
      </c>
      <c r="Z89">
        <f t="shared" si="3"/>
        <v>16635</v>
      </c>
    </row>
    <row r="90" spans="1:26" x14ac:dyDescent="0.2">
      <c r="A90" t="s">
        <v>23</v>
      </c>
      <c r="B90" t="s">
        <v>24</v>
      </c>
      <c r="C90" t="s">
        <v>208</v>
      </c>
      <c r="D90" t="s">
        <v>32</v>
      </c>
      <c r="E90" t="s">
        <v>209</v>
      </c>
      <c r="F90">
        <v>20711</v>
      </c>
      <c r="G90">
        <v>0</v>
      </c>
      <c r="H90">
        <v>9871</v>
      </c>
      <c r="I90">
        <v>450</v>
      </c>
      <c r="J90">
        <v>0</v>
      </c>
      <c r="K90">
        <v>34</v>
      </c>
      <c r="L90">
        <v>8262</v>
      </c>
      <c r="M90">
        <v>0</v>
      </c>
      <c r="N90">
        <v>30</v>
      </c>
      <c r="O90">
        <v>183</v>
      </c>
      <c r="P90">
        <v>0</v>
      </c>
      <c r="Q90">
        <v>0</v>
      </c>
      <c r="R90">
        <v>838</v>
      </c>
      <c r="S90">
        <v>754</v>
      </c>
      <c r="T90">
        <v>3991</v>
      </c>
      <c r="U90">
        <v>0</v>
      </c>
      <c r="V90">
        <v>2</v>
      </c>
      <c r="W90">
        <v>2386</v>
      </c>
      <c r="X90">
        <f>NHS_AE_2024_2025[[#This Row],[A&amp;E attendances Type 1]]+
NHS_AE_2024_2025[[#This Row],[A&amp;E attendances Type 2]]+
NHS_AE_2024_2025[[#This Row],[A&amp;E attendances Other A&amp;E Department]]</f>
        <v>30582</v>
      </c>
      <c r="Y90">
        <f t="shared" si="2"/>
        <v>8292</v>
      </c>
      <c r="Z90">
        <f t="shared" si="3"/>
        <v>6379</v>
      </c>
    </row>
    <row r="91" spans="1:26" x14ac:dyDescent="0.2">
      <c r="A91" t="s">
        <v>23</v>
      </c>
      <c r="B91" t="s">
        <v>24</v>
      </c>
      <c r="C91" t="s">
        <v>210</v>
      </c>
      <c r="D91" t="s">
        <v>26</v>
      </c>
      <c r="E91" t="s">
        <v>211</v>
      </c>
      <c r="F91">
        <v>8952</v>
      </c>
      <c r="G91">
        <v>0</v>
      </c>
      <c r="H91">
        <v>0</v>
      </c>
      <c r="I91">
        <v>21</v>
      </c>
      <c r="J91">
        <v>0</v>
      </c>
      <c r="K91">
        <v>0</v>
      </c>
      <c r="L91">
        <v>3265</v>
      </c>
      <c r="M91">
        <v>0</v>
      </c>
      <c r="N91">
        <v>0</v>
      </c>
      <c r="O91">
        <v>5</v>
      </c>
      <c r="P91">
        <v>0</v>
      </c>
      <c r="Q91">
        <v>0</v>
      </c>
      <c r="R91">
        <v>661</v>
      </c>
      <c r="S91">
        <v>324</v>
      </c>
      <c r="T91">
        <v>2825</v>
      </c>
      <c r="U91">
        <v>0</v>
      </c>
      <c r="V91">
        <v>0</v>
      </c>
      <c r="W91">
        <v>1935</v>
      </c>
      <c r="X91">
        <f>NHS_AE_2024_2025[[#This Row],[A&amp;E attendances Type 1]]+
NHS_AE_2024_2025[[#This Row],[A&amp;E attendances Type 2]]+
NHS_AE_2024_2025[[#This Row],[A&amp;E attendances Other A&amp;E Department]]</f>
        <v>8952</v>
      </c>
      <c r="Y91">
        <f t="shared" si="2"/>
        <v>3265</v>
      </c>
      <c r="Z91">
        <f t="shared" si="3"/>
        <v>4760</v>
      </c>
    </row>
    <row r="92" spans="1:26" x14ac:dyDescent="0.2">
      <c r="A92" t="s">
        <v>23</v>
      </c>
      <c r="B92" t="s">
        <v>24</v>
      </c>
      <c r="C92" t="s">
        <v>212</v>
      </c>
      <c r="D92" t="s">
        <v>50</v>
      </c>
      <c r="E92" t="s">
        <v>213</v>
      </c>
      <c r="F92">
        <v>4459</v>
      </c>
      <c r="G92">
        <v>0</v>
      </c>
      <c r="H92">
        <v>11238</v>
      </c>
      <c r="I92">
        <v>0</v>
      </c>
      <c r="J92">
        <v>0</v>
      </c>
      <c r="K92">
        <v>0</v>
      </c>
      <c r="L92">
        <v>1734</v>
      </c>
      <c r="M92">
        <v>0</v>
      </c>
      <c r="N92">
        <v>40</v>
      </c>
      <c r="O92">
        <v>0</v>
      </c>
      <c r="P92">
        <v>0</v>
      </c>
      <c r="Q92">
        <v>0</v>
      </c>
      <c r="R92">
        <v>80</v>
      </c>
      <c r="S92">
        <v>0</v>
      </c>
      <c r="T92">
        <v>1618</v>
      </c>
      <c r="U92">
        <v>0</v>
      </c>
      <c r="V92">
        <v>584</v>
      </c>
      <c r="W92">
        <v>2133</v>
      </c>
      <c r="X92">
        <f>NHS_AE_2024_2025[[#This Row],[A&amp;E attendances Type 1]]+
NHS_AE_2024_2025[[#This Row],[A&amp;E attendances Type 2]]+
NHS_AE_2024_2025[[#This Row],[A&amp;E attendances Other A&amp;E Department]]</f>
        <v>15697</v>
      </c>
      <c r="Y92">
        <f t="shared" si="2"/>
        <v>1774</v>
      </c>
      <c r="Z92">
        <f t="shared" si="3"/>
        <v>4335</v>
      </c>
    </row>
    <row r="93" spans="1:26" x14ac:dyDescent="0.2">
      <c r="A93" t="s">
        <v>23</v>
      </c>
      <c r="B93" t="s">
        <v>24</v>
      </c>
      <c r="C93" t="s">
        <v>214</v>
      </c>
      <c r="D93" t="s">
        <v>55</v>
      </c>
      <c r="E93" t="s">
        <v>215</v>
      </c>
      <c r="F93">
        <v>11493</v>
      </c>
      <c r="G93">
        <v>0</v>
      </c>
      <c r="H93">
        <v>3788</v>
      </c>
      <c r="I93">
        <v>288</v>
      </c>
      <c r="J93">
        <v>0</v>
      </c>
      <c r="K93">
        <v>106</v>
      </c>
      <c r="L93">
        <v>4564</v>
      </c>
      <c r="M93">
        <v>0</v>
      </c>
      <c r="N93">
        <v>260</v>
      </c>
      <c r="O93">
        <v>75</v>
      </c>
      <c r="P93">
        <v>0</v>
      </c>
      <c r="Q93">
        <v>2</v>
      </c>
      <c r="R93">
        <v>1061</v>
      </c>
      <c r="S93">
        <v>459</v>
      </c>
      <c r="T93">
        <v>2940</v>
      </c>
      <c r="U93">
        <v>0</v>
      </c>
      <c r="V93">
        <v>158</v>
      </c>
      <c r="W93">
        <v>1222</v>
      </c>
      <c r="X93">
        <f>NHS_AE_2024_2025[[#This Row],[A&amp;E attendances Type 1]]+
NHS_AE_2024_2025[[#This Row],[A&amp;E attendances Type 2]]+
NHS_AE_2024_2025[[#This Row],[A&amp;E attendances Other A&amp;E Department]]</f>
        <v>15281</v>
      </c>
      <c r="Y93">
        <f t="shared" si="2"/>
        <v>4824</v>
      </c>
      <c r="Z93">
        <f t="shared" si="3"/>
        <v>4320</v>
      </c>
    </row>
    <row r="94" spans="1:26" x14ac:dyDescent="0.2">
      <c r="A94" t="s">
        <v>23</v>
      </c>
      <c r="B94" t="s">
        <v>24</v>
      </c>
      <c r="C94" t="s">
        <v>216</v>
      </c>
      <c r="D94" t="s">
        <v>55</v>
      </c>
      <c r="E94" t="s">
        <v>217</v>
      </c>
      <c r="F94">
        <v>12318</v>
      </c>
      <c r="G94">
        <v>0</v>
      </c>
      <c r="H94">
        <v>10055</v>
      </c>
      <c r="I94">
        <v>0</v>
      </c>
      <c r="J94">
        <v>0</v>
      </c>
      <c r="K94">
        <v>0</v>
      </c>
      <c r="L94">
        <v>4052</v>
      </c>
      <c r="M94">
        <v>0</v>
      </c>
      <c r="N94">
        <v>382</v>
      </c>
      <c r="O94">
        <v>0</v>
      </c>
      <c r="P94">
        <v>0</v>
      </c>
      <c r="Q94">
        <v>0</v>
      </c>
      <c r="R94">
        <v>385</v>
      </c>
      <c r="S94">
        <v>1113</v>
      </c>
      <c r="T94">
        <v>3462</v>
      </c>
      <c r="U94">
        <v>0</v>
      </c>
      <c r="V94">
        <v>80</v>
      </c>
      <c r="W94">
        <v>1663</v>
      </c>
      <c r="X94">
        <f>NHS_AE_2024_2025[[#This Row],[A&amp;E attendances Type 1]]+
NHS_AE_2024_2025[[#This Row],[A&amp;E attendances Type 2]]+
NHS_AE_2024_2025[[#This Row],[A&amp;E attendances Other A&amp;E Department]]</f>
        <v>22373</v>
      </c>
      <c r="Y94">
        <f t="shared" si="2"/>
        <v>4434</v>
      </c>
      <c r="Z94">
        <f t="shared" si="3"/>
        <v>5205</v>
      </c>
    </row>
    <row r="95" spans="1:26" x14ac:dyDescent="0.2">
      <c r="A95" t="s">
        <v>23</v>
      </c>
      <c r="B95" t="s">
        <v>24</v>
      </c>
      <c r="C95" t="s">
        <v>218</v>
      </c>
      <c r="D95" t="s">
        <v>70</v>
      </c>
      <c r="E95" t="s">
        <v>219</v>
      </c>
      <c r="F95">
        <v>0</v>
      </c>
      <c r="G95">
        <v>0</v>
      </c>
      <c r="H95">
        <v>916</v>
      </c>
      <c r="I95">
        <v>0</v>
      </c>
      <c r="J95">
        <v>0</v>
      </c>
      <c r="K95">
        <v>0</v>
      </c>
      <c r="L95">
        <v>0</v>
      </c>
      <c r="M95">
        <v>0</v>
      </c>
      <c r="N95">
        <v>19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f>NHS_AE_2024_2025[[#This Row],[A&amp;E attendances Type 1]]+
NHS_AE_2024_2025[[#This Row],[A&amp;E attendances Type 2]]+
NHS_AE_2024_2025[[#This Row],[A&amp;E attendances Other A&amp;E Department]]</f>
        <v>916</v>
      </c>
      <c r="Y95">
        <f t="shared" si="2"/>
        <v>19</v>
      </c>
      <c r="Z95">
        <f t="shared" si="3"/>
        <v>0</v>
      </c>
    </row>
    <row r="96" spans="1:26" x14ac:dyDescent="0.2">
      <c r="A96" t="s">
        <v>23</v>
      </c>
      <c r="B96" t="s">
        <v>24</v>
      </c>
      <c r="C96" t="s">
        <v>220</v>
      </c>
      <c r="D96" t="s">
        <v>50</v>
      </c>
      <c r="E96" t="s">
        <v>221</v>
      </c>
      <c r="F96">
        <v>0</v>
      </c>
      <c r="G96">
        <v>0</v>
      </c>
      <c r="H96">
        <v>344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f>NHS_AE_2024_2025[[#This Row],[A&amp;E attendances Type 1]]+
NHS_AE_2024_2025[[#This Row],[A&amp;E attendances Type 2]]+
NHS_AE_2024_2025[[#This Row],[A&amp;E attendances Other A&amp;E Department]]</f>
        <v>344</v>
      </c>
      <c r="Y96">
        <f t="shared" si="2"/>
        <v>0</v>
      </c>
      <c r="Z96">
        <f t="shared" si="3"/>
        <v>0</v>
      </c>
    </row>
    <row r="97" spans="1:26" x14ac:dyDescent="0.2">
      <c r="A97" t="s">
        <v>23</v>
      </c>
      <c r="B97" t="s">
        <v>24</v>
      </c>
      <c r="C97" t="s">
        <v>222</v>
      </c>
      <c r="D97" t="s">
        <v>32</v>
      </c>
      <c r="E97" t="s">
        <v>223</v>
      </c>
      <c r="F97">
        <v>0</v>
      </c>
      <c r="G97">
        <v>0</v>
      </c>
      <c r="H97">
        <v>4045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f>NHS_AE_2024_2025[[#This Row],[A&amp;E attendances Type 1]]+
NHS_AE_2024_2025[[#This Row],[A&amp;E attendances Type 2]]+
NHS_AE_2024_2025[[#This Row],[A&amp;E attendances Other A&amp;E Department]]</f>
        <v>4045</v>
      </c>
      <c r="Y97">
        <f t="shared" si="2"/>
        <v>0</v>
      </c>
      <c r="Z97">
        <f t="shared" si="3"/>
        <v>0</v>
      </c>
    </row>
    <row r="98" spans="1:26" x14ac:dyDescent="0.2">
      <c r="A98" t="s">
        <v>23</v>
      </c>
      <c r="B98" t="s">
        <v>24</v>
      </c>
      <c r="C98" t="s">
        <v>224</v>
      </c>
      <c r="D98" t="s">
        <v>29</v>
      </c>
      <c r="E98" t="s">
        <v>225</v>
      </c>
      <c r="F98">
        <v>23379</v>
      </c>
      <c r="G98">
        <v>915</v>
      </c>
      <c r="H98">
        <v>16891</v>
      </c>
      <c r="I98">
        <v>0</v>
      </c>
      <c r="J98">
        <v>0</v>
      </c>
      <c r="K98">
        <v>0</v>
      </c>
      <c r="L98">
        <v>11368</v>
      </c>
      <c r="M98">
        <v>30</v>
      </c>
      <c r="N98">
        <v>2835</v>
      </c>
      <c r="O98">
        <v>0</v>
      </c>
      <c r="P98">
        <v>0</v>
      </c>
      <c r="Q98">
        <v>0</v>
      </c>
      <c r="R98">
        <v>880</v>
      </c>
      <c r="S98">
        <v>1225</v>
      </c>
      <c r="T98">
        <v>4700</v>
      </c>
      <c r="U98">
        <v>0</v>
      </c>
      <c r="V98">
        <v>0</v>
      </c>
      <c r="W98">
        <v>1326</v>
      </c>
      <c r="X98">
        <f>NHS_AE_2024_2025[[#This Row],[A&amp;E attendances Type 1]]+
NHS_AE_2024_2025[[#This Row],[A&amp;E attendances Type 2]]+
NHS_AE_2024_2025[[#This Row],[A&amp;E attendances Other A&amp;E Department]]</f>
        <v>41185</v>
      </c>
      <c r="Y98">
        <f t="shared" si="2"/>
        <v>14233</v>
      </c>
      <c r="Z98">
        <f t="shared" si="3"/>
        <v>6026</v>
      </c>
    </row>
    <row r="99" spans="1:26" x14ac:dyDescent="0.2">
      <c r="A99" t="s">
        <v>23</v>
      </c>
      <c r="B99" t="s">
        <v>24</v>
      </c>
      <c r="C99" t="s">
        <v>226</v>
      </c>
      <c r="D99" t="s">
        <v>37</v>
      </c>
      <c r="E99" t="s">
        <v>227</v>
      </c>
      <c r="F99">
        <v>6572</v>
      </c>
      <c r="G99">
        <v>0</v>
      </c>
      <c r="H99">
        <v>1327</v>
      </c>
      <c r="I99">
        <v>725</v>
      </c>
      <c r="J99">
        <v>0</v>
      </c>
      <c r="K99">
        <v>10</v>
      </c>
      <c r="L99">
        <v>2006</v>
      </c>
      <c r="M99">
        <v>0</v>
      </c>
      <c r="N99">
        <v>0</v>
      </c>
      <c r="O99">
        <v>192</v>
      </c>
      <c r="P99">
        <v>0</v>
      </c>
      <c r="Q99">
        <v>0</v>
      </c>
      <c r="R99">
        <v>333</v>
      </c>
      <c r="S99">
        <v>1</v>
      </c>
      <c r="T99">
        <v>2491</v>
      </c>
      <c r="U99">
        <v>0</v>
      </c>
      <c r="V99">
        <v>0</v>
      </c>
      <c r="W99">
        <v>1025</v>
      </c>
      <c r="X99">
        <f>NHS_AE_2024_2025[[#This Row],[A&amp;E attendances Type 1]]+
NHS_AE_2024_2025[[#This Row],[A&amp;E attendances Type 2]]+
NHS_AE_2024_2025[[#This Row],[A&amp;E attendances Other A&amp;E Department]]</f>
        <v>7899</v>
      </c>
      <c r="Y99">
        <f t="shared" si="2"/>
        <v>2006</v>
      </c>
      <c r="Z99">
        <f t="shared" si="3"/>
        <v>3516</v>
      </c>
    </row>
    <row r="100" spans="1:26" x14ac:dyDescent="0.2">
      <c r="A100" t="s">
        <v>23</v>
      </c>
      <c r="B100" t="s">
        <v>24</v>
      </c>
      <c r="C100" t="s">
        <v>228</v>
      </c>
      <c r="D100" t="s">
        <v>70</v>
      </c>
      <c r="E100" t="s">
        <v>229</v>
      </c>
      <c r="F100">
        <v>28759</v>
      </c>
      <c r="G100">
        <v>0</v>
      </c>
      <c r="H100">
        <v>5982</v>
      </c>
      <c r="I100">
        <v>589</v>
      </c>
      <c r="J100">
        <v>0</v>
      </c>
      <c r="K100">
        <v>138</v>
      </c>
      <c r="L100">
        <v>7935</v>
      </c>
      <c r="M100">
        <v>0</v>
      </c>
      <c r="N100">
        <v>157</v>
      </c>
      <c r="O100">
        <v>98</v>
      </c>
      <c r="P100">
        <v>0</v>
      </c>
      <c r="Q100">
        <v>1</v>
      </c>
      <c r="R100">
        <v>2656</v>
      </c>
      <c r="S100">
        <v>5</v>
      </c>
      <c r="T100">
        <v>8966</v>
      </c>
      <c r="U100">
        <v>0</v>
      </c>
      <c r="V100">
        <v>231</v>
      </c>
      <c r="W100">
        <v>1276</v>
      </c>
      <c r="X100">
        <f>NHS_AE_2024_2025[[#This Row],[A&amp;E attendances Type 1]]+
NHS_AE_2024_2025[[#This Row],[A&amp;E attendances Type 2]]+
NHS_AE_2024_2025[[#This Row],[A&amp;E attendances Other A&amp;E Department]]</f>
        <v>34741</v>
      </c>
      <c r="Y100">
        <f t="shared" si="2"/>
        <v>8092</v>
      </c>
      <c r="Z100">
        <f t="shared" si="3"/>
        <v>10473</v>
      </c>
    </row>
    <row r="101" spans="1:26" x14ac:dyDescent="0.2">
      <c r="A101" t="s">
        <v>23</v>
      </c>
      <c r="B101" t="s">
        <v>24</v>
      </c>
      <c r="C101" t="s">
        <v>230</v>
      </c>
      <c r="D101" t="s">
        <v>29</v>
      </c>
      <c r="E101" t="s">
        <v>231</v>
      </c>
      <c r="F101">
        <v>18315</v>
      </c>
      <c r="G101">
        <v>0</v>
      </c>
      <c r="H101">
        <v>8065</v>
      </c>
      <c r="I101">
        <v>0</v>
      </c>
      <c r="J101">
        <v>0</v>
      </c>
      <c r="K101">
        <v>0</v>
      </c>
      <c r="L101">
        <v>7442</v>
      </c>
      <c r="M101">
        <v>0</v>
      </c>
      <c r="N101">
        <v>150</v>
      </c>
      <c r="O101">
        <v>0</v>
      </c>
      <c r="P101">
        <v>0</v>
      </c>
      <c r="Q101">
        <v>0</v>
      </c>
      <c r="R101">
        <v>986</v>
      </c>
      <c r="S101">
        <v>905</v>
      </c>
      <c r="T101">
        <v>3827</v>
      </c>
      <c r="U101">
        <v>0</v>
      </c>
      <c r="V101">
        <v>0</v>
      </c>
      <c r="W101">
        <v>524</v>
      </c>
      <c r="X101">
        <f>NHS_AE_2024_2025[[#This Row],[A&amp;E attendances Type 1]]+
NHS_AE_2024_2025[[#This Row],[A&amp;E attendances Type 2]]+
NHS_AE_2024_2025[[#This Row],[A&amp;E attendances Other A&amp;E Department]]</f>
        <v>26380</v>
      </c>
      <c r="Y101">
        <f t="shared" si="2"/>
        <v>7592</v>
      </c>
      <c r="Z101">
        <f t="shared" si="3"/>
        <v>4351</v>
      </c>
    </row>
    <row r="102" spans="1:26" x14ac:dyDescent="0.2">
      <c r="A102" t="s">
        <v>23</v>
      </c>
      <c r="B102" t="s">
        <v>24</v>
      </c>
      <c r="C102" t="s">
        <v>232</v>
      </c>
      <c r="D102" t="s">
        <v>29</v>
      </c>
      <c r="E102" t="s">
        <v>233</v>
      </c>
      <c r="F102">
        <v>6887</v>
      </c>
      <c r="G102">
        <v>0</v>
      </c>
      <c r="H102">
        <v>8057</v>
      </c>
      <c r="I102">
        <v>0</v>
      </c>
      <c r="J102">
        <v>0</v>
      </c>
      <c r="K102">
        <v>0</v>
      </c>
      <c r="L102">
        <v>3304</v>
      </c>
      <c r="M102">
        <v>0</v>
      </c>
      <c r="N102">
        <v>217</v>
      </c>
      <c r="O102">
        <v>0</v>
      </c>
      <c r="P102">
        <v>0</v>
      </c>
      <c r="Q102">
        <v>0</v>
      </c>
      <c r="R102">
        <v>202</v>
      </c>
      <c r="S102">
        <v>462</v>
      </c>
      <c r="T102">
        <v>2145</v>
      </c>
      <c r="U102">
        <v>0</v>
      </c>
      <c r="V102">
        <v>148</v>
      </c>
      <c r="W102">
        <v>690</v>
      </c>
      <c r="X102">
        <f>NHS_AE_2024_2025[[#This Row],[A&amp;E attendances Type 1]]+
NHS_AE_2024_2025[[#This Row],[A&amp;E attendances Type 2]]+
NHS_AE_2024_2025[[#This Row],[A&amp;E attendances Other A&amp;E Department]]</f>
        <v>14944</v>
      </c>
      <c r="Y102">
        <f t="shared" si="2"/>
        <v>3521</v>
      </c>
      <c r="Z102">
        <f t="shared" si="3"/>
        <v>2983</v>
      </c>
    </row>
    <row r="103" spans="1:26" x14ac:dyDescent="0.2">
      <c r="A103" t="s">
        <v>23</v>
      </c>
      <c r="B103" t="s">
        <v>24</v>
      </c>
      <c r="C103" t="s">
        <v>234</v>
      </c>
      <c r="D103" t="s">
        <v>26</v>
      </c>
      <c r="E103" t="s">
        <v>235</v>
      </c>
      <c r="F103">
        <v>4182</v>
      </c>
      <c r="G103">
        <v>0</v>
      </c>
      <c r="H103">
        <v>0</v>
      </c>
      <c r="I103">
        <v>380</v>
      </c>
      <c r="J103">
        <v>0</v>
      </c>
      <c r="K103">
        <v>3966</v>
      </c>
      <c r="L103">
        <v>1461</v>
      </c>
      <c r="M103">
        <v>0</v>
      </c>
      <c r="N103">
        <v>0</v>
      </c>
      <c r="O103">
        <v>91</v>
      </c>
      <c r="P103">
        <v>0</v>
      </c>
      <c r="Q103">
        <v>5</v>
      </c>
      <c r="R103">
        <v>170</v>
      </c>
      <c r="S103">
        <v>24</v>
      </c>
      <c r="T103">
        <v>1866</v>
      </c>
      <c r="U103">
        <v>0</v>
      </c>
      <c r="V103">
        <v>0</v>
      </c>
      <c r="W103">
        <v>511</v>
      </c>
      <c r="X103">
        <f>NHS_AE_2024_2025[[#This Row],[A&amp;E attendances Type 1]]+
NHS_AE_2024_2025[[#This Row],[A&amp;E attendances Type 2]]+
NHS_AE_2024_2025[[#This Row],[A&amp;E attendances Other A&amp;E Department]]</f>
        <v>4182</v>
      </c>
      <c r="Y103">
        <f t="shared" si="2"/>
        <v>1461</v>
      </c>
      <c r="Z103">
        <f t="shared" si="3"/>
        <v>2377</v>
      </c>
    </row>
    <row r="104" spans="1:26" x14ac:dyDescent="0.2">
      <c r="A104" t="s">
        <v>23</v>
      </c>
      <c r="B104" t="s">
        <v>24</v>
      </c>
      <c r="C104" t="s">
        <v>236</v>
      </c>
      <c r="D104" t="s">
        <v>32</v>
      </c>
      <c r="E104" t="s">
        <v>237</v>
      </c>
      <c r="F104">
        <v>8277</v>
      </c>
      <c r="G104">
        <v>0</v>
      </c>
      <c r="H104">
        <v>3865</v>
      </c>
      <c r="I104">
        <v>432</v>
      </c>
      <c r="J104">
        <v>0</v>
      </c>
      <c r="K104">
        <v>145</v>
      </c>
      <c r="L104">
        <v>2857</v>
      </c>
      <c r="M104">
        <v>0</v>
      </c>
      <c r="N104">
        <v>136</v>
      </c>
      <c r="O104">
        <v>74</v>
      </c>
      <c r="P104">
        <v>0</v>
      </c>
      <c r="Q104">
        <v>0</v>
      </c>
      <c r="R104">
        <v>852</v>
      </c>
      <c r="S104">
        <v>79</v>
      </c>
      <c r="T104">
        <v>3551</v>
      </c>
      <c r="U104">
        <v>0</v>
      </c>
      <c r="V104">
        <v>0</v>
      </c>
      <c r="W104">
        <v>713</v>
      </c>
      <c r="X104">
        <f>NHS_AE_2024_2025[[#This Row],[A&amp;E attendances Type 1]]+
NHS_AE_2024_2025[[#This Row],[A&amp;E attendances Type 2]]+
NHS_AE_2024_2025[[#This Row],[A&amp;E attendances Other A&amp;E Department]]</f>
        <v>12142</v>
      </c>
      <c r="Y104">
        <f t="shared" si="2"/>
        <v>2993</v>
      </c>
      <c r="Z104">
        <f t="shared" si="3"/>
        <v>4264</v>
      </c>
    </row>
    <row r="105" spans="1:26" x14ac:dyDescent="0.2">
      <c r="A105" t="s">
        <v>23</v>
      </c>
      <c r="B105" t="s">
        <v>24</v>
      </c>
      <c r="C105" t="s">
        <v>238</v>
      </c>
      <c r="D105" t="s">
        <v>50</v>
      </c>
      <c r="E105" t="s">
        <v>239</v>
      </c>
      <c r="F105">
        <v>11129</v>
      </c>
      <c r="G105">
        <v>389</v>
      </c>
      <c r="H105">
        <v>8439</v>
      </c>
      <c r="I105">
        <v>0</v>
      </c>
      <c r="J105">
        <v>0</v>
      </c>
      <c r="K105">
        <v>26</v>
      </c>
      <c r="L105">
        <v>6306</v>
      </c>
      <c r="M105">
        <v>0</v>
      </c>
      <c r="N105">
        <v>322</v>
      </c>
      <c r="O105">
        <v>0</v>
      </c>
      <c r="P105">
        <v>0</v>
      </c>
      <c r="Q105">
        <v>0</v>
      </c>
      <c r="R105">
        <v>903</v>
      </c>
      <c r="S105">
        <v>859</v>
      </c>
      <c r="T105">
        <v>4468</v>
      </c>
      <c r="U105">
        <v>2</v>
      </c>
      <c r="V105">
        <v>0</v>
      </c>
      <c r="W105">
        <v>1564</v>
      </c>
      <c r="X105">
        <f>NHS_AE_2024_2025[[#This Row],[A&amp;E attendances Type 1]]+
NHS_AE_2024_2025[[#This Row],[A&amp;E attendances Type 2]]+
NHS_AE_2024_2025[[#This Row],[A&amp;E attendances Other A&amp;E Department]]</f>
        <v>19957</v>
      </c>
      <c r="Y105">
        <f t="shared" si="2"/>
        <v>6628</v>
      </c>
      <c r="Z105">
        <f t="shared" si="3"/>
        <v>6034</v>
      </c>
    </row>
    <row r="106" spans="1:26" x14ac:dyDescent="0.2">
      <c r="A106" t="s">
        <v>23</v>
      </c>
      <c r="B106" t="s">
        <v>24</v>
      </c>
      <c r="C106" t="s">
        <v>240</v>
      </c>
      <c r="D106" t="s">
        <v>50</v>
      </c>
      <c r="E106" t="s">
        <v>241</v>
      </c>
      <c r="F106">
        <v>5567</v>
      </c>
      <c r="G106">
        <v>264</v>
      </c>
      <c r="H106">
        <v>13</v>
      </c>
      <c r="I106">
        <v>560</v>
      </c>
      <c r="J106">
        <v>0</v>
      </c>
      <c r="K106">
        <v>0</v>
      </c>
      <c r="L106">
        <v>1916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363</v>
      </c>
      <c r="S106">
        <v>119</v>
      </c>
      <c r="T106">
        <v>1479</v>
      </c>
      <c r="U106">
        <v>0</v>
      </c>
      <c r="V106">
        <v>0</v>
      </c>
      <c r="W106">
        <v>563</v>
      </c>
      <c r="X106">
        <f>NHS_AE_2024_2025[[#This Row],[A&amp;E attendances Type 1]]+
NHS_AE_2024_2025[[#This Row],[A&amp;E attendances Type 2]]+
NHS_AE_2024_2025[[#This Row],[A&amp;E attendances Other A&amp;E Department]]</f>
        <v>5844</v>
      </c>
      <c r="Y106">
        <f t="shared" si="2"/>
        <v>1916</v>
      </c>
      <c r="Z106">
        <f t="shared" si="3"/>
        <v>2042</v>
      </c>
    </row>
    <row r="107" spans="1:26" x14ac:dyDescent="0.2">
      <c r="A107" t="s">
        <v>23</v>
      </c>
      <c r="B107" t="s">
        <v>24</v>
      </c>
      <c r="C107" t="s">
        <v>242</v>
      </c>
      <c r="D107" t="s">
        <v>70</v>
      </c>
      <c r="E107" t="s">
        <v>243</v>
      </c>
      <c r="F107">
        <v>7780</v>
      </c>
      <c r="G107">
        <v>0</v>
      </c>
      <c r="H107">
        <v>5601</v>
      </c>
      <c r="I107">
        <v>622</v>
      </c>
      <c r="J107">
        <v>0</v>
      </c>
      <c r="K107">
        <v>144</v>
      </c>
      <c r="L107">
        <v>3264</v>
      </c>
      <c r="M107">
        <v>0</v>
      </c>
      <c r="N107">
        <v>159</v>
      </c>
      <c r="O107">
        <v>255</v>
      </c>
      <c r="P107">
        <v>0</v>
      </c>
      <c r="Q107">
        <v>0</v>
      </c>
      <c r="R107">
        <v>737</v>
      </c>
      <c r="S107">
        <v>0</v>
      </c>
      <c r="T107">
        <v>2055</v>
      </c>
      <c r="U107">
        <v>0</v>
      </c>
      <c r="V107">
        <v>0</v>
      </c>
      <c r="W107">
        <v>411</v>
      </c>
      <c r="X107">
        <f>NHS_AE_2024_2025[[#This Row],[A&amp;E attendances Type 1]]+
NHS_AE_2024_2025[[#This Row],[A&amp;E attendances Type 2]]+
NHS_AE_2024_2025[[#This Row],[A&amp;E attendances Other A&amp;E Department]]</f>
        <v>13381</v>
      </c>
      <c r="Y107">
        <f t="shared" si="2"/>
        <v>3423</v>
      </c>
      <c r="Z107">
        <f t="shared" si="3"/>
        <v>2466</v>
      </c>
    </row>
    <row r="108" spans="1:26" x14ac:dyDescent="0.2">
      <c r="A108" t="s">
        <v>23</v>
      </c>
      <c r="B108" t="s">
        <v>24</v>
      </c>
      <c r="C108" t="s">
        <v>244</v>
      </c>
      <c r="D108" t="s">
        <v>70</v>
      </c>
      <c r="E108" t="s">
        <v>245</v>
      </c>
      <c r="F108">
        <v>12628</v>
      </c>
      <c r="G108">
        <v>0</v>
      </c>
      <c r="H108">
        <v>4569</v>
      </c>
      <c r="I108">
        <v>821</v>
      </c>
      <c r="J108">
        <v>0</v>
      </c>
      <c r="K108">
        <v>712</v>
      </c>
      <c r="L108">
        <v>5703</v>
      </c>
      <c r="M108">
        <v>0</v>
      </c>
      <c r="N108">
        <v>579</v>
      </c>
      <c r="O108">
        <v>251</v>
      </c>
      <c r="P108">
        <v>0</v>
      </c>
      <c r="Q108">
        <v>87</v>
      </c>
      <c r="R108">
        <v>449</v>
      </c>
      <c r="S108">
        <v>803</v>
      </c>
      <c r="T108">
        <v>3276</v>
      </c>
      <c r="U108">
        <v>0</v>
      </c>
      <c r="V108">
        <v>138</v>
      </c>
      <c r="W108">
        <v>1452</v>
      </c>
      <c r="X108">
        <f>NHS_AE_2024_2025[[#This Row],[A&amp;E attendances Type 1]]+
NHS_AE_2024_2025[[#This Row],[A&amp;E attendances Type 2]]+
NHS_AE_2024_2025[[#This Row],[A&amp;E attendances Other A&amp;E Department]]</f>
        <v>17197</v>
      </c>
      <c r="Y108">
        <f t="shared" si="2"/>
        <v>6282</v>
      </c>
      <c r="Z108">
        <f t="shared" si="3"/>
        <v>4866</v>
      </c>
    </row>
    <row r="109" spans="1:26" x14ac:dyDescent="0.2">
      <c r="A109" t="s">
        <v>23</v>
      </c>
      <c r="B109" t="s">
        <v>24</v>
      </c>
      <c r="C109" t="s">
        <v>246</v>
      </c>
      <c r="D109" t="s">
        <v>70</v>
      </c>
      <c r="E109" t="s">
        <v>247</v>
      </c>
      <c r="F109">
        <v>9929</v>
      </c>
      <c r="G109">
        <v>0</v>
      </c>
      <c r="H109">
        <v>5600</v>
      </c>
      <c r="I109">
        <v>760</v>
      </c>
      <c r="J109">
        <v>0</v>
      </c>
      <c r="K109">
        <v>538</v>
      </c>
      <c r="L109">
        <v>5184</v>
      </c>
      <c r="M109">
        <v>0</v>
      </c>
      <c r="N109">
        <v>74</v>
      </c>
      <c r="O109">
        <v>342</v>
      </c>
      <c r="P109">
        <v>0</v>
      </c>
      <c r="Q109">
        <v>24</v>
      </c>
      <c r="R109">
        <v>547</v>
      </c>
      <c r="S109">
        <v>663</v>
      </c>
      <c r="T109">
        <v>2722</v>
      </c>
      <c r="U109">
        <v>0</v>
      </c>
      <c r="V109">
        <v>38</v>
      </c>
      <c r="W109">
        <v>493</v>
      </c>
      <c r="X109">
        <f>NHS_AE_2024_2025[[#This Row],[A&amp;E attendances Type 1]]+
NHS_AE_2024_2025[[#This Row],[A&amp;E attendances Type 2]]+
NHS_AE_2024_2025[[#This Row],[A&amp;E attendances Other A&amp;E Department]]</f>
        <v>15529</v>
      </c>
      <c r="Y109">
        <f t="shared" si="2"/>
        <v>5258</v>
      </c>
      <c r="Z109">
        <f t="shared" si="3"/>
        <v>3253</v>
      </c>
    </row>
    <row r="110" spans="1:26" x14ac:dyDescent="0.2">
      <c r="A110" t="s">
        <v>23</v>
      </c>
      <c r="B110" t="s">
        <v>24</v>
      </c>
      <c r="C110" t="s">
        <v>248</v>
      </c>
      <c r="D110" t="s">
        <v>55</v>
      </c>
      <c r="E110" t="s">
        <v>249</v>
      </c>
      <c r="F110">
        <v>5133</v>
      </c>
      <c r="G110">
        <v>0</v>
      </c>
      <c r="H110">
        <v>1751</v>
      </c>
      <c r="I110">
        <v>0</v>
      </c>
      <c r="J110">
        <v>0</v>
      </c>
      <c r="K110">
        <v>0</v>
      </c>
      <c r="L110">
        <v>2621</v>
      </c>
      <c r="M110">
        <v>0</v>
      </c>
      <c r="N110">
        <v>147</v>
      </c>
      <c r="O110">
        <v>0</v>
      </c>
      <c r="P110">
        <v>0</v>
      </c>
      <c r="Q110">
        <v>0</v>
      </c>
      <c r="R110">
        <v>344</v>
      </c>
      <c r="S110">
        <v>654</v>
      </c>
      <c r="T110">
        <v>1800</v>
      </c>
      <c r="U110">
        <v>0</v>
      </c>
      <c r="V110">
        <v>0</v>
      </c>
      <c r="W110">
        <v>1250</v>
      </c>
      <c r="X110">
        <f>NHS_AE_2024_2025[[#This Row],[A&amp;E attendances Type 1]]+
NHS_AE_2024_2025[[#This Row],[A&amp;E attendances Type 2]]+
NHS_AE_2024_2025[[#This Row],[A&amp;E attendances Other A&amp;E Department]]</f>
        <v>6884</v>
      </c>
      <c r="Y110">
        <f t="shared" si="2"/>
        <v>2768</v>
      </c>
      <c r="Z110">
        <f t="shared" si="3"/>
        <v>3050</v>
      </c>
    </row>
    <row r="111" spans="1:26" x14ac:dyDescent="0.2">
      <c r="A111" t="s">
        <v>23</v>
      </c>
      <c r="B111" t="s">
        <v>24</v>
      </c>
      <c r="C111" t="s">
        <v>250</v>
      </c>
      <c r="D111" t="s">
        <v>32</v>
      </c>
      <c r="E111" t="s">
        <v>251</v>
      </c>
      <c r="F111">
        <v>10776</v>
      </c>
      <c r="G111">
        <v>0</v>
      </c>
      <c r="H111">
        <v>5411</v>
      </c>
      <c r="I111">
        <v>23</v>
      </c>
      <c r="J111">
        <v>0</v>
      </c>
      <c r="K111">
        <v>144</v>
      </c>
      <c r="L111">
        <v>3917</v>
      </c>
      <c r="M111">
        <v>0</v>
      </c>
      <c r="N111">
        <v>298</v>
      </c>
      <c r="O111">
        <v>5</v>
      </c>
      <c r="P111">
        <v>0</v>
      </c>
      <c r="Q111">
        <v>2</v>
      </c>
      <c r="R111">
        <v>575</v>
      </c>
      <c r="S111">
        <v>140</v>
      </c>
      <c r="T111">
        <v>3383</v>
      </c>
      <c r="U111">
        <v>0</v>
      </c>
      <c r="V111">
        <v>1</v>
      </c>
      <c r="W111">
        <v>340</v>
      </c>
      <c r="X111">
        <f>NHS_AE_2024_2025[[#This Row],[A&amp;E attendances Type 1]]+
NHS_AE_2024_2025[[#This Row],[A&amp;E attendances Type 2]]+
NHS_AE_2024_2025[[#This Row],[A&amp;E attendances Other A&amp;E Department]]</f>
        <v>16187</v>
      </c>
      <c r="Y111">
        <f t="shared" si="2"/>
        <v>4215</v>
      </c>
      <c r="Z111">
        <f t="shared" si="3"/>
        <v>3724</v>
      </c>
    </row>
    <row r="112" spans="1:26" x14ac:dyDescent="0.2">
      <c r="A112" t="s">
        <v>23</v>
      </c>
      <c r="B112" t="s">
        <v>24</v>
      </c>
      <c r="C112" t="s">
        <v>252</v>
      </c>
      <c r="D112" t="s">
        <v>37</v>
      </c>
      <c r="E112" t="s">
        <v>253</v>
      </c>
      <c r="F112">
        <v>12107</v>
      </c>
      <c r="G112">
        <v>153</v>
      </c>
      <c r="H112">
        <v>474</v>
      </c>
      <c r="I112">
        <v>0</v>
      </c>
      <c r="J112">
        <v>0</v>
      </c>
      <c r="K112">
        <v>142</v>
      </c>
      <c r="L112">
        <v>4679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636</v>
      </c>
      <c r="S112">
        <v>37</v>
      </c>
      <c r="T112">
        <v>4274</v>
      </c>
      <c r="U112">
        <v>10</v>
      </c>
      <c r="V112">
        <v>0</v>
      </c>
      <c r="W112">
        <v>1057</v>
      </c>
      <c r="X112">
        <f>NHS_AE_2024_2025[[#This Row],[A&amp;E attendances Type 1]]+
NHS_AE_2024_2025[[#This Row],[A&amp;E attendances Type 2]]+
NHS_AE_2024_2025[[#This Row],[A&amp;E attendances Other A&amp;E Department]]</f>
        <v>12734</v>
      </c>
      <c r="Y112">
        <f t="shared" si="2"/>
        <v>4679</v>
      </c>
      <c r="Z112">
        <f t="shared" si="3"/>
        <v>5341</v>
      </c>
    </row>
    <row r="113" spans="1:26" x14ac:dyDescent="0.2">
      <c r="A113" t="s">
        <v>23</v>
      </c>
      <c r="B113" t="s">
        <v>24</v>
      </c>
      <c r="C113" t="s">
        <v>254</v>
      </c>
      <c r="D113" t="s">
        <v>50</v>
      </c>
      <c r="E113" t="s">
        <v>255</v>
      </c>
      <c r="F113">
        <v>8482</v>
      </c>
      <c r="G113">
        <v>0</v>
      </c>
      <c r="H113">
        <v>1831</v>
      </c>
      <c r="I113">
        <v>376</v>
      </c>
      <c r="J113">
        <v>0</v>
      </c>
      <c r="K113">
        <v>44</v>
      </c>
      <c r="L113">
        <v>3656</v>
      </c>
      <c r="M113">
        <v>0</v>
      </c>
      <c r="N113">
        <v>28</v>
      </c>
      <c r="O113">
        <v>95</v>
      </c>
      <c r="P113">
        <v>0</v>
      </c>
      <c r="Q113">
        <v>1</v>
      </c>
      <c r="R113">
        <v>592</v>
      </c>
      <c r="S113">
        <v>574</v>
      </c>
      <c r="T113">
        <v>2189</v>
      </c>
      <c r="U113">
        <v>0</v>
      </c>
      <c r="V113">
        <v>0</v>
      </c>
      <c r="W113">
        <v>732</v>
      </c>
      <c r="X113">
        <f>NHS_AE_2024_2025[[#This Row],[A&amp;E attendances Type 1]]+
NHS_AE_2024_2025[[#This Row],[A&amp;E attendances Type 2]]+
NHS_AE_2024_2025[[#This Row],[A&amp;E attendances Other A&amp;E Department]]</f>
        <v>10313</v>
      </c>
      <c r="Y113">
        <f t="shared" si="2"/>
        <v>3684</v>
      </c>
      <c r="Z113">
        <f t="shared" si="3"/>
        <v>2921</v>
      </c>
    </row>
    <row r="114" spans="1:26" x14ac:dyDescent="0.2">
      <c r="A114" t="s">
        <v>23</v>
      </c>
      <c r="B114" t="s">
        <v>24</v>
      </c>
      <c r="C114" t="s">
        <v>256</v>
      </c>
      <c r="D114" t="s">
        <v>37</v>
      </c>
      <c r="E114" t="s">
        <v>257</v>
      </c>
      <c r="F114">
        <v>0</v>
      </c>
      <c r="G114">
        <v>0</v>
      </c>
      <c r="H114">
        <v>3874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403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f>NHS_AE_2024_2025[[#This Row],[A&amp;E attendances Type 1]]+
NHS_AE_2024_2025[[#This Row],[A&amp;E attendances Type 2]]+
NHS_AE_2024_2025[[#This Row],[A&amp;E attendances Other A&amp;E Department]]</f>
        <v>3874</v>
      </c>
      <c r="Y114">
        <f t="shared" si="2"/>
        <v>403</v>
      </c>
      <c r="Z114">
        <f t="shared" si="3"/>
        <v>0</v>
      </c>
    </row>
    <row r="115" spans="1:26" x14ac:dyDescent="0.2">
      <c r="A115" t="s">
        <v>23</v>
      </c>
      <c r="B115" t="s">
        <v>24</v>
      </c>
      <c r="C115" t="s">
        <v>258</v>
      </c>
      <c r="D115" t="s">
        <v>50</v>
      </c>
      <c r="E115" t="s">
        <v>259</v>
      </c>
      <c r="F115">
        <v>5637</v>
      </c>
      <c r="G115">
        <v>0</v>
      </c>
      <c r="H115">
        <v>3716</v>
      </c>
      <c r="I115">
        <v>23</v>
      </c>
      <c r="J115">
        <v>0</v>
      </c>
      <c r="K115">
        <v>7</v>
      </c>
      <c r="L115">
        <v>2581</v>
      </c>
      <c r="M115">
        <v>0</v>
      </c>
      <c r="N115">
        <v>55</v>
      </c>
      <c r="O115">
        <v>11</v>
      </c>
      <c r="P115">
        <v>0</v>
      </c>
      <c r="Q115">
        <v>0</v>
      </c>
      <c r="R115">
        <v>989</v>
      </c>
      <c r="S115">
        <v>1</v>
      </c>
      <c r="T115">
        <v>1644</v>
      </c>
      <c r="U115">
        <v>0</v>
      </c>
      <c r="V115">
        <v>0</v>
      </c>
      <c r="W115">
        <v>803</v>
      </c>
      <c r="X115">
        <f>NHS_AE_2024_2025[[#This Row],[A&amp;E attendances Type 1]]+
NHS_AE_2024_2025[[#This Row],[A&amp;E attendances Type 2]]+
NHS_AE_2024_2025[[#This Row],[A&amp;E attendances Other A&amp;E Department]]</f>
        <v>9353</v>
      </c>
      <c r="Y115">
        <f t="shared" si="2"/>
        <v>2636</v>
      </c>
      <c r="Z115">
        <f t="shared" si="3"/>
        <v>2447</v>
      </c>
    </row>
    <row r="116" spans="1:26" x14ac:dyDescent="0.2">
      <c r="A116" t="s">
        <v>23</v>
      </c>
      <c r="B116" t="s">
        <v>24</v>
      </c>
      <c r="C116" t="s">
        <v>260</v>
      </c>
      <c r="D116" t="s">
        <v>37</v>
      </c>
      <c r="E116" t="s">
        <v>261</v>
      </c>
      <c r="F116">
        <v>9838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3220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630</v>
      </c>
      <c r="S116">
        <v>172</v>
      </c>
      <c r="T116">
        <v>3140</v>
      </c>
      <c r="U116">
        <v>0</v>
      </c>
      <c r="V116">
        <v>0</v>
      </c>
      <c r="W116">
        <v>604</v>
      </c>
      <c r="X116">
        <f>NHS_AE_2024_2025[[#This Row],[A&amp;E attendances Type 1]]+
NHS_AE_2024_2025[[#This Row],[A&amp;E attendances Type 2]]+
NHS_AE_2024_2025[[#This Row],[A&amp;E attendances Other A&amp;E Department]]</f>
        <v>9838</v>
      </c>
      <c r="Y116">
        <f t="shared" si="2"/>
        <v>3220</v>
      </c>
      <c r="Z116">
        <f t="shared" si="3"/>
        <v>3744</v>
      </c>
    </row>
    <row r="117" spans="1:26" x14ac:dyDescent="0.2">
      <c r="A117" t="s">
        <v>23</v>
      </c>
      <c r="B117" t="s">
        <v>24</v>
      </c>
      <c r="C117" t="s">
        <v>262</v>
      </c>
      <c r="D117" t="s">
        <v>26</v>
      </c>
      <c r="E117" t="s">
        <v>263</v>
      </c>
      <c r="F117">
        <v>0</v>
      </c>
      <c r="G117">
        <v>0</v>
      </c>
      <c r="H117">
        <v>6718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34</v>
      </c>
      <c r="X117">
        <f>NHS_AE_2024_2025[[#This Row],[A&amp;E attendances Type 1]]+
NHS_AE_2024_2025[[#This Row],[A&amp;E attendances Type 2]]+
NHS_AE_2024_2025[[#This Row],[A&amp;E attendances Other A&amp;E Department]]</f>
        <v>6718</v>
      </c>
      <c r="Y117">
        <f t="shared" si="2"/>
        <v>32</v>
      </c>
      <c r="Z117">
        <f t="shared" si="3"/>
        <v>34</v>
      </c>
    </row>
    <row r="118" spans="1:26" x14ac:dyDescent="0.2">
      <c r="A118" t="s">
        <v>23</v>
      </c>
      <c r="B118" t="s">
        <v>24</v>
      </c>
      <c r="C118" t="s">
        <v>264</v>
      </c>
      <c r="D118" t="s">
        <v>50</v>
      </c>
      <c r="E118" t="s">
        <v>265</v>
      </c>
      <c r="F118">
        <v>8942</v>
      </c>
      <c r="G118">
        <v>0</v>
      </c>
      <c r="H118">
        <v>4632</v>
      </c>
      <c r="I118">
        <v>0</v>
      </c>
      <c r="J118">
        <v>0</v>
      </c>
      <c r="K118">
        <v>0</v>
      </c>
      <c r="L118">
        <v>5108</v>
      </c>
      <c r="M118">
        <v>0</v>
      </c>
      <c r="N118">
        <v>382</v>
      </c>
      <c r="O118">
        <v>0</v>
      </c>
      <c r="P118">
        <v>0</v>
      </c>
      <c r="Q118">
        <v>0</v>
      </c>
      <c r="R118">
        <v>1032</v>
      </c>
      <c r="S118">
        <v>413</v>
      </c>
      <c r="T118">
        <v>3458</v>
      </c>
      <c r="U118">
        <v>0</v>
      </c>
      <c r="V118">
        <v>0</v>
      </c>
      <c r="W118">
        <v>1903</v>
      </c>
      <c r="X118">
        <f>NHS_AE_2024_2025[[#This Row],[A&amp;E attendances Type 1]]+
NHS_AE_2024_2025[[#This Row],[A&amp;E attendances Type 2]]+
NHS_AE_2024_2025[[#This Row],[A&amp;E attendances Other A&amp;E Department]]</f>
        <v>13574</v>
      </c>
      <c r="Y118">
        <f t="shared" si="2"/>
        <v>5490</v>
      </c>
      <c r="Z118">
        <f t="shared" si="3"/>
        <v>5361</v>
      </c>
    </row>
    <row r="119" spans="1:26" x14ac:dyDescent="0.2">
      <c r="A119" t="s">
        <v>23</v>
      </c>
      <c r="B119" t="s">
        <v>24</v>
      </c>
      <c r="C119" t="s">
        <v>266</v>
      </c>
      <c r="D119" t="s">
        <v>32</v>
      </c>
      <c r="E119" t="s">
        <v>267</v>
      </c>
      <c r="F119">
        <v>21378</v>
      </c>
      <c r="G119">
        <v>1812</v>
      </c>
      <c r="H119">
        <v>0</v>
      </c>
      <c r="I119">
        <v>0</v>
      </c>
      <c r="J119">
        <v>0</v>
      </c>
      <c r="K119">
        <v>0</v>
      </c>
      <c r="L119">
        <v>8850</v>
      </c>
      <c r="M119">
        <v>78</v>
      </c>
      <c r="N119">
        <v>0</v>
      </c>
      <c r="O119">
        <v>0</v>
      </c>
      <c r="P119">
        <v>0</v>
      </c>
      <c r="Q119">
        <v>0</v>
      </c>
      <c r="R119">
        <v>1558</v>
      </c>
      <c r="S119">
        <v>839</v>
      </c>
      <c r="T119">
        <v>6179</v>
      </c>
      <c r="U119">
        <v>3</v>
      </c>
      <c r="V119">
        <v>0</v>
      </c>
      <c r="W119">
        <v>3480</v>
      </c>
      <c r="X119">
        <f>NHS_AE_2024_2025[[#This Row],[A&amp;E attendances Type 1]]+
NHS_AE_2024_2025[[#This Row],[A&amp;E attendances Type 2]]+
NHS_AE_2024_2025[[#This Row],[A&amp;E attendances Other A&amp;E Department]]</f>
        <v>23190</v>
      </c>
      <c r="Y119">
        <f t="shared" si="2"/>
        <v>8928</v>
      </c>
      <c r="Z119">
        <f t="shared" si="3"/>
        <v>9662</v>
      </c>
    </row>
    <row r="120" spans="1:26" x14ac:dyDescent="0.2">
      <c r="A120" t="s">
        <v>23</v>
      </c>
      <c r="B120" t="s">
        <v>24</v>
      </c>
      <c r="C120" t="s">
        <v>268</v>
      </c>
      <c r="D120" t="s">
        <v>37</v>
      </c>
      <c r="E120" t="s">
        <v>269</v>
      </c>
      <c r="F120">
        <v>17938</v>
      </c>
      <c r="G120">
        <v>0</v>
      </c>
      <c r="H120">
        <v>2136</v>
      </c>
      <c r="I120">
        <v>718</v>
      </c>
      <c r="J120">
        <v>0</v>
      </c>
      <c r="K120">
        <v>172</v>
      </c>
      <c r="L120">
        <v>3182</v>
      </c>
      <c r="M120">
        <v>0</v>
      </c>
      <c r="N120">
        <v>25</v>
      </c>
      <c r="O120">
        <v>77</v>
      </c>
      <c r="P120">
        <v>0</v>
      </c>
      <c r="Q120">
        <v>1</v>
      </c>
      <c r="R120">
        <v>941</v>
      </c>
      <c r="S120">
        <v>9</v>
      </c>
      <c r="T120">
        <v>5320</v>
      </c>
      <c r="U120">
        <v>0</v>
      </c>
      <c r="V120">
        <v>0</v>
      </c>
      <c r="W120">
        <v>995</v>
      </c>
      <c r="X120">
        <f>NHS_AE_2024_2025[[#This Row],[A&amp;E attendances Type 1]]+
NHS_AE_2024_2025[[#This Row],[A&amp;E attendances Type 2]]+
NHS_AE_2024_2025[[#This Row],[A&amp;E attendances Other A&amp;E Department]]</f>
        <v>20074</v>
      </c>
      <c r="Y120">
        <f t="shared" si="2"/>
        <v>3207</v>
      </c>
      <c r="Z120">
        <f t="shared" si="3"/>
        <v>6315</v>
      </c>
    </row>
    <row r="121" spans="1:26" x14ac:dyDescent="0.2">
      <c r="A121" t="s">
        <v>23</v>
      </c>
      <c r="B121" t="s">
        <v>24</v>
      </c>
      <c r="C121" t="s">
        <v>270</v>
      </c>
      <c r="D121" t="s">
        <v>32</v>
      </c>
      <c r="E121" t="s">
        <v>271</v>
      </c>
      <c r="F121">
        <v>14441</v>
      </c>
      <c r="G121">
        <v>1125</v>
      </c>
      <c r="H121">
        <v>8898</v>
      </c>
      <c r="I121">
        <v>999</v>
      </c>
      <c r="J121">
        <v>0</v>
      </c>
      <c r="K121">
        <v>0</v>
      </c>
      <c r="L121">
        <v>6807</v>
      </c>
      <c r="M121">
        <v>123</v>
      </c>
      <c r="N121">
        <v>296</v>
      </c>
      <c r="O121">
        <v>234</v>
      </c>
      <c r="P121">
        <v>0</v>
      </c>
      <c r="Q121">
        <v>0</v>
      </c>
      <c r="R121">
        <v>1567</v>
      </c>
      <c r="S121">
        <v>409</v>
      </c>
      <c r="T121">
        <v>2695</v>
      </c>
      <c r="U121">
        <v>0</v>
      </c>
      <c r="V121">
        <v>0</v>
      </c>
      <c r="W121">
        <v>291</v>
      </c>
      <c r="X121">
        <f>NHS_AE_2024_2025[[#This Row],[A&amp;E attendances Type 1]]+
NHS_AE_2024_2025[[#This Row],[A&amp;E attendances Type 2]]+
NHS_AE_2024_2025[[#This Row],[A&amp;E attendances Other A&amp;E Department]]</f>
        <v>24464</v>
      </c>
      <c r="Y121">
        <f t="shared" si="2"/>
        <v>7226</v>
      </c>
      <c r="Z121">
        <f t="shared" si="3"/>
        <v>2986</v>
      </c>
    </row>
    <row r="122" spans="1:26" x14ac:dyDescent="0.2">
      <c r="A122" t="s">
        <v>23</v>
      </c>
      <c r="B122" t="s">
        <v>24</v>
      </c>
      <c r="C122" t="s">
        <v>272</v>
      </c>
      <c r="D122" t="s">
        <v>32</v>
      </c>
      <c r="E122" t="s">
        <v>273</v>
      </c>
      <c r="F122">
        <v>10713</v>
      </c>
      <c r="G122">
        <v>0</v>
      </c>
      <c r="H122">
        <v>2246</v>
      </c>
      <c r="I122">
        <v>0</v>
      </c>
      <c r="J122">
        <v>0</v>
      </c>
      <c r="K122">
        <v>0</v>
      </c>
      <c r="L122">
        <v>6164</v>
      </c>
      <c r="M122">
        <v>0</v>
      </c>
      <c r="N122">
        <v>328</v>
      </c>
      <c r="O122">
        <v>0</v>
      </c>
      <c r="P122">
        <v>0</v>
      </c>
      <c r="Q122">
        <v>0</v>
      </c>
      <c r="R122">
        <v>452</v>
      </c>
      <c r="S122">
        <v>579</v>
      </c>
      <c r="T122">
        <v>3008</v>
      </c>
      <c r="U122">
        <v>0</v>
      </c>
      <c r="V122">
        <v>45</v>
      </c>
      <c r="W122">
        <v>2088</v>
      </c>
      <c r="X122">
        <f>NHS_AE_2024_2025[[#This Row],[A&amp;E attendances Type 1]]+
NHS_AE_2024_2025[[#This Row],[A&amp;E attendances Type 2]]+
NHS_AE_2024_2025[[#This Row],[A&amp;E attendances Other A&amp;E Department]]</f>
        <v>12959</v>
      </c>
      <c r="Y122">
        <f t="shared" si="2"/>
        <v>6492</v>
      </c>
      <c r="Z122">
        <f t="shared" si="3"/>
        <v>5141</v>
      </c>
    </row>
    <row r="123" spans="1:26" x14ac:dyDescent="0.2">
      <c r="A123" t="s">
        <v>23</v>
      </c>
      <c r="B123" t="s">
        <v>24</v>
      </c>
      <c r="C123" t="s">
        <v>274</v>
      </c>
      <c r="D123" t="s">
        <v>32</v>
      </c>
      <c r="E123" t="s">
        <v>275</v>
      </c>
      <c r="F123">
        <v>0</v>
      </c>
      <c r="G123">
        <v>0</v>
      </c>
      <c r="H123">
        <v>8628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213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f>NHS_AE_2024_2025[[#This Row],[A&amp;E attendances Type 1]]+
NHS_AE_2024_2025[[#This Row],[A&amp;E attendances Type 2]]+
NHS_AE_2024_2025[[#This Row],[A&amp;E attendances Other A&amp;E Department]]</f>
        <v>8628</v>
      </c>
      <c r="Y123">
        <f t="shared" si="2"/>
        <v>213</v>
      </c>
      <c r="Z123">
        <f t="shared" si="3"/>
        <v>0</v>
      </c>
    </row>
    <row r="124" spans="1:26" x14ac:dyDescent="0.2">
      <c r="A124" t="s">
        <v>23</v>
      </c>
      <c r="B124" t="s">
        <v>24</v>
      </c>
      <c r="C124" t="s">
        <v>276</v>
      </c>
      <c r="D124" t="s">
        <v>37</v>
      </c>
      <c r="E124" t="s">
        <v>277</v>
      </c>
      <c r="F124">
        <v>21306</v>
      </c>
      <c r="G124">
        <v>1559</v>
      </c>
      <c r="H124">
        <v>4897</v>
      </c>
      <c r="I124">
        <v>1308</v>
      </c>
      <c r="J124">
        <v>0</v>
      </c>
      <c r="K124">
        <v>1095</v>
      </c>
      <c r="L124">
        <v>9621</v>
      </c>
      <c r="M124">
        <v>48</v>
      </c>
      <c r="N124">
        <v>478</v>
      </c>
      <c r="O124">
        <v>463</v>
      </c>
      <c r="P124">
        <v>0</v>
      </c>
      <c r="Q124">
        <v>27</v>
      </c>
      <c r="R124">
        <v>1533</v>
      </c>
      <c r="S124">
        <v>1394</v>
      </c>
      <c r="T124">
        <v>7759</v>
      </c>
      <c r="U124">
        <v>24</v>
      </c>
      <c r="V124">
        <v>30</v>
      </c>
      <c r="W124">
        <v>1490</v>
      </c>
      <c r="X124">
        <f>NHS_AE_2024_2025[[#This Row],[A&amp;E attendances Type 1]]+
NHS_AE_2024_2025[[#This Row],[A&amp;E attendances Type 2]]+
NHS_AE_2024_2025[[#This Row],[A&amp;E attendances Other A&amp;E Department]]</f>
        <v>27762</v>
      </c>
      <c r="Y124">
        <f t="shared" si="2"/>
        <v>10147</v>
      </c>
      <c r="Z124">
        <f t="shared" si="3"/>
        <v>9303</v>
      </c>
    </row>
    <row r="125" spans="1:26" x14ac:dyDescent="0.2">
      <c r="A125" t="s">
        <v>23</v>
      </c>
      <c r="B125" t="s">
        <v>24</v>
      </c>
      <c r="C125" t="s">
        <v>278</v>
      </c>
      <c r="D125" t="s">
        <v>32</v>
      </c>
      <c r="E125" t="s">
        <v>279</v>
      </c>
      <c r="F125">
        <v>0</v>
      </c>
      <c r="G125">
        <v>0</v>
      </c>
      <c r="H125">
        <v>296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f>NHS_AE_2024_2025[[#This Row],[A&amp;E attendances Type 1]]+
NHS_AE_2024_2025[[#This Row],[A&amp;E attendances Type 2]]+
NHS_AE_2024_2025[[#This Row],[A&amp;E attendances Other A&amp;E Department]]</f>
        <v>296</v>
      </c>
      <c r="Y125">
        <f t="shared" si="2"/>
        <v>0</v>
      </c>
      <c r="Z125">
        <f t="shared" si="3"/>
        <v>0</v>
      </c>
    </row>
    <row r="126" spans="1:26" x14ac:dyDescent="0.2">
      <c r="A126" t="s">
        <v>23</v>
      </c>
      <c r="B126" t="s">
        <v>24</v>
      </c>
      <c r="C126" t="s">
        <v>280</v>
      </c>
      <c r="D126" t="s">
        <v>50</v>
      </c>
      <c r="E126" t="s">
        <v>281</v>
      </c>
      <c r="F126">
        <v>0</v>
      </c>
      <c r="G126">
        <v>0</v>
      </c>
      <c r="H126">
        <v>3849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908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f>NHS_AE_2024_2025[[#This Row],[A&amp;E attendances Type 1]]+
NHS_AE_2024_2025[[#This Row],[A&amp;E attendances Type 2]]+
NHS_AE_2024_2025[[#This Row],[A&amp;E attendances Other A&amp;E Department]]</f>
        <v>3849</v>
      </c>
      <c r="Y126">
        <f t="shared" si="2"/>
        <v>908</v>
      </c>
      <c r="Z126">
        <f t="shared" si="3"/>
        <v>0</v>
      </c>
    </row>
    <row r="127" spans="1:26" x14ac:dyDescent="0.2">
      <c r="A127" t="s">
        <v>23</v>
      </c>
      <c r="B127" t="s">
        <v>24</v>
      </c>
      <c r="C127" t="s">
        <v>282</v>
      </c>
      <c r="D127" t="s">
        <v>50</v>
      </c>
      <c r="E127" t="s">
        <v>283</v>
      </c>
      <c r="F127">
        <v>0</v>
      </c>
      <c r="G127">
        <v>0</v>
      </c>
      <c r="H127">
        <v>2787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315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f>NHS_AE_2024_2025[[#This Row],[A&amp;E attendances Type 1]]+
NHS_AE_2024_2025[[#This Row],[A&amp;E attendances Type 2]]+
NHS_AE_2024_2025[[#This Row],[A&amp;E attendances Other A&amp;E Department]]</f>
        <v>2787</v>
      </c>
      <c r="Y127">
        <f t="shared" si="2"/>
        <v>315</v>
      </c>
      <c r="Z127">
        <f t="shared" si="3"/>
        <v>0</v>
      </c>
    </row>
    <row r="128" spans="1:26" x14ac:dyDescent="0.2">
      <c r="A128" t="s">
        <v>23</v>
      </c>
      <c r="B128" t="s">
        <v>24</v>
      </c>
      <c r="C128" t="s">
        <v>284</v>
      </c>
      <c r="D128" t="s">
        <v>50</v>
      </c>
      <c r="E128" t="s">
        <v>285</v>
      </c>
      <c r="F128">
        <v>0</v>
      </c>
      <c r="G128">
        <v>0</v>
      </c>
      <c r="H128">
        <v>1577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f>NHS_AE_2024_2025[[#This Row],[A&amp;E attendances Type 1]]+
NHS_AE_2024_2025[[#This Row],[A&amp;E attendances Type 2]]+
NHS_AE_2024_2025[[#This Row],[A&amp;E attendances Other A&amp;E Department]]</f>
        <v>1577</v>
      </c>
      <c r="Y128">
        <f t="shared" si="2"/>
        <v>13</v>
      </c>
      <c r="Z128">
        <f t="shared" si="3"/>
        <v>0</v>
      </c>
    </row>
    <row r="129" spans="1:26" x14ac:dyDescent="0.2">
      <c r="A129" t="s">
        <v>23</v>
      </c>
      <c r="B129" t="s">
        <v>24</v>
      </c>
      <c r="C129" t="s">
        <v>286</v>
      </c>
      <c r="D129" t="s">
        <v>37</v>
      </c>
      <c r="E129" t="s">
        <v>287</v>
      </c>
      <c r="F129">
        <v>4088</v>
      </c>
      <c r="G129">
        <v>0</v>
      </c>
      <c r="H129">
        <v>2006</v>
      </c>
      <c r="I129">
        <v>22</v>
      </c>
      <c r="J129">
        <v>0</v>
      </c>
      <c r="K129">
        <v>26</v>
      </c>
      <c r="L129">
        <v>1779</v>
      </c>
      <c r="M129">
        <v>0</v>
      </c>
      <c r="N129">
        <v>1</v>
      </c>
      <c r="O129">
        <v>10</v>
      </c>
      <c r="P129">
        <v>0</v>
      </c>
      <c r="Q129">
        <v>0</v>
      </c>
      <c r="R129">
        <v>185</v>
      </c>
      <c r="S129">
        <v>50</v>
      </c>
      <c r="T129">
        <v>1089</v>
      </c>
      <c r="U129">
        <v>0</v>
      </c>
      <c r="V129">
        <v>0</v>
      </c>
      <c r="W129">
        <v>249</v>
      </c>
      <c r="X129">
        <f>NHS_AE_2024_2025[[#This Row],[A&amp;E attendances Type 1]]+
NHS_AE_2024_2025[[#This Row],[A&amp;E attendances Type 2]]+
NHS_AE_2024_2025[[#This Row],[A&amp;E attendances Other A&amp;E Department]]</f>
        <v>6094</v>
      </c>
      <c r="Y129">
        <f t="shared" si="2"/>
        <v>1780</v>
      </c>
      <c r="Z129">
        <f t="shared" si="3"/>
        <v>1338</v>
      </c>
    </row>
    <row r="130" spans="1:26" x14ac:dyDescent="0.2">
      <c r="A130" t="s">
        <v>23</v>
      </c>
      <c r="B130" t="s">
        <v>24</v>
      </c>
      <c r="C130" t="s">
        <v>288</v>
      </c>
      <c r="D130" t="s">
        <v>29</v>
      </c>
      <c r="E130" t="s">
        <v>289</v>
      </c>
      <c r="F130">
        <v>12755</v>
      </c>
      <c r="G130">
        <v>0</v>
      </c>
      <c r="H130">
        <v>14697</v>
      </c>
      <c r="I130">
        <v>0</v>
      </c>
      <c r="J130">
        <v>0</v>
      </c>
      <c r="K130">
        <v>0</v>
      </c>
      <c r="L130">
        <v>6154</v>
      </c>
      <c r="M130">
        <v>0</v>
      </c>
      <c r="N130">
        <v>181</v>
      </c>
      <c r="O130">
        <v>0</v>
      </c>
      <c r="P130">
        <v>0</v>
      </c>
      <c r="Q130">
        <v>0</v>
      </c>
      <c r="R130">
        <v>673</v>
      </c>
      <c r="S130">
        <v>686</v>
      </c>
      <c r="T130">
        <v>6513</v>
      </c>
      <c r="U130">
        <v>0</v>
      </c>
      <c r="V130">
        <v>0</v>
      </c>
      <c r="W130">
        <v>435</v>
      </c>
      <c r="X130">
        <f>NHS_AE_2024_2025[[#This Row],[A&amp;E attendances Type 1]]+
NHS_AE_2024_2025[[#This Row],[A&amp;E attendances Type 2]]+
NHS_AE_2024_2025[[#This Row],[A&amp;E attendances Other A&amp;E Department]]</f>
        <v>27452</v>
      </c>
      <c r="Y130">
        <f t="shared" ref="Y130:Y193" si="4">L130+M130+N130</f>
        <v>6335</v>
      </c>
      <c r="Z130">
        <f t="shared" ref="Z130:Z193" si="5">T130+U130+V130+W130</f>
        <v>6948</v>
      </c>
    </row>
    <row r="131" spans="1:26" x14ac:dyDescent="0.2">
      <c r="A131" t="s">
        <v>23</v>
      </c>
      <c r="B131" t="s">
        <v>24</v>
      </c>
      <c r="C131" t="s">
        <v>290</v>
      </c>
      <c r="D131" t="s">
        <v>29</v>
      </c>
      <c r="E131" t="s">
        <v>291</v>
      </c>
      <c r="F131">
        <v>7727</v>
      </c>
      <c r="G131">
        <v>516</v>
      </c>
      <c r="H131">
        <v>7501</v>
      </c>
      <c r="I131">
        <v>83</v>
      </c>
      <c r="J131">
        <v>1</v>
      </c>
      <c r="K131">
        <v>102</v>
      </c>
      <c r="L131">
        <v>4606</v>
      </c>
      <c r="M131">
        <v>1</v>
      </c>
      <c r="N131">
        <v>911</v>
      </c>
      <c r="O131">
        <v>44</v>
      </c>
      <c r="P131">
        <v>0</v>
      </c>
      <c r="Q131">
        <v>14</v>
      </c>
      <c r="R131">
        <v>199</v>
      </c>
      <c r="S131">
        <v>834</v>
      </c>
      <c r="T131">
        <v>1515</v>
      </c>
      <c r="U131">
        <v>0</v>
      </c>
      <c r="V131">
        <v>0</v>
      </c>
      <c r="W131">
        <v>169</v>
      </c>
      <c r="X131">
        <f>NHS_AE_2024_2025[[#This Row],[A&amp;E attendances Type 1]]+
NHS_AE_2024_2025[[#This Row],[A&amp;E attendances Type 2]]+
NHS_AE_2024_2025[[#This Row],[A&amp;E attendances Other A&amp;E Department]]</f>
        <v>15744</v>
      </c>
      <c r="Y131">
        <f t="shared" si="4"/>
        <v>5518</v>
      </c>
      <c r="Z131">
        <f t="shared" si="5"/>
        <v>1684</v>
      </c>
    </row>
    <row r="132" spans="1:26" x14ac:dyDescent="0.2">
      <c r="A132" t="s">
        <v>23</v>
      </c>
      <c r="B132" t="s">
        <v>24</v>
      </c>
      <c r="C132" t="s">
        <v>292</v>
      </c>
      <c r="D132" t="s">
        <v>55</v>
      </c>
      <c r="E132" t="s">
        <v>293</v>
      </c>
      <c r="F132">
        <v>6991</v>
      </c>
      <c r="G132">
        <v>0</v>
      </c>
      <c r="H132">
        <v>2496</v>
      </c>
      <c r="I132">
        <v>158</v>
      </c>
      <c r="J132">
        <v>0</v>
      </c>
      <c r="K132">
        <v>83</v>
      </c>
      <c r="L132">
        <v>3897</v>
      </c>
      <c r="M132">
        <v>0</v>
      </c>
      <c r="N132">
        <v>31</v>
      </c>
      <c r="O132">
        <v>35</v>
      </c>
      <c r="P132">
        <v>0</v>
      </c>
      <c r="Q132">
        <v>0</v>
      </c>
      <c r="R132">
        <v>764</v>
      </c>
      <c r="S132">
        <v>398</v>
      </c>
      <c r="T132">
        <v>2453</v>
      </c>
      <c r="U132">
        <v>0</v>
      </c>
      <c r="V132">
        <v>0</v>
      </c>
      <c r="W132">
        <v>1025</v>
      </c>
      <c r="X132">
        <f>NHS_AE_2024_2025[[#This Row],[A&amp;E attendances Type 1]]+
NHS_AE_2024_2025[[#This Row],[A&amp;E attendances Type 2]]+
NHS_AE_2024_2025[[#This Row],[A&amp;E attendances Other A&amp;E Department]]</f>
        <v>9487</v>
      </c>
      <c r="Y132">
        <f t="shared" si="4"/>
        <v>3928</v>
      </c>
      <c r="Z132">
        <f t="shared" si="5"/>
        <v>3478</v>
      </c>
    </row>
    <row r="133" spans="1:26" x14ac:dyDescent="0.2">
      <c r="A133" t="s">
        <v>23</v>
      </c>
      <c r="B133" t="s">
        <v>24</v>
      </c>
      <c r="C133" t="s">
        <v>294</v>
      </c>
      <c r="D133" t="s">
        <v>70</v>
      </c>
      <c r="E133" t="s">
        <v>295</v>
      </c>
      <c r="F133">
        <v>15343</v>
      </c>
      <c r="G133">
        <v>0</v>
      </c>
      <c r="H133">
        <v>7895</v>
      </c>
      <c r="I133">
        <v>0</v>
      </c>
      <c r="J133">
        <v>0</v>
      </c>
      <c r="K133">
        <v>1029</v>
      </c>
      <c r="L133">
        <v>6075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80</v>
      </c>
      <c r="S133">
        <v>22</v>
      </c>
      <c r="T133">
        <v>4589</v>
      </c>
      <c r="U133">
        <v>0</v>
      </c>
      <c r="V133">
        <v>0</v>
      </c>
      <c r="W133">
        <v>2122</v>
      </c>
      <c r="X133">
        <f>NHS_AE_2024_2025[[#This Row],[A&amp;E attendances Type 1]]+
NHS_AE_2024_2025[[#This Row],[A&amp;E attendances Type 2]]+
NHS_AE_2024_2025[[#This Row],[A&amp;E attendances Other A&amp;E Department]]</f>
        <v>23238</v>
      </c>
      <c r="Y133">
        <f t="shared" si="4"/>
        <v>6075</v>
      </c>
      <c r="Z133">
        <f t="shared" si="5"/>
        <v>6711</v>
      </c>
    </row>
    <row r="134" spans="1:26" x14ac:dyDescent="0.2">
      <c r="A134" t="s">
        <v>23</v>
      </c>
      <c r="B134" t="s">
        <v>24</v>
      </c>
      <c r="C134" t="s">
        <v>296</v>
      </c>
      <c r="D134" t="s">
        <v>70</v>
      </c>
      <c r="E134" t="s">
        <v>297</v>
      </c>
      <c r="F134">
        <v>14264</v>
      </c>
      <c r="G134">
        <v>0</v>
      </c>
      <c r="H134">
        <v>12449</v>
      </c>
      <c r="I134">
        <v>814</v>
      </c>
      <c r="J134">
        <v>0</v>
      </c>
      <c r="K134">
        <v>273</v>
      </c>
      <c r="L134">
        <v>5880</v>
      </c>
      <c r="M134">
        <v>0</v>
      </c>
      <c r="N134">
        <v>172</v>
      </c>
      <c r="O134">
        <v>0</v>
      </c>
      <c r="P134">
        <v>0</v>
      </c>
      <c r="Q134">
        <v>0</v>
      </c>
      <c r="R134">
        <v>1051</v>
      </c>
      <c r="S134">
        <v>353</v>
      </c>
      <c r="T134">
        <v>6088</v>
      </c>
      <c r="U134">
        <v>0</v>
      </c>
      <c r="V134">
        <v>331</v>
      </c>
      <c r="W134">
        <v>985</v>
      </c>
      <c r="X134">
        <f>NHS_AE_2024_2025[[#This Row],[A&amp;E attendances Type 1]]+
NHS_AE_2024_2025[[#This Row],[A&amp;E attendances Type 2]]+
NHS_AE_2024_2025[[#This Row],[A&amp;E attendances Other A&amp;E Department]]</f>
        <v>26713</v>
      </c>
      <c r="Y134">
        <f t="shared" si="4"/>
        <v>6052</v>
      </c>
      <c r="Z134">
        <f t="shared" si="5"/>
        <v>7404</v>
      </c>
    </row>
    <row r="135" spans="1:26" x14ac:dyDescent="0.2">
      <c r="A135" t="s">
        <v>23</v>
      </c>
      <c r="B135" t="s">
        <v>24</v>
      </c>
      <c r="C135" t="s">
        <v>298</v>
      </c>
      <c r="D135" t="s">
        <v>32</v>
      </c>
      <c r="E135" t="s">
        <v>299</v>
      </c>
      <c r="F135">
        <v>6813</v>
      </c>
      <c r="G135">
        <v>0</v>
      </c>
      <c r="H135">
        <v>1469</v>
      </c>
      <c r="I135">
        <v>270</v>
      </c>
      <c r="J135">
        <v>0</v>
      </c>
      <c r="K135">
        <v>90</v>
      </c>
      <c r="L135">
        <v>2969</v>
      </c>
      <c r="M135">
        <v>0</v>
      </c>
      <c r="N135">
        <v>202</v>
      </c>
      <c r="O135">
        <v>99</v>
      </c>
      <c r="P135">
        <v>0</v>
      </c>
      <c r="Q135">
        <v>3</v>
      </c>
      <c r="R135">
        <v>894</v>
      </c>
      <c r="S135">
        <v>142</v>
      </c>
      <c r="T135">
        <v>2739</v>
      </c>
      <c r="U135">
        <v>0</v>
      </c>
      <c r="V135">
        <v>246</v>
      </c>
      <c r="W135">
        <v>620</v>
      </c>
      <c r="X135">
        <f>NHS_AE_2024_2025[[#This Row],[A&amp;E attendances Type 1]]+
NHS_AE_2024_2025[[#This Row],[A&amp;E attendances Type 2]]+
NHS_AE_2024_2025[[#This Row],[A&amp;E attendances Other A&amp;E Department]]</f>
        <v>8282</v>
      </c>
      <c r="Y135">
        <f t="shared" si="4"/>
        <v>3171</v>
      </c>
      <c r="Z135">
        <f t="shared" si="5"/>
        <v>3605</v>
      </c>
    </row>
    <row r="136" spans="1:26" x14ac:dyDescent="0.2">
      <c r="A136" t="s">
        <v>23</v>
      </c>
      <c r="B136" t="s">
        <v>24</v>
      </c>
      <c r="C136" t="s">
        <v>300</v>
      </c>
      <c r="D136" t="s">
        <v>37</v>
      </c>
      <c r="E136" t="s">
        <v>301</v>
      </c>
      <c r="F136">
        <v>11282</v>
      </c>
      <c r="G136">
        <v>1347</v>
      </c>
      <c r="H136">
        <v>0</v>
      </c>
      <c r="I136">
        <v>182</v>
      </c>
      <c r="J136">
        <v>0</v>
      </c>
      <c r="K136">
        <v>0</v>
      </c>
      <c r="L136">
        <v>3842</v>
      </c>
      <c r="M136">
        <v>70</v>
      </c>
      <c r="N136">
        <v>0</v>
      </c>
      <c r="O136">
        <v>52</v>
      </c>
      <c r="P136">
        <v>0</v>
      </c>
      <c r="Q136">
        <v>0</v>
      </c>
      <c r="R136">
        <v>387</v>
      </c>
      <c r="S136">
        <v>13</v>
      </c>
      <c r="T136">
        <v>3574</v>
      </c>
      <c r="U136">
        <v>9</v>
      </c>
      <c r="V136">
        <v>0</v>
      </c>
      <c r="W136">
        <v>1552</v>
      </c>
      <c r="X136">
        <f>NHS_AE_2024_2025[[#This Row],[A&amp;E attendances Type 1]]+
NHS_AE_2024_2025[[#This Row],[A&amp;E attendances Type 2]]+
NHS_AE_2024_2025[[#This Row],[A&amp;E attendances Other A&amp;E Department]]</f>
        <v>12629</v>
      </c>
      <c r="Y136">
        <f t="shared" si="4"/>
        <v>3912</v>
      </c>
      <c r="Z136">
        <f t="shared" si="5"/>
        <v>5135</v>
      </c>
    </row>
    <row r="137" spans="1:26" x14ac:dyDescent="0.2">
      <c r="A137" t="s">
        <v>23</v>
      </c>
      <c r="B137" t="s">
        <v>24</v>
      </c>
      <c r="C137" t="s">
        <v>302</v>
      </c>
      <c r="D137" t="s">
        <v>29</v>
      </c>
      <c r="E137" t="s">
        <v>303</v>
      </c>
      <c r="F137">
        <v>10365</v>
      </c>
      <c r="G137">
        <v>767</v>
      </c>
      <c r="H137">
        <v>6320</v>
      </c>
      <c r="I137">
        <v>0</v>
      </c>
      <c r="J137">
        <v>0</v>
      </c>
      <c r="K137">
        <v>0</v>
      </c>
      <c r="L137">
        <v>4172</v>
      </c>
      <c r="M137">
        <v>0</v>
      </c>
      <c r="N137">
        <v>248</v>
      </c>
      <c r="O137">
        <v>0</v>
      </c>
      <c r="P137">
        <v>0</v>
      </c>
      <c r="Q137">
        <v>0</v>
      </c>
      <c r="R137">
        <v>153</v>
      </c>
      <c r="S137">
        <v>34</v>
      </c>
      <c r="T137">
        <v>2090</v>
      </c>
      <c r="U137">
        <v>0</v>
      </c>
      <c r="V137">
        <v>0</v>
      </c>
      <c r="W137">
        <v>249</v>
      </c>
      <c r="X137">
        <f>NHS_AE_2024_2025[[#This Row],[A&amp;E attendances Type 1]]+
NHS_AE_2024_2025[[#This Row],[A&amp;E attendances Type 2]]+
NHS_AE_2024_2025[[#This Row],[A&amp;E attendances Other A&amp;E Department]]</f>
        <v>17452</v>
      </c>
      <c r="Y137">
        <f t="shared" si="4"/>
        <v>4420</v>
      </c>
      <c r="Z137">
        <f t="shared" si="5"/>
        <v>2339</v>
      </c>
    </row>
    <row r="138" spans="1:26" x14ac:dyDescent="0.2">
      <c r="A138" t="s">
        <v>23</v>
      </c>
      <c r="B138" t="s">
        <v>24</v>
      </c>
      <c r="C138" t="s">
        <v>304</v>
      </c>
      <c r="D138" t="s">
        <v>29</v>
      </c>
      <c r="E138" t="s">
        <v>305</v>
      </c>
      <c r="F138">
        <v>12926</v>
      </c>
      <c r="G138">
        <v>0</v>
      </c>
      <c r="H138">
        <v>4996</v>
      </c>
      <c r="I138">
        <v>17</v>
      </c>
      <c r="J138">
        <v>0</v>
      </c>
      <c r="K138">
        <v>0</v>
      </c>
      <c r="L138">
        <v>4171</v>
      </c>
      <c r="M138">
        <v>0</v>
      </c>
      <c r="N138">
        <v>0</v>
      </c>
      <c r="O138">
        <v>9</v>
      </c>
      <c r="P138">
        <v>0</v>
      </c>
      <c r="Q138">
        <v>0</v>
      </c>
      <c r="R138">
        <v>432</v>
      </c>
      <c r="S138">
        <v>558</v>
      </c>
      <c r="T138">
        <v>1380</v>
      </c>
      <c r="U138">
        <v>0</v>
      </c>
      <c r="V138">
        <v>0</v>
      </c>
      <c r="W138">
        <v>96</v>
      </c>
      <c r="X138">
        <f>NHS_AE_2024_2025[[#This Row],[A&amp;E attendances Type 1]]+
NHS_AE_2024_2025[[#This Row],[A&amp;E attendances Type 2]]+
NHS_AE_2024_2025[[#This Row],[A&amp;E attendances Other A&amp;E Department]]</f>
        <v>17922</v>
      </c>
      <c r="Y138">
        <f t="shared" si="4"/>
        <v>4171</v>
      </c>
      <c r="Z138">
        <f t="shared" si="5"/>
        <v>1476</v>
      </c>
    </row>
    <row r="139" spans="1:26" x14ac:dyDescent="0.2">
      <c r="A139" t="s">
        <v>23</v>
      </c>
      <c r="B139" t="s">
        <v>24</v>
      </c>
      <c r="C139" t="s">
        <v>306</v>
      </c>
      <c r="D139" t="s">
        <v>29</v>
      </c>
      <c r="E139" t="s">
        <v>307</v>
      </c>
      <c r="F139">
        <v>8344</v>
      </c>
      <c r="G139">
        <v>0</v>
      </c>
      <c r="H139">
        <v>3193</v>
      </c>
      <c r="I139">
        <v>1017</v>
      </c>
      <c r="J139">
        <v>0</v>
      </c>
      <c r="K139">
        <v>0</v>
      </c>
      <c r="L139">
        <v>2429</v>
      </c>
      <c r="M139">
        <v>0</v>
      </c>
      <c r="N139">
        <v>0</v>
      </c>
      <c r="O139">
        <v>114</v>
      </c>
      <c r="P139">
        <v>0</v>
      </c>
      <c r="Q139">
        <v>0</v>
      </c>
      <c r="R139">
        <v>492</v>
      </c>
      <c r="S139">
        <v>774</v>
      </c>
      <c r="T139">
        <v>2435</v>
      </c>
      <c r="U139">
        <v>0</v>
      </c>
      <c r="V139">
        <v>0</v>
      </c>
      <c r="W139">
        <v>816</v>
      </c>
      <c r="X139">
        <f>NHS_AE_2024_2025[[#This Row],[A&amp;E attendances Type 1]]+
NHS_AE_2024_2025[[#This Row],[A&amp;E attendances Type 2]]+
NHS_AE_2024_2025[[#This Row],[A&amp;E attendances Other A&amp;E Department]]</f>
        <v>11537</v>
      </c>
      <c r="Y139">
        <f t="shared" si="4"/>
        <v>2429</v>
      </c>
      <c r="Z139">
        <f t="shared" si="5"/>
        <v>3251</v>
      </c>
    </row>
    <row r="140" spans="1:26" x14ac:dyDescent="0.2">
      <c r="A140" t="s">
        <v>23</v>
      </c>
      <c r="B140" t="s">
        <v>24</v>
      </c>
      <c r="C140" t="s">
        <v>308</v>
      </c>
      <c r="D140" t="s">
        <v>32</v>
      </c>
      <c r="E140" t="s">
        <v>309</v>
      </c>
      <c r="F140">
        <v>8132</v>
      </c>
      <c r="G140">
        <v>0</v>
      </c>
      <c r="H140">
        <v>409</v>
      </c>
      <c r="I140">
        <v>17</v>
      </c>
      <c r="J140">
        <v>0</v>
      </c>
      <c r="K140">
        <v>0</v>
      </c>
      <c r="L140">
        <v>2155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290</v>
      </c>
      <c r="S140">
        <v>17</v>
      </c>
      <c r="T140">
        <v>2297</v>
      </c>
      <c r="U140">
        <v>0</v>
      </c>
      <c r="V140">
        <v>0</v>
      </c>
      <c r="W140">
        <v>697</v>
      </c>
      <c r="X140">
        <f>NHS_AE_2024_2025[[#This Row],[A&amp;E attendances Type 1]]+
NHS_AE_2024_2025[[#This Row],[A&amp;E attendances Type 2]]+
NHS_AE_2024_2025[[#This Row],[A&amp;E attendances Other A&amp;E Department]]</f>
        <v>8541</v>
      </c>
      <c r="Y140">
        <f t="shared" si="4"/>
        <v>2155</v>
      </c>
      <c r="Z140">
        <f t="shared" si="5"/>
        <v>2994</v>
      </c>
    </row>
    <row r="141" spans="1:26" x14ac:dyDescent="0.2">
      <c r="A141" t="s">
        <v>23</v>
      </c>
      <c r="B141" t="s">
        <v>24</v>
      </c>
      <c r="C141" t="s">
        <v>310</v>
      </c>
      <c r="D141" t="s">
        <v>26</v>
      </c>
      <c r="E141" t="s">
        <v>311</v>
      </c>
      <c r="F141">
        <v>8342</v>
      </c>
      <c r="G141">
        <v>166</v>
      </c>
      <c r="H141">
        <v>4652</v>
      </c>
      <c r="I141">
        <v>0</v>
      </c>
      <c r="J141">
        <v>0</v>
      </c>
      <c r="K141">
        <v>0</v>
      </c>
      <c r="L141">
        <v>5042</v>
      </c>
      <c r="M141">
        <v>0</v>
      </c>
      <c r="N141">
        <v>238</v>
      </c>
      <c r="O141">
        <v>0</v>
      </c>
      <c r="P141">
        <v>0</v>
      </c>
      <c r="Q141">
        <v>0</v>
      </c>
      <c r="R141">
        <v>548</v>
      </c>
      <c r="S141">
        <v>675</v>
      </c>
      <c r="T141">
        <v>2740</v>
      </c>
      <c r="U141">
        <v>0</v>
      </c>
      <c r="V141">
        <v>0</v>
      </c>
      <c r="W141">
        <v>1106</v>
      </c>
      <c r="X141">
        <f>NHS_AE_2024_2025[[#This Row],[A&amp;E attendances Type 1]]+
NHS_AE_2024_2025[[#This Row],[A&amp;E attendances Type 2]]+
NHS_AE_2024_2025[[#This Row],[A&amp;E attendances Other A&amp;E Department]]</f>
        <v>13160</v>
      </c>
      <c r="Y141">
        <f t="shared" si="4"/>
        <v>5280</v>
      </c>
      <c r="Z141">
        <f t="shared" si="5"/>
        <v>3846</v>
      </c>
    </row>
    <row r="142" spans="1:26" x14ac:dyDescent="0.2">
      <c r="A142" t="s">
        <v>23</v>
      </c>
      <c r="B142" t="s">
        <v>24</v>
      </c>
      <c r="C142" t="s">
        <v>312</v>
      </c>
      <c r="D142" t="s">
        <v>32</v>
      </c>
      <c r="E142" t="s">
        <v>313</v>
      </c>
      <c r="F142">
        <v>11311</v>
      </c>
      <c r="G142">
        <v>1904</v>
      </c>
      <c r="H142">
        <v>7661</v>
      </c>
      <c r="I142">
        <v>46</v>
      </c>
      <c r="J142">
        <v>0</v>
      </c>
      <c r="K142">
        <v>118</v>
      </c>
      <c r="L142">
        <v>5329</v>
      </c>
      <c r="M142">
        <v>66</v>
      </c>
      <c r="N142">
        <v>243</v>
      </c>
      <c r="O142">
        <v>18</v>
      </c>
      <c r="P142">
        <v>0</v>
      </c>
      <c r="Q142">
        <v>1</v>
      </c>
      <c r="R142">
        <v>267</v>
      </c>
      <c r="S142">
        <v>90</v>
      </c>
      <c r="T142">
        <v>2906</v>
      </c>
      <c r="U142">
        <v>106</v>
      </c>
      <c r="V142">
        <v>87</v>
      </c>
      <c r="W142">
        <v>1640</v>
      </c>
      <c r="X142">
        <f>NHS_AE_2024_2025[[#This Row],[A&amp;E attendances Type 1]]+
NHS_AE_2024_2025[[#This Row],[A&amp;E attendances Type 2]]+
NHS_AE_2024_2025[[#This Row],[A&amp;E attendances Other A&amp;E Department]]</f>
        <v>20876</v>
      </c>
      <c r="Y142">
        <f t="shared" si="4"/>
        <v>5638</v>
      </c>
      <c r="Z142">
        <f t="shared" si="5"/>
        <v>4739</v>
      </c>
    </row>
    <row r="143" spans="1:26" x14ac:dyDescent="0.2">
      <c r="A143" t="s">
        <v>23</v>
      </c>
      <c r="B143" t="s">
        <v>24</v>
      </c>
      <c r="C143" t="s">
        <v>314</v>
      </c>
      <c r="D143" t="s">
        <v>32</v>
      </c>
      <c r="E143" t="s">
        <v>315</v>
      </c>
      <c r="F143">
        <v>6653</v>
      </c>
      <c r="G143">
        <v>0</v>
      </c>
      <c r="H143">
        <v>1835</v>
      </c>
      <c r="I143">
        <v>0</v>
      </c>
      <c r="J143">
        <v>0</v>
      </c>
      <c r="K143">
        <v>0</v>
      </c>
      <c r="L143">
        <v>2101</v>
      </c>
      <c r="M143">
        <v>0</v>
      </c>
      <c r="N143">
        <v>43</v>
      </c>
      <c r="O143">
        <v>0</v>
      </c>
      <c r="P143">
        <v>0</v>
      </c>
      <c r="Q143">
        <v>0</v>
      </c>
      <c r="R143">
        <v>505</v>
      </c>
      <c r="S143">
        <v>254</v>
      </c>
      <c r="T143">
        <v>936</v>
      </c>
      <c r="U143">
        <v>0</v>
      </c>
      <c r="V143">
        <v>0</v>
      </c>
      <c r="W143">
        <v>37</v>
      </c>
      <c r="X143">
        <f>NHS_AE_2024_2025[[#This Row],[A&amp;E attendances Type 1]]+
NHS_AE_2024_2025[[#This Row],[A&amp;E attendances Type 2]]+
NHS_AE_2024_2025[[#This Row],[A&amp;E attendances Other A&amp;E Department]]</f>
        <v>8488</v>
      </c>
      <c r="Y143">
        <f t="shared" si="4"/>
        <v>2144</v>
      </c>
      <c r="Z143">
        <f t="shared" si="5"/>
        <v>973</v>
      </c>
    </row>
    <row r="144" spans="1:26" x14ac:dyDescent="0.2">
      <c r="A144" t="s">
        <v>23</v>
      </c>
      <c r="B144" t="s">
        <v>24</v>
      </c>
      <c r="C144" t="s">
        <v>316</v>
      </c>
      <c r="D144" t="s">
        <v>70</v>
      </c>
      <c r="E144" t="s">
        <v>317</v>
      </c>
      <c r="F144">
        <v>11148</v>
      </c>
      <c r="G144">
        <v>0</v>
      </c>
      <c r="H144">
        <v>8817</v>
      </c>
      <c r="I144">
        <v>464</v>
      </c>
      <c r="J144">
        <v>0</v>
      </c>
      <c r="K144">
        <v>0</v>
      </c>
      <c r="L144">
        <v>3421</v>
      </c>
      <c r="M144">
        <v>0</v>
      </c>
      <c r="N144">
        <v>2</v>
      </c>
      <c r="O144">
        <v>79</v>
      </c>
      <c r="P144">
        <v>0</v>
      </c>
      <c r="Q144">
        <v>0</v>
      </c>
      <c r="R144">
        <v>626</v>
      </c>
      <c r="S144">
        <v>114</v>
      </c>
      <c r="T144">
        <v>2512</v>
      </c>
      <c r="U144">
        <v>0</v>
      </c>
      <c r="V144">
        <v>0</v>
      </c>
      <c r="W144">
        <v>1701</v>
      </c>
      <c r="X144">
        <f>NHS_AE_2024_2025[[#This Row],[A&amp;E attendances Type 1]]+
NHS_AE_2024_2025[[#This Row],[A&amp;E attendances Type 2]]+
NHS_AE_2024_2025[[#This Row],[A&amp;E attendances Other A&amp;E Department]]</f>
        <v>19965</v>
      </c>
      <c r="Y144">
        <f t="shared" si="4"/>
        <v>3423</v>
      </c>
      <c r="Z144">
        <f t="shared" si="5"/>
        <v>4213</v>
      </c>
    </row>
    <row r="145" spans="1:26" x14ac:dyDescent="0.2">
      <c r="A145" t="s">
        <v>23</v>
      </c>
      <c r="B145" t="s">
        <v>24</v>
      </c>
      <c r="C145" t="s">
        <v>318</v>
      </c>
      <c r="D145" t="s">
        <v>55</v>
      </c>
      <c r="E145" t="s">
        <v>319</v>
      </c>
      <c r="F145">
        <v>7768</v>
      </c>
      <c r="G145">
        <v>0</v>
      </c>
      <c r="H145">
        <v>2645</v>
      </c>
      <c r="I145">
        <v>445</v>
      </c>
      <c r="J145">
        <v>0</v>
      </c>
      <c r="K145">
        <v>260</v>
      </c>
      <c r="L145">
        <v>3746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576</v>
      </c>
      <c r="S145">
        <v>98</v>
      </c>
      <c r="T145">
        <v>2368</v>
      </c>
      <c r="U145">
        <v>0</v>
      </c>
      <c r="V145">
        <v>0</v>
      </c>
      <c r="W145">
        <v>636</v>
      </c>
      <c r="X145">
        <f>NHS_AE_2024_2025[[#This Row],[A&amp;E attendances Type 1]]+
NHS_AE_2024_2025[[#This Row],[A&amp;E attendances Type 2]]+
NHS_AE_2024_2025[[#This Row],[A&amp;E attendances Other A&amp;E Department]]</f>
        <v>10413</v>
      </c>
      <c r="Y145">
        <f t="shared" si="4"/>
        <v>3746</v>
      </c>
      <c r="Z145">
        <f t="shared" si="5"/>
        <v>3004</v>
      </c>
    </row>
    <row r="146" spans="1:26" x14ac:dyDescent="0.2">
      <c r="A146" t="s">
        <v>23</v>
      </c>
      <c r="B146" t="s">
        <v>24</v>
      </c>
      <c r="C146" t="s">
        <v>320</v>
      </c>
      <c r="D146" t="s">
        <v>26</v>
      </c>
      <c r="E146" t="s">
        <v>321</v>
      </c>
      <c r="F146">
        <v>4179</v>
      </c>
      <c r="G146">
        <v>350</v>
      </c>
      <c r="H146">
        <v>1880</v>
      </c>
      <c r="I146">
        <v>313</v>
      </c>
      <c r="J146">
        <v>0</v>
      </c>
      <c r="K146">
        <v>0</v>
      </c>
      <c r="L146">
        <v>1707</v>
      </c>
      <c r="M146">
        <v>0</v>
      </c>
      <c r="N146">
        <v>0</v>
      </c>
      <c r="O146">
        <v>104</v>
      </c>
      <c r="P146">
        <v>0</v>
      </c>
      <c r="Q146">
        <v>0</v>
      </c>
      <c r="R146">
        <v>469</v>
      </c>
      <c r="S146">
        <v>6</v>
      </c>
      <c r="T146">
        <v>1378</v>
      </c>
      <c r="U146">
        <v>0</v>
      </c>
      <c r="V146">
        <v>0</v>
      </c>
      <c r="W146">
        <v>887</v>
      </c>
      <c r="X146">
        <f>NHS_AE_2024_2025[[#This Row],[A&amp;E attendances Type 1]]+
NHS_AE_2024_2025[[#This Row],[A&amp;E attendances Type 2]]+
NHS_AE_2024_2025[[#This Row],[A&amp;E attendances Other A&amp;E Department]]</f>
        <v>6409</v>
      </c>
      <c r="Y146">
        <f t="shared" si="4"/>
        <v>1707</v>
      </c>
      <c r="Z146">
        <f t="shared" si="5"/>
        <v>2265</v>
      </c>
    </row>
    <row r="147" spans="1:26" x14ac:dyDescent="0.2">
      <c r="A147" t="s">
        <v>23</v>
      </c>
      <c r="B147" t="s">
        <v>24</v>
      </c>
      <c r="C147" t="s">
        <v>322</v>
      </c>
      <c r="D147" t="s">
        <v>50</v>
      </c>
      <c r="E147" t="s">
        <v>323</v>
      </c>
      <c r="F147">
        <v>12754</v>
      </c>
      <c r="G147">
        <v>0</v>
      </c>
      <c r="H147">
        <v>3328</v>
      </c>
      <c r="I147">
        <v>0</v>
      </c>
      <c r="J147">
        <v>0</v>
      </c>
      <c r="K147">
        <v>0</v>
      </c>
      <c r="L147">
        <v>4103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783</v>
      </c>
      <c r="S147">
        <v>168</v>
      </c>
      <c r="T147">
        <v>3995</v>
      </c>
      <c r="U147">
        <v>0</v>
      </c>
      <c r="V147">
        <v>419</v>
      </c>
      <c r="W147">
        <v>1075</v>
      </c>
      <c r="X147">
        <f>NHS_AE_2024_2025[[#This Row],[A&amp;E attendances Type 1]]+
NHS_AE_2024_2025[[#This Row],[A&amp;E attendances Type 2]]+
NHS_AE_2024_2025[[#This Row],[A&amp;E attendances Other A&amp;E Department]]</f>
        <v>16082</v>
      </c>
      <c r="Y147">
        <f t="shared" si="4"/>
        <v>4103</v>
      </c>
      <c r="Z147">
        <f t="shared" si="5"/>
        <v>5489</v>
      </c>
    </row>
    <row r="148" spans="1:26" x14ac:dyDescent="0.2">
      <c r="A148" t="s">
        <v>23</v>
      </c>
      <c r="B148" t="s">
        <v>24</v>
      </c>
      <c r="C148" t="s">
        <v>324</v>
      </c>
      <c r="D148" t="s">
        <v>37</v>
      </c>
      <c r="E148" t="s">
        <v>325</v>
      </c>
      <c r="F148">
        <v>8540</v>
      </c>
      <c r="G148">
        <v>0</v>
      </c>
      <c r="H148">
        <v>6817</v>
      </c>
      <c r="I148">
        <v>367</v>
      </c>
      <c r="J148">
        <v>0</v>
      </c>
      <c r="K148">
        <v>1147</v>
      </c>
      <c r="L148">
        <v>2638</v>
      </c>
      <c r="M148">
        <v>0</v>
      </c>
      <c r="N148">
        <v>480</v>
      </c>
      <c r="O148">
        <v>77</v>
      </c>
      <c r="P148">
        <v>0</v>
      </c>
      <c r="Q148">
        <v>0</v>
      </c>
      <c r="R148">
        <v>414</v>
      </c>
      <c r="S148">
        <v>521</v>
      </c>
      <c r="T148">
        <v>2277</v>
      </c>
      <c r="U148">
        <v>0</v>
      </c>
      <c r="V148">
        <v>0</v>
      </c>
      <c r="W148">
        <v>1202</v>
      </c>
      <c r="X148">
        <f>NHS_AE_2024_2025[[#This Row],[A&amp;E attendances Type 1]]+
NHS_AE_2024_2025[[#This Row],[A&amp;E attendances Type 2]]+
NHS_AE_2024_2025[[#This Row],[A&amp;E attendances Other A&amp;E Department]]</f>
        <v>15357</v>
      </c>
      <c r="Y148">
        <f t="shared" si="4"/>
        <v>3118</v>
      </c>
      <c r="Z148">
        <f t="shared" si="5"/>
        <v>3479</v>
      </c>
    </row>
    <row r="149" spans="1:26" x14ac:dyDescent="0.2">
      <c r="A149" t="s">
        <v>23</v>
      </c>
      <c r="B149" t="s">
        <v>24</v>
      </c>
      <c r="C149" t="s">
        <v>326</v>
      </c>
      <c r="D149" t="s">
        <v>29</v>
      </c>
      <c r="E149" t="s">
        <v>327</v>
      </c>
      <c r="F149">
        <v>18886</v>
      </c>
      <c r="G149">
        <v>0</v>
      </c>
      <c r="H149">
        <v>5831</v>
      </c>
      <c r="I149">
        <v>901</v>
      </c>
      <c r="J149">
        <v>0</v>
      </c>
      <c r="K149">
        <v>0</v>
      </c>
      <c r="L149">
        <v>4549</v>
      </c>
      <c r="M149">
        <v>0</v>
      </c>
      <c r="N149">
        <v>128</v>
      </c>
      <c r="O149">
        <v>0</v>
      </c>
      <c r="P149">
        <v>0</v>
      </c>
      <c r="Q149">
        <v>0</v>
      </c>
      <c r="R149">
        <v>905</v>
      </c>
      <c r="S149">
        <v>26</v>
      </c>
      <c r="T149">
        <v>2657</v>
      </c>
      <c r="U149">
        <v>0</v>
      </c>
      <c r="V149">
        <v>0</v>
      </c>
      <c r="W149">
        <v>370</v>
      </c>
      <c r="X149">
        <f>NHS_AE_2024_2025[[#This Row],[A&amp;E attendances Type 1]]+
NHS_AE_2024_2025[[#This Row],[A&amp;E attendances Type 2]]+
NHS_AE_2024_2025[[#This Row],[A&amp;E attendances Other A&amp;E Department]]</f>
        <v>24717</v>
      </c>
      <c r="Y149">
        <f t="shared" si="4"/>
        <v>4677</v>
      </c>
      <c r="Z149">
        <f t="shared" si="5"/>
        <v>3027</v>
      </c>
    </row>
    <row r="150" spans="1:26" x14ac:dyDescent="0.2">
      <c r="A150" t="s">
        <v>23</v>
      </c>
      <c r="B150" t="s">
        <v>24</v>
      </c>
      <c r="C150" t="s">
        <v>328</v>
      </c>
      <c r="D150" t="s">
        <v>70</v>
      </c>
      <c r="E150" t="s">
        <v>329</v>
      </c>
      <c r="F150">
        <v>7323</v>
      </c>
      <c r="G150">
        <v>0</v>
      </c>
      <c r="H150">
        <v>1962</v>
      </c>
      <c r="I150">
        <v>0</v>
      </c>
      <c r="J150">
        <v>0</v>
      </c>
      <c r="K150">
        <v>766</v>
      </c>
      <c r="L150">
        <v>3558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583</v>
      </c>
      <c r="S150">
        <v>202</v>
      </c>
      <c r="T150">
        <v>2161</v>
      </c>
      <c r="U150">
        <v>0</v>
      </c>
      <c r="V150">
        <v>0</v>
      </c>
      <c r="W150">
        <v>433</v>
      </c>
      <c r="X150">
        <f>NHS_AE_2024_2025[[#This Row],[A&amp;E attendances Type 1]]+
NHS_AE_2024_2025[[#This Row],[A&amp;E attendances Type 2]]+
NHS_AE_2024_2025[[#This Row],[A&amp;E attendances Other A&amp;E Department]]</f>
        <v>9285</v>
      </c>
      <c r="Y150">
        <f t="shared" si="4"/>
        <v>3558</v>
      </c>
      <c r="Z150">
        <f t="shared" si="5"/>
        <v>2594</v>
      </c>
    </row>
    <row r="151" spans="1:26" x14ac:dyDescent="0.2">
      <c r="A151" t="s">
        <v>23</v>
      </c>
      <c r="B151" t="s">
        <v>24</v>
      </c>
      <c r="C151" t="s">
        <v>330</v>
      </c>
      <c r="D151" t="s">
        <v>50</v>
      </c>
      <c r="E151" t="s">
        <v>331</v>
      </c>
      <c r="F151">
        <v>16864</v>
      </c>
      <c r="G151">
        <v>746</v>
      </c>
      <c r="H151">
        <v>11864</v>
      </c>
      <c r="I151">
        <v>43</v>
      </c>
      <c r="J151">
        <v>0</v>
      </c>
      <c r="K151">
        <v>46</v>
      </c>
      <c r="L151">
        <v>6569</v>
      </c>
      <c r="M151">
        <v>0</v>
      </c>
      <c r="N151">
        <v>88</v>
      </c>
      <c r="O151">
        <v>11</v>
      </c>
      <c r="P151">
        <v>0</v>
      </c>
      <c r="Q151">
        <v>0</v>
      </c>
      <c r="R151">
        <v>1838</v>
      </c>
      <c r="S151">
        <v>203</v>
      </c>
      <c r="T151">
        <v>3688</v>
      </c>
      <c r="U151">
        <v>0</v>
      </c>
      <c r="V151">
        <v>0</v>
      </c>
      <c r="W151">
        <v>1242</v>
      </c>
      <c r="X151">
        <f>NHS_AE_2024_2025[[#This Row],[A&amp;E attendances Type 1]]+
NHS_AE_2024_2025[[#This Row],[A&amp;E attendances Type 2]]+
NHS_AE_2024_2025[[#This Row],[A&amp;E attendances Other A&amp;E Department]]</f>
        <v>29474</v>
      </c>
      <c r="Y151">
        <f t="shared" si="4"/>
        <v>6657</v>
      </c>
      <c r="Z151">
        <f t="shared" si="5"/>
        <v>4930</v>
      </c>
    </row>
    <row r="152" spans="1:26" x14ac:dyDescent="0.2">
      <c r="A152" t="s">
        <v>23</v>
      </c>
      <c r="B152" t="s">
        <v>24</v>
      </c>
      <c r="C152" t="s">
        <v>332</v>
      </c>
      <c r="D152" t="s">
        <v>55</v>
      </c>
      <c r="E152" t="s">
        <v>333</v>
      </c>
      <c r="F152">
        <v>7150</v>
      </c>
      <c r="G152">
        <v>0</v>
      </c>
      <c r="H152">
        <v>5383</v>
      </c>
      <c r="I152">
        <v>0</v>
      </c>
      <c r="J152">
        <v>0</v>
      </c>
      <c r="K152">
        <v>0</v>
      </c>
      <c r="L152">
        <v>3557</v>
      </c>
      <c r="M152">
        <v>0</v>
      </c>
      <c r="N152">
        <v>30</v>
      </c>
      <c r="O152">
        <v>0</v>
      </c>
      <c r="P152">
        <v>0</v>
      </c>
      <c r="Q152">
        <v>0</v>
      </c>
      <c r="R152">
        <v>1069</v>
      </c>
      <c r="S152">
        <v>516</v>
      </c>
      <c r="T152">
        <v>2087</v>
      </c>
      <c r="U152">
        <v>0</v>
      </c>
      <c r="V152">
        <v>0</v>
      </c>
      <c r="W152">
        <v>819</v>
      </c>
      <c r="X152">
        <f>NHS_AE_2024_2025[[#This Row],[A&amp;E attendances Type 1]]+
NHS_AE_2024_2025[[#This Row],[A&amp;E attendances Type 2]]+
NHS_AE_2024_2025[[#This Row],[A&amp;E attendances Other A&amp;E Department]]</f>
        <v>12533</v>
      </c>
      <c r="Y152">
        <f t="shared" si="4"/>
        <v>3587</v>
      </c>
      <c r="Z152">
        <f t="shared" si="5"/>
        <v>2906</v>
      </c>
    </row>
    <row r="153" spans="1:26" x14ac:dyDescent="0.2">
      <c r="A153" t="s">
        <v>23</v>
      </c>
      <c r="B153" t="s">
        <v>24</v>
      </c>
      <c r="C153" t="s">
        <v>334</v>
      </c>
      <c r="D153" t="s">
        <v>26</v>
      </c>
      <c r="E153" t="s">
        <v>335</v>
      </c>
      <c r="F153">
        <v>12328</v>
      </c>
      <c r="G153">
        <v>0</v>
      </c>
      <c r="H153">
        <v>0</v>
      </c>
      <c r="I153">
        <v>212</v>
      </c>
      <c r="J153">
        <v>0</v>
      </c>
      <c r="K153">
        <v>0</v>
      </c>
      <c r="L153">
        <v>5098</v>
      </c>
      <c r="M153">
        <v>0</v>
      </c>
      <c r="N153">
        <v>0</v>
      </c>
      <c r="O153">
        <v>64</v>
      </c>
      <c r="P153">
        <v>0</v>
      </c>
      <c r="Q153">
        <v>0</v>
      </c>
      <c r="R153">
        <v>308</v>
      </c>
      <c r="S153">
        <v>859</v>
      </c>
      <c r="T153">
        <v>2669</v>
      </c>
      <c r="U153">
        <v>0</v>
      </c>
      <c r="V153">
        <v>0</v>
      </c>
      <c r="W153">
        <v>1865</v>
      </c>
      <c r="X153">
        <f>NHS_AE_2024_2025[[#This Row],[A&amp;E attendances Type 1]]+
NHS_AE_2024_2025[[#This Row],[A&amp;E attendances Type 2]]+
NHS_AE_2024_2025[[#This Row],[A&amp;E attendances Other A&amp;E Department]]</f>
        <v>12328</v>
      </c>
      <c r="Y153">
        <f t="shared" si="4"/>
        <v>5098</v>
      </c>
      <c r="Z153">
        <f t="shared" si="5"/>
        <v>4534</v>
      </c>
    </row>
    <row r="154" spans="1:26" x14ac:dyDescent="0.2">
      <c r="A154" t="s">
        <v>23</v>
      </c>
      <c r="B154" t="s">
        <v>24</v>
      </c>
      <c r="C154" t="s">
        <v>336</v>
      </c>
      <c r="D154" t="s">
        <v>50</v>
      </c>
      <c r="E154" t="s">
        <v>337</v>
      </c>
      <c r="F154">
        <v>9458</v>
      </c>
      <c r="G154">
        <v>0</v>
      </c>
      <c r="H154">
        <v>12043</v>
      </c>
      <c r="I154">
        <v>0</v>
      </c>
      <c r="J154">
        <v>0</v>
      </c>
      <c r="K154">
        <v>0</v>
      </c>
      <c r="L154">
        <v>3071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79</v>
      </c>
      <c r="S154">
        <v>3</v>
      </c>
      <c r="T154">
        <v>4336</v>
      </c>
      <c r="U154">
        <v>0</v>
      </c>
      <c r="V154">
        <v>37</v>
      </c>
      <c r="W154">
        <v>1623</v>
      </c>
      <c r="X154">
        <f>NHS_AE_2024_2025[[#This Row],[A&amp;E attendances Type 1]]+
NHS_AE_2024_2025[[#This Row],[A&amp;E attendances Type 2]]+
NHS_AE_2024_2025[[#This Row],[A&amp;E attendances Other A&amp;E Department]]</f>
        <v>21501</v>
      </c>
      <c r="Y154">
        <f t="shared" si="4"/>
        <v>3071</v>
      </c>
      <c r="Z154">
        <f t="shared" si="5"/>
        <v>5996</v>
      </c>
    </row>
    <row r="155" spans="1:26" x14ac:dyDescent="0.2">
      <c r="A155" t="s">
        <v>23</v>
      </c>
      <c r="B155" t="s">
        <v>24</v>
      </c>
      <c r="C155" t="s">
        <v>338</v>
      </c>
      <c r="D155" t="s">
        <v>50</v>
      </c>
      <c r="E155" t="s">
        <v>339</v>
      </c>
      <c r="F155">
        <v>7825</v>
      </c>
      <c r="G155">
        <v>0</v>
      </c>
      <c r="H155">
        <v>9064</v>
      </c>
      <c r="I155">
        <v>0</v>
      </c>
      <c r="J155">
        <v>0</v>
      </c>
      <c r="K155">
        <v>965</v>
      </c>
      <c r="L155">
        <v>3915</v>
      </c>
      <c r="M155">
        <v>0</v>
      </c>
      <c r="N155">
        <v>480</v>
      </c>
      <c r="O155">
        <v>0</v>
      </c>
      <c r="P155">
        <v>0</v>
      </c>
      <c r="Q155">
        <v>70</v>
      </c>
      <c r="R155">
        <v>418</v>
      </c>
      <c r="S155">
        <v>28</v>
      </c>
      <c r="T155">
        <v>2644</v>
      </c>
      <c r="U155">
        <v>0</v>
      </c>
      <c r="V155">
        <v>98</v>
      </c>
      <c r="W155">
        <v>2153</v>
      </c>
      <c r="X155">
        <f>NHS_AE_2024_2025[[#This Row],[A&amp;E attendances Type 1]]+
NHS_AE_2024_2025[[#This Row],[A&amp;E attendances Type 2]]+
NHS_AE_2024_2025[[#This Row],[A&amp;E attendances Other A&amp;E Department]]</f>
        <v>16889</v>
      </c>
      <c r="Y155">
        <f t="shared" si="4"/>
        <v>4395</v>
      </c>
      <c r="Z155">
        <f t="shared" si="5"/>
        <v>4895</v>
      </c>
    </row>
    <row r="156" spans="1:26" x14ac:dyDescent="0.2">
      <c r="A156" t="s">
        <v>23</v>
      </c>
      <c r="B156" t="s">
        <v>24</v>
      </c>
      <c r="C156" t="s">
        <v>340</v>
      </c>
      <c r="D156" t="s">
        <v>29</v>
      </c>
      <c r="E156" t="s">
        <v>341</v>
      </c>
      <c r="F156">
        <v>10936</v>
      </c>
      <c r="G156">
        <v>323</v>
      </c>
      <c r="H156">
        <v>1477</v>
      </c>
      <c r="I156">
        <v>371</v>
      </c>
      <c r="J156">
        <v>1</v>
      </c>
      <c r="K156">
        <v>33</v>
      </c>
      <c r="L156">
        <v>2995</v>
      </c>
      <c r="M156">
        <v>0</v>
      </c>
      <c r="N156">
        <v>70</v>
      </c>
      <c r="O156">
        <v>40</v>
      </c>
      <c r="P156">
        <v>0</v>
      </c>
      <c r="Q156">
        <v>0</v>
      </c>
      <c r="R156">
        <v>263</v>
      </c>
      <c r="S156">
        <v>651</v>
      </c>
      <c r="T156">
        <v>1833</v>
      </c>
      <c r="U156">
        <v>3</v>
      </c>
      <c r="V156">
        <v>0</v>
      </c>
      <c r="W156">
        <v>112</v>
      </c>
      <c r="X156">
        <f>NHS_AE_2024_2025[[#This Row],[A&amp;E attendances Type 1]]+
NHS_AE_2024_2025[[#This Row],[A&amp;E attendances Type 2]]+
NHS_AE_2024_2025[[#This Row],[A&amp;E attendances Other A&amp;E Department]]</f>
        <v>12736</v>
      </c>
      <c r="Y156">
        <f t="shared" si="4"/>
        <v>3065</v>
      </c>
      <c r="Z156">
        <f t="shared" si="5"/>
        <v>1948</v>
      </c>
    </row>
    <row r="157" spans="1:26" x14ac:dyDescent="0.2">
      <c r="A157" t="s">
        <v>23</v>
      </c>
      <c r="B157" t="s">
        <v>24</v>
      </c>
      <c r="C157" t="s">
        <v>342</v>
      </c>
      <c r="D157" t="s">
        <v>37</v>
      </c>
      <c r="E157" t="s">
        <v>343</v>
      </c>
      <c r="F157">
        <v>12256</v>
      </c>
      <c r="G157">
        <v>0</v>
      </c>
      <c r="H157">
        <v>11721</v>
      </c>
      <c r="I157">
        <v>0</v>
      </c>
      <c r="J157">
        <v>0</v>
      </c>
      <c r="K157">
        <v>0</v>
      </c>
      <c r="L157">
        <v>6442</v>
      </c>
      <c r="M157">
        <v>0</v>
      </c>
      <c r="N157">
        <v>310</v>
      </c>
      <c r="O157">
        <v>0</v>
      </c>
      <c r="P157">
        <v>0</v>
      </c>
      <c r="Q157">
        <v>0</v>
      </c>
      <c r="R157">
        <v>482</v>
      </c>
      <c r="S157">
        <v>1207</v>
      </c>
      <c r="T157">
        <v>3541</v>
      </c>
      <c r="U157">
        <v>0</v>
      </c>
      <c r="V157">
        <v>510</v>
      </c>
      <c r="W157">
        <v>1047</v>
      </c>
      <c r="X157">
        <f>NHS_AE_2024_2025[[#This Row],[A&amp;E attendances Type 1]]+
NHS_AE_2024_2025[[#This Row],[A&amp;E attendances Type 2]]+
NHS_AE_2024_2025[[#This Row],[A&amp;E attendances Other A&amp;E Department]]</f>
        <v>23977</v>
      </c>
      <c r="Y157">
        <f t="shared" si="4"/>
        <v>6752</v>
      </c>
      <c r="Z157">
        <f t="shared" si="5"/>
        <v>5098</v>
      </c>
    </row>
    <row r="158" spans="1:26" x14ac:dyDescent="0.2">
      <c r="A158" t="s">
        <v>23</v>
      </c>
      <c r="B158" t="s">
        <v>24</v>
      </c>
      <c r="C158" t="s">
        <v>344</v>
      </c>
      <c r="D158" t="s">
        <v>32</v>
      </c>
      <c r="E158" t="s">
        <v>345</v>
      </c>
      <c r="F158">
        <v>9608</v>
      </c>
      <c r="G158">
        <v>0</v>
      </c>
      <c r="H158">
        <v>10108</v>
      </c>
      <c r="I158">
        <v>2</v>
      </c>
      <c r="J158">
        <v>0</v>
      </c>
      <c r="K158">
        <v>0</v>
      </c>
      <c r="L158">
        <v>6171</v>
      </c>
      <c r="M158">
        <v>0</v>
      </c>
      <c r="N158">
        <v>1081</v>
      </c>
      <c r="O158">
        <v>1</v>
      </c>
      <c r="P158">
        <v>0</v>
      </c>
      <c r="Q158">
        <v>0</v>
      </c>
      <c r="R158">
        <v>1090</v>
      </c>
      <c r="S158">
        <v>693</v>
      </c>
      <c r="T158">
        <v>4148</v>
      </c>
      <c r="U158">
        <v>0</v>
      </c>
      <c r="V158">
        <v>0</v>
      </c>
      <c r="W158">
        <v>1203</v>
      </c>
      <c r="X158">
        <f>NHS_AE_2024_2025[[#This Row],[A&amp;E attendances Type 1]]+
NHS_AE_2024_2025[[#This Row],[A&amp;E attendances Type 2]]+
NHS_AE_2024_2025[[#This Row],[A&amp;E attendances Other A&amp;E Department]]</f>
        <v>19716</v>
      </c>
      <c r="Y158">
        <f t="shared" si="4"/>
        <v>7252</v>
      </c>
      <c r="Z158">
        <f t="shared" si="5"/>
        <v>5351</v>
      </c>
    </row>
    <row r="159" spans="1:26" x14ac:dyDescent="0.2">
      <c r="A159" t="s">
        <v>23</v>
      </c>
      <c r="B159" t="s">
        <v>24</v>
      </c>
      <c r="C159" t="s">
        <v>346</v>
      </c>
      <c r="D159" t="s">
        <v>70</v>
      </c>
      <c r="E159" t="s">
        <v>347</v>
      </c>
      <c r="F159">
        <v>8880</v>
      </c>
      <c r="G159">
        <v>0</v>
      </c>
      <c r="H159">
        <v>6559</v>
      </c>
      <c r="I159">
        <v>12</v>
      </c>
      <c r="J159">
        <v>0</v>
      </c>
      <c r="K159">
        <v>420</v>
      </c>
      <c r="L159">
        <v>4928</v>
      </c>
      <c r="M159">
        <v>0</v>
      </c>
      <c r="N159">
        <v>54</v>
      </c>
      <c r="O159">
        <v>7</v>
      </c>
      <c r="P159">
        <v>0</v>
      </c>
      <c r="Q159">
        <v>4</v>
      </c>
      <c r="R159">
        <v>175</v>
      </c>
      <c r="S159">
        <v>22</v>
      </c>
      <c r="T159">
        <v>3219</v>
      </c>
      <c r="U159">
        <v>0</v>
      </c>
      <c r="V159">
        <v>67</v>
      </c>
      <c r="W159">
        <v>255</v>
      </c>
      <c r="X159">
        <f>NHS_AE_2024_2025[[#This Row],[A&amp;E attendances Type 1]]+
NHS_AE_2024_2025[[#This Row],[A&amp;E attendances Type 2]]+
NHS_AE_2024_2025[[#This Row],[A&amp;E attendances Other A&amp;E Department]]</f>
        <v>15439</v>
      </c>
      <c r="Y159">
        <f t="shared" si="4"/>
        <v>4982</v>
      </c>
      <c r="Z159">
        <f t="shared" si="5"/>
        <v>3541</v>
      </c>
    </row>
    <row r="160" spans="1:26" x14ac:dyDescent="0.2">
      <c r="A160" t="s">
        <v>23</v>
      </c>
      <c r="B160" t="s">
        <v>24</v>
      </c>
      <c r="C160" t="s">
        <v>348</v>
      </c>
      <c r="D160" t="s">
        <v>55</v>
      </c>
      <c r="E160" t="s">
        <v>349</v>
      </c>
      <c r="F160">
        <v>7129</v>
      </c>
      <c r="G160">
        <v>0</v>
      </c>
      <c r="H160">
        <v>1004</v>
      </c>
      <c r="I160">
        <v>496</v>
      </c>
      <c r="J160">
        <v>0</v>
      </c>
      <c r="K160">
        <v>153</v>
      </c>
      <c r="L160">
        <v>3027</v>
      </c>
      <c r="M160">
        <v>0</v>
      </c>
      <c r="N160">
        <v>16</v>
      </c>
      <c r="O160">
        <v>189</v>
      </c>
      <c r="P160">
        <v>0</v>
      </c>
      <c r="Q160">
        <v>1</v>
      </c>
      <c r="R160">
        <v>756</v>
      </c>
      <c r="S160">
        <v>308</v>
      </c>
      <c r="T160">
        <v>2388</v>
      </c>
      <c r="U160">
        <v>0</v>
      </c>
      <c r="V160">
        <v>82</v>
      </c>
      <c r="W160">
        <v>750</v>
      </c>
      <c r="X160">
        <f>NHS_AE_2024_2025[[#This Row],[A&amp;E attendances Type 1]]+
NHS_AE_2024_2025[[#This Row],[A&amp;E attendances Type 2]]+
NHS_AE_2024_2025[[#This Row],[A&amp;E attendances Other A&amp;E Department]]</f>
        <v>8133</v>
      </c>
      <c r="Y160">
        <f t="shared" si="4"/>
        <v>3043</v>
      </c>
      <c r="Z160">
        <f t="shared" si="5"/>
        <v>3220</v>
      </c>
    </row>
    <row r="161" spans="1:26" x14ac:dyDescent="0.2">
      <c r="A161" t="s">
        <v>23</v>
      </c>
      <c r="B161" t="s">
        <v>24</v>
      </c>
      <c r="C161" t="s">
        <v>350</v>
      </c>
      <c r="D161" t="s">
        <v>55</v>
      </c>
      <c r="E161" t="s">
        <v>351</v>
      </c>
      <c r="F161">
        <v>6727</v>
      </c>
      <c r="G161">
        <v>0</v>
      </c>
      <c r="H161">
        <v>3182</v>
      </c>
      <c r="I161">
        <v>284</v>
      </c>
      <c r="J161">
        <v>0</v>
      </c>
      <c r="K161">
        <v>126</v>
      </c>
      <c r="L161">
        <v>3288</v>
      </c>
      <c r="M161">
        <v>0</v>
      </c>
      <c r="N161">
        <v>52</v>
      </c>
      <c r="O161">
        <v>109</v>
      </c>
      <c r="P161">
        <v>0</v>
      </c>
      <c r="Q161">
        <v>2</v>
      </c>
      <c r="R161">
        <v>664</v>
      </c>
      <c r="S161">
        <v>651</v>
      </c>
      <c r="T161">
        <v>1807</v>
      </c>
      <c r="U161">
        <v>0</v>
      </c>
      <c r="V161">
        <v>0</v>
      </c>
      <c r="W161">
        <v>239</v>
      </c>
      <c r="X161">
        <f>NHS_AE_2024_2025[[#This Row],[A&amp;E attendances Type 1]]+
NHS_AE_2024_2025[[#This Row],[A&amp;E attendances Type 2]]+
NHS_AE_2024_2025[[#This Row],[A&amp;E attendances Other A&amp;E Department]]</f>
        <v>9909</v>
      </c>
      <c r="Y161">
        <f t="shared" si="4"/>
        <v>3340</v>
      </c>
      <c r="Z161">
        <f t="shared" si="5"/>
        <v>2046</v>
      </c>
    </row>
    <row r="162" spans="1:26" x14ac:dyDescent="0.2">
      <c r="A162" t="s">
        <v>23</v>
      </c>
      <c r="B162" t="s">
        <v>24</v>
      </c>
      <c r="C162" t="s">
        <v>352</v>
      </c>
      <c r="D162" t="s">
        <v>50</v>
      </c>
      <c r="E162" t="s">
        <v>353</v>
      </c>
      <c r="F162">
        <v>17513</v>
      </c>
      <c r="G162">
        <v>162</v>
      </c>
      <c r="H162">
        <v>5006</v>
      </c>
      <c r="I162">
        <v>120</v>
      </c>
      <c r="J162">
        <v>0</v>
      </c>
      <c r="K162">
        <v>100</v>
      </c>
      <c r="L162">
        <v>7000</v>
      </c>
      <c r="M162">
        <v>0</v>
      </c>
      <c r="N162">
        <v>473</v>
      </c>
      <c r="O162">
        <v>11</v>
      </c>
      <c r="P162">
        <v>0</v>
      </c>
      <c r="Q162">
        <v>5</v>
      </c>
      <c r="R162">
        <v>2264</v>
      </c>
      <c r="S162">
        <v>114</v>
      </c>
      <c r="T162">
        <v>3563</v>
      </c>
      <c r="U162">
        <v>0</v>
      </c>
      <c r="V162">
        <v>149</v>
      </c>
      <c r="W162">
        <v>899</v>
      </c>
      <c r="X162">
        <f>NHS_AE_2024_2025[[#This Row],[A&amp;E attendances Type 1]]+
NHS_AE_2024_2025[[#This Row],[A&amp;E attendances Type 2]]+
NHS_AE_2024_2025[[#This Row],[A&amp;E attendances Other A&amp;E Department]]</f>
        <v>22681</v>
      </c>
      <c r="Y162">
        <f t="shared" si="4"/>
        <v>7473</v>
      </c>
      <c r="Z162">
        <f t="shared" si="5"/>
        <v>4611</v>
      </c>
    </row>
    <row r="163" spans="1:26" x14ac:dyDescent="0.2">
      <c r="A163" t="s">
        <v>23</v>
      </c>
      <c r="B163" t="s">
        <v>24</v>
      </c>
      <c r="C163" t="s">
        <v>354</v>
      </c>
      <c r="D163" t="s">
        <v>50</v>
      </c>
      <c r="E163" t="s">
        <v>355</v>
      </c>
      <c r="F163">
        <v>12647</v>
      </c>
      <c r="G163">
        <v>0</v>
      </c>
      <c r="H163">
        <v>4146</v>
      </c>
      <c r="I163">
        <v>0</v>
      </c>
      <c r="J163">
        <v>0</v>
      </c>
      <c r="K163">
        <v>6275</v>
      </c>
      <c r="L163">
        <v>5388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2269</v>
      </c>
      <c r="S163">
        <v>13</v>
      </c>
      <c r="T163">
        <v>4306</v>
      </c>
      <c r="U163">
        <v>0</v>
      </c>
      <c r="V163">
        <v>0</v>
      </c>
      <c r="W163">
        <v>742</v>
      </c>
      <c r="X163">
        <f>NHS_AE_2024_2025[[#This Row],[A&amp;E attendances Type 1]]+
NHS_AE_2024_2025[[#This Row],[A&amp;E attendances Type 2]]+
NHS_AE_2024_2025[[#This Row],[A&amp;E attendances Other A&amp;E Department]]</f>
        <v>16793</v>
      </c>
      <c r="Y163">
        <f t="shared" si="4"/>
        <v>5388</v>
      </c>
      <c r="Z163">
        <f t="shared" si="5"/>
        <v>5048</v>
      </c>
    </row>
    <row r="164" spans="1:26" x14ac:dyDescent="0.2">
      <c r="A164" t="s">
        <v>23</v>
      </c>
      <c r="B164" t="s">
        <v>24</v>
      </c>
      <c r="C164" t="s">
        <v>356</v>
      </c>
      <c r="D164" t="s">
        <v>32</v>
      </c>
      <c r="E164" t="s">
        <v>357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</v>
      </c>
      <c r="W164">
        <v>55</v>
      </c>
      <c r="X164">
        <f>NHS_AE_2024_2025[[#This Row],[A&amp;E attendances Type 1]]+
NHS_AE_2024_2025[[#This Row],[A&amp;E attendances Type 2]]+
NHS_AE_2024_2025[[#This Row],[A&amp;E attendances Other A&amp;E Department]]</f>
        <v>0</v>
      </c>
      <c r="Y164">
        <f t="shared" si="4"/>
        <v>0</v>
      </c>
      <c r="Z164">
        <f t="shared" si="5"/>
        <v>61</v>
      </c>
    </row>
    <row r="165" spans="1:26" x14ac:dyDescent="0.2">
      <c r="A165" t="s">
        <v>23</v>
      </c>
      <c r="B165" t="s">
        <v>24</v>
      </c>
      <c r="C165" t="s">
        <v>358</v>
      </c>
      <c r="D165" t="s">
        <v>29</v>
      </c>
      <c r="E165" t="s">
        <v>359</v>
      </c>
      <c r="F165">
        <v>11395</v>
      </c>
      <c r="G165">
        <v>3944</v>
      </c>
      <c r="H165">
        <v>6932</v>
      </c>
      <c r="I165">
        <v>0</v>
      </c>
      <c r="J165">
        <v>0</v>
      </c>
      <c r="K165">
        <v>387</v>
      </c>
      <c r="L165">
        <v>4969</v>
      </c>
      <c r="M165">
        <v>33</v>
      </c>
      <c r="N165">
        <v>392</v>
      </c>
      <c r="O165">
        <v>0</v>
      </c>
      <c r="P165">
        <v>0</v>
      </c>
      <c r="Q165">
        <v>0</v>
      </c>
      <c r="R165">
        <v>669</v>
      </c>
      <c r="S165">
        <v>152</v>
      </c>
      <c r="T165">
        <v>4019</v>
      </c>
      <c r="U165">
        <v>0</v>
      </c>
      <c r="V165">
        <v>0</v>
      </c>
      <c r="W165">
        <v>1112</v>
      </c>
      <c r="X165">
        <f>NHS_AE_2024_2025[[#This Row],[A&amp;E attendances Type 1]]+
NHS_AE_2024_2025[[#This Row],[A&amp;E attendances Type 2]]+
NHS_AE_2024_2025[[#This Row],[A&amp;E attendances Other A&amp;E Department]]</f>
        <v>22271</v>
      </c>
      <c r="Y165">
        <f t="shared" si="4"/>
        <v>5394</v>
      </c>
      <c r="Z165">
        <f t="shared" si="5"/>
        <v>5131</v>
      </c>
    </row>
    <row r="166" spans="1:26" x14ac:dyDescent="0.2">
      <c r="A166" t="s">
        <v>23</v>
      </c>
      <c r="B166" t="s">
        <v>24</v>
      </c>
      <c r="C166" t="s">
        <v>360</v>
      </c>
      <c r="D166" t="s">
        <v>50</v>
      </c>
      <c r="E166" t="s">
        <v>361</v>
      </c>
      <c r="F166">
        <v>0</v>
      </c>
      <c r="G166">
        <v>0</v>
      </c>
      <c r="H166">
        <v>2189</v>
      </c>
      <c r="I166">
        <v>0</v>
      </c>
      <c r="J166">
        <v>0</v>
      </c>
      <c r="K166">
        <v>305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f>NHS_AE_2024_2025[[#This Row],[A&amp;E attendances Type 1]]+
NHS_AE_2024_2025[[#This Row],[A&amp;E attendances Type 2]]+
NHS_AE_2024_2025[[#This Row],[A&amp;E attendances Other A&amp;E Department]]</f>
        <v>2189</v>
      </c>
      <c r="Y166">
        <f t="shared" si="4"/>
        <v>0</v>
      </c>
      <c r="Z166">
        <f t="shared" si="5"/>
        <v>0</v>
      </c>
    </row>
    <row r="167" spans="1:26" x14ac:dyDescent="0.2">
      <c r="A167" t="s">
        <v>23</v>
      </c>
      <c r="B167" t="s">
        <v>24</v>
      </c>
      <c r="C167" t="s">
        <v>362</v>
      </c>
      <c r="D167" t="s">
        <v>26</v>
      </c>
      <c r="E167" t="s">
        <v>363</v>
      </c>
      <c r="F167">
        <v>8258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3304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772</v>
      </c>
      <c r="S167">
        <v>39</v>
      </c>
      <c r="T167">
        <v>2421</v>
      </c>
      <c r="U167">
        <v>0</v>
      </c>
      <c r="V167">
        <v>14</v>
      </c>
      <c r="W167">
        <v>1602</v>
      </c>
      <c r="X167">
        <f>NHS_AE_2024_2025[[#This Row],[A&amp;E attendances Type 1]]+
NHS_AE_2024_2025[[#This Row],[A&amp;E attendances Type 2]]+
NHS_AE_2024_2025[[#This Row],[A&amp;E attendances Other A&amp;E Department]]</f>
        <v>8258</v>
      </c>
      <c r="Y167">
        <f t="shared" si="4"/>
        <v>3304</v>
      </c>
      <c r="Z167">
        <f t="shared" si="5"/>
        <v>4037</v>
      </c>
    </row>
    <row r="168" spans="1:26" x14ac:dyDescent="0.2">
      <c r="A168" t="s">
        <v>23</v>
      </c>
      <c r="B168" t="s">
        <v>24</v>
      </c>
      <c r="C168" t="s">
        <v>364</v>
      </c>
      <c r="D168" t="s">
        <v>37</v>
      </c>
      <c r="E168" t="s">
        <v>365</v>
      </c>
      <c r="F168">
        <v>0</v>
      </c>
      <c r="G168">
        <v>0</v>
      </c>
      <c r="H168">
        <v>12252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394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f>NHS_AE_2024_2025[[#This Row],[A&amp;E attendances Type 1]]+
NHS_AE_2024_2025[[#This Row],[A&amp;E attendances Type 2]]+
NHS_AE_2024_2025[[#This Row],[A&amp;E attendances Other A&amp;E Department]]</f>
        <v>12252</v>
      </c>
      <c r="Y168">
        <f t="shared" si="4"/>
        <v>394</v>
      </c>
      <c r="Z168">
        <f t="shared" si="5"/>
        <v>0</v>
      </c>
    </row>
    <row r="169" spans="1:26" x14ac:dyDescent="0.2">
      <c r="A169" t="s">
        <v>23</v>
      </c>
      <c r="B169" t="s">
        <v>24</v>
      </c>
      <c r="C169" t="s">
        <v>366</v>
      </c>
      <c r="D169" t="s">
        <v>29</v>
      </c>
      <c r="E169" t="s">
        <v>367</v>
      </c>
      <c r="F169">
        <v>12585</v>
      </c>
      <c r="G169">
        <v>2426</v>
      </c>
      <c r="H169">
        <v>13415</v>
      </c>
      <c r="I169">
        <v>0</v>
      </c>
      <c r="J169">
        <v>0</v>
      </c>
      <c r="K169">
        <v>0</v>
      </c>
      <c r="L169">
        <v>5543</v>
      </c>
      <c r="M169">
        <v>378</v>
      </c>
      <c r="N169">
        <v>292</v>
      </c>
      <c r="O169">
        <v>0</v>
      </c>
      <c r="P169">
        <v>0</v>
      </c>
      <c r="Q169">
        <v>0</v>
      </c>
      <c r="R169">
        <v>721</v>
      </c>
      <c r="S169">
        <v>657</v>
      </c>
      <c r="T169">
        <v>7837</v>
      </c>
      <c r="U169">
        <v>0</v>
      </c>
      <c r="V169">
        <v>0</v>
      </c>
      <c r="W169">
        <v>475</v>
      </c>
      <c r="X169">
        <f>NHS_AE_2024_2025[[#This Row],[A&amp;E attendances Type 1]]+
NHS_AE_2024_2025[[#This Row],[A&amp;E attendances Type 2]]+
NHS_AE_2024_2025[[#This Row],[A&amp;E attendances Other A&amp;E Department]]</f>
        <v>28426</v>
      </c>
      <c r="Y169">
        <f t="shared" si="4"/>
        <v>6213</v>
      </c>
      <c r="Z169">
        <f t="shared" si="5"/>
        <v>8312</v>
      </c>
    </row>
    <row r="170" spans="1:26" x14ac:dyDescent="0.2">
      <c r="A170" t="s">
        <v>23</v>
      </c>
      <c r="B170" t="s">
        <v>24</v>
      </c>
      <c r="C170" t="s">
        <v>368</v>
      </c>
      <c r="D170" t="s">
        <v>50</v>
      </c>
      <c r="E170" t="s">
        <v>369</v>
      </c>
      <c r="F170">
        <v>8906</v>
      </c>
      <c r="G170">
        <v>1137</v>
      </c>
      <c r="H170">
        <v>7457</v>
      </c>
      <c r="I170">
        <v>401</v>
      </c>
      <c r="J170">
        <v>1</v>
      </c>
      <c r="K170">
        <v>1151</v>
      </c>
      <c r="L170">
        <v>4356</v>
      </c>
      <c r="M170">
        <v>0</v>
      </c>
      <c r="N170">
        <v>172</v>
      </c>
      <c r="O170">
        <v>175</v>
      </c>
      <c r="P170">
        <v>0</v>
      </c>
      <c r="Q170">
        <v>22</v>
      </c>
      <c r="R170">
        <v>1236</v>
      </c>
      <c r="S170">
        <v>5</v>
      </c>
      <c r="T170">
        <v>3737</v>
      </c>
      <c r="U170">
        <v>0</v>
      </c>
      <c r="V170">
        <v>0</v>
      </c>
      <c r="W170">
        <v>2799</v>
      </c>
      <c r="X170">
        <f>NHS_AE_2024_2025[[#This Row],[A&amp;E attendances Type 1]]+
NHS_AE_2024_2025[[#This Row],[A&amp;E attendances Type 2]]+
NHS_AE_2024_2025[[#This Row],[A&amp;E attendances Other A&amp;E Department]]</f>
        <v>17500</v>
      </c>
      <c r="Y170">
        <f t="shared" si="4"/>
        <v>4528</v>
      </c>
      <c r="Z170">
        <f t="shared" si="5"/>
        <v>6536</v>
      </c>
    </row>
    <row r="171" spans="1:26" x14ac:dyDescent="0.2">
      <c r="A171" t="s">
        <v>23</v>
      </c>
      <c r="B171" t="s">
        <v>24</v>
      </c>
      <c r="C171" t="s">
        <v>370</v>
      </c>
      <c r="D171" t="s">
        <v>29</v>
      </c>
      <c r="E171" t="s">
        <v>371</v>
      </c>
      <c r="F171">
        <v>13071</v>
      </c>
      <c r="G171">
        <v>0</v>
      </c>
      <c r="H171">
        <v>11391</v>
      </c>
      <c r="I171">
        <v>36</v>
      </c>
      <c r="J171">
        <v>0</v>
      </c>
      <c r="K171">
        <v>0</v>
      </c>
      <c r="L171">
        <v>7203</v>
      </c>
      <c r="M171">
        <v>0</v>
      </c>
      <c r="N171">
        <v>1446</v>
      </c>
      <c r="O171">
        <v>5</v>
      </c>
      <c r="P171">
        <v>0</v>
      </c>
      <c r="Q171">
        <v>0</v>
      </c>
      <c r="R171">
        <v>1091</v>
      </c>
      <c r="S171">
        <v>733</v>
      </c>
      <c r="T171">
        <v>3639</v>
      </c>
      <c r="U171">
        <v>0</v>
      </c>
      <c r="V171">
        <v>0</v>
      </c>
      <c r="W171">
        <v>1341</v>
      </c>
      <c r="X171">
        <f>NHS_AE_2024_2025[[#This Row],[A&amp;E attendances Type 1]]+
NHS_AE_2024_2025[[#This Row],[A&amp;E attendances Type 2]]+
NHS_AE_2024_2025[[#This Row],[A&amp;E attendances Other A&amp;E Department]]</f>
        <v>24462</v>
      </c>
      <c r="Y171">
        <f t="shared" si="4"/>
        <v>8649</v>
      </c>
      <c r="Z171">
        <f t="shared" si="5"/>
        <v>4980</v>
      </c>
    </row>
    <row r="172" spans="1:26" x14ac:dyDescent="0.2">
      <c r="A172" t="s">
        <v>23</v>
      </c>
      <c r="B172" t="s">
        <v>24</v>
      </c>
      <c r="C172" t="s">
        <v>372</v>
      </c>
      <c r="D172" t="s">
        <v>29</v>
      </c>
      <c r="E172" t="s">
        <v>373</v>
      </c>
      <c r="F172">
        <v>8958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2515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196</v>
      </c>
      <c r="S172">
        <v>428</v>
      </c>
      <c r="T172">
        <v>1004</v>
      </c>
      <c r="U172">
        <v>0</v>
      </c>
      <c r="V172">
        <v>0</v>
      </c>
      <c r="W172">
        <v>44</v>
      </c>
      <c r="X172">
        <f>NHS_AE_2024_2025[[#This Row],[A&amp;E attendances Type 1]]+
NHS_AE_2024_2025[[#This Row],[A&amp;E attendances Type 2]]+
NHS_AE_2024_2025[[#This Row],[A&amp;E attendances Other A&amp;E Department]]</f>
        <v>8958</v>
      </c>
      <c r="Y172">
        <f t="shared" si="4"/>
        <v>2515</v>
      </c>
      <c r="Z172">
        <f t="shared" si="5"/>
        <v>1048</v>
      </c>
    </row>
    <row r="173" spans="1:26" x14ac:dyDescent="0.2">
      <c r="A173" t="s">
        <v>23</v>
      </c>
      <c r="B173" t="s">
        <v>24</v>
      </c>
      <c r="C173" t="s">
        <v>374</v>
      </c>
      <c r="D173" t="s">
        <v>37</v>
      </c>
      <c r="E173" t="s">
        <v>375</v>
      </c>
      <c r="F173">
        <v>10890</v>
      </c>
      <c r="G173">
        <v>0</v>
      </c>
      <c r="H173">
        <v>3474</v>
      </c>
      <c r="I173">
        <v>0</v>
      </c>
      <c r="J173">
        <v>0</v>
      </c>
      <c r="K173">
        <v>0</v>
      </c>
      <c r="L173">
        <v>3338</v>
      </c>
      <c r="M173">
        <v>0</v>
      </c>
      <c r="N173">
        <v>61</v>
      </c>
      <c r="O173">
        <v>0</v>
      </c>
      <c r="P173">
        <v>0</v>
      </c>
      <c r="Q173">
        <v>0</v>
      </c>
      <c r="R173">
        <v>909</v>
      </c>
      <c r="S173">
        <v>120</v>
      </c>
      <c r="T173">
        <v>2813</v>
      </c>
      <c r="U173">
        <v>0</v>
      </c>
      <c r="V173">
        <v>0</v>
      </c>
      <c r="W173">
        <v>433</v>
      </c>
      <c r="X173">
        <f>NHS_AE_2024_2025[[#This Row],[A&amp;E attendances Type 1]]+
NHS_AE_2024_2025[[#This Row],[A&amp;E attendances Type 2]]+
NHS_AE_2024_2025[[#This Row],[A&amp;E attendances Other A&amp;E Department]]</f>
        <v>14364</v>
      </c>
      <c r="Y173">
        <f t="shared" si="4"/>
        <v>3399</v>
      </c>
      <c r="Z173">
        <f t="shared" si="5"/>
        <v>3246</v>
      </c>
    </row>
    <row r="174" spans="1:26" x14ac:dyDescent="0.2">
      <c r="A174" t="s">
        <v>23</v>
      </c>
      <c r="B174" t="s">
        <v>24</v>
      </c>
      <c r="C174" t="s">
        <v>376</v>
      </c>
      <c r="D174" t="s">
        <v>55</v>
      </c>
      <c r="E174" t="s">
        <v>377</v>
      </c>
      <c r="F174">
        <v>8617</v>
      </c>
      <c r="G174">
        <v>0</v>
      </c>
      <c r="H174">
        <v>2740</v>
      </c>
      <c r="I174">
        <v>148</v>
      </c>
      <c r="J174">
        <v>0</v>
      </c>
      <c r="K174">
        <v>632</v>
      </c>
      <c r="L174">
        <v>2626</v>
      </c>
      <c r="M174">
        <v>0</v>
      </c>
      <c r="N174">
        <v>104</v>
      </c>
      <c r="O174">
        <v>32</v>
      </c>
      <c r="P174">
        <v>0</v>
      </c>
      <c r="Q174">
        <v>40</v>
      </c>
      <c r="R174">
        <v>511</v>
      </c>
      <c r="S174">
        <v>354</v>
      </c>
      <c r="T174">
        <v>2977</v>
      </c>
      <c r="U174">
        <v>0</v>
      </c>
      <c r="V174">
        <v>17</v>
      </c>
      <c r="W174">
        <v>966</v>
      </c>
      <c r="X174">
        <f>NHS_AE_2024_2025[[#This Row],[A&amp;E attendances Type 1]]+
NHS_AE_2024_2025[[#This Row],[A&amp;E attendances Type 2]]+
NHS_AE_2024_2025[[#This Row],[A&amp;E attendances Other A&amp;E Department]]</f>
        <v>11357</v>
      </c>
      <c r="Y174">
        <f t="shared" si="4"/>
        <v>2730</v>
      </c>
      <c r="Z174">
        <f t="shared" si="5"/>
        <v>3960</v>
      </c>
    </row>
    <row r="175" spans="1:26" x14ac:dyDescent="0.2">
      <c r="A175" t="s">
        <v>23</v>
      </c>
      <c r="B175" t="s">
        <v>24</v>
      </c>
      <c r="C175" t="s">
        <v>378</v>
      </c>
      <c r="D175" t="s">
        <v>37</v>
      </c>
      <c r="E175" t="s">
        <v>379</v>
      </c>
      <c r="F175">
        <v>0</v>
      </c>
      <c r="G175">
        <v>0</v>
      </c>
      <c r="H175">
        <v>1440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38</v>
      </c>
      <c r="W175">
        <v>0</v>
      </c>
      <c r="X175">
        <f>NHS_AE_2024_2025[[#This Row],[A&amp;E attendances Type 1]]+
NHS_AE_2024_2025[[#This Row],[A&amp;E attendances Type 2]]+
NHS_AE_2024_2025[[#This Row],[A&amp;E attendances Other A&amp;E Department]]</f>
        <v>1440</v>
      </c>
      <c r="Y175">
        <f t="shared" si="4"/>
        <v>21</v>
      </c>
      <c r="Z175">
        <f t="shared" si="5"/>
        <v>38</v>
      </c>
    </row>
    <row r="176" spans="1:26" x14ac:dyDescent="0.2">
      <c r="A176" t="s">
        <v>23</v>
      </c>
      <c r="B176" t="s">
        <v>24</v>
      </c>
      <c r="C176" t="s">
        <v>380</v>
      </c>
      <c r="D176" t="s">
        <v>55</v>
      </c>
      <c r="E176" t="s">
        <v>381</v>
      </c>
      <c r="F176">
        <v>16959</v>
      </c>
      <c r="G176">
        <v>0</v>
      </c>
      <c r="H176">
        <v>7515</v>
      </c>
      <c r="I176">
        <v>414</v>
      </c>
      <c r="J176">
        <v>0</v>
      </c>
      <c r="K176">
        <v>0</v>
      </c>
      <c r="L176">
        <v>7393</v>
      </c>
      <c r="M176">
        <v>0</v>
      </c>
      <c r="N176">
        <v>169</v>
      </c>
      <c r="O176">
        <v>59</v>
      </c>
      <c r="P176">
        <v>0</v>
      </c>
      <c r="Q176">
        <v>0</v>
      </c>
      <c r="R176">
        <v>563</v>
      </c>
      <c r="S176">
        <v>302</v>
      </c>
      <c r="T176">
        <v>7177</v>
      </c>
      <c r="U176">
        <v>0</v>
      </c>
      <c r="V176">
        <v>0</v>
      </c>
      <c r="W176">
        <v>613</v>
      </c>
      <c r="X176">
        <f>NHS_AE_2024_2025[[#This Row],[A&amp;E attendances Type 1]]+
NHS_AE_2024_2025[[#This Row],[A&amp;E attendances Type 2]]+
NHS_AE_2024_2025[[#This Row],[A&amp;E attendances Other A&amp;E Department]]</f>
        <v>24474</v>
      </c>
      <c r="Y176">
        <f t="shared" si="4"/>
        <v>7562</v>
      </c>
      <c r="Z176">
        <f t="shared" si="5"/>
        <v>7790</v>
      </c>
    </row>
    <row r="177" spans="1:26" x14ac:dyDescent="0.2">
      <c r="A177" t="s">
        <v>23</v>
      </c>
      <c r="B177" t="s">
        <v>24</v>
      </c>
      <c r="C177" t="s">
        <v>382</v>
      </c>
      <c r="D177" t="s">
        <v>26</v>
      </c>
      <c r="E177" t="s">
        <v>383</v>
      </c>
      <c r="F177">
        <v>12901</v>
      </c>
      <c r="G177">
        <v>0</v>
      </c>
      <c r="H177">
        <v>9795</v>
      </c>
      <c r="I177">
        <v>0</v>
      </c>
      <c r="J177">
        <v>0</v>
      </c>
      <c r="K177">
        <v>1</v>
      </c>
      <c r="L177">
        <v>4809</v>
      </c>
      <c r="M177">
        <v>0</v>
      </c>
      <c r="N177">
        <v>111</v>
      </c>
      <c r="O177">
        <v>0</v>
      </c>
      <c r="P177">
        <v>0</v>
      </c>
      <c r="Q177">
        <v>0</v>
      </c>
      <c r="R177">
        <v>433</v>
      </c>
      <c r="S177">
        <v>20</v>
      </c>
      <c r="T177">
        <v>3336</v>
      </c>
      <c r="U177">
        <v>0</v>
      </c>
      <c r="V177">
        <v>0</v>
      </c>
      <c r="W177">
        <v>2148</v>
      </c>
      <c r="X177">
        <f>NHS_AE_2024_2025[[#This Row],[A&amp;E attendances Type 1]]+
NHS_AE_2024_2025[[#This Row],[A&amp;E attendances Type 2]]+
NHS_AE_2024_2025[[#This Row],[A&amp;E attendances Other A&amp;E Department]]</f>
        <v>22696</v>
      </c>
      <c r="Y177">
        <f t="shared" si="4"/>
        <v>4920</v>
      </c>
      <c r="Z177">
        <f t="shared" si="5"/>
        <v>5484</v>
      </c>
    </row>
    <row r="178" spans="1:26" x14ac:dyDescent="0.2">
      <c r="A178" t="s">
        <v>23</v>
      </c>
      <c r="B178" t="s">
        <v>24</v>
      </c>
      <c r="C178" t="s">
        <v>384</v>
      </c>
      <c r="D178" t="s">
        <v>55</v>
      </c>
      <c r="E178" t="s">
        <v>385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172</v>
      </c>
      <c r="X178">
        <f>NHS_AE_2024_2025[[#This Row],[A&amp;E attendances Type 1]]+
NHS_AE_2024_2025[[#This Row],[A&amp;E attendances Type 2]]+
NHS_AE_2024_2025[[#This Row],[A&amp;E attendances Other A&amp;E Department]]</f>
        <v>0</v>
      </c>
      <c r="Y178">
        <f t="shared" si="4"/>
        <v>0</v>
      </c>
      <c r="Z178">
        <f t="shared" si="5"/>
        <v>172</v>
      </c>
    </row>
    <row r="179" spans="1:26" x14ac:dyDescent="0.2">
      <c r="A179" t="s">
        <v>23</v>
      </c>
      <c r="B179" t="s">
        <v>24</v>
      </c>
      <c r="C179" t="s">
        <v>386</v>
      </c>
      <c r="D179" t="s">
        <v>32</v>
      </c>
      <c r="E179" t="s">
        <v>387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23</v>
      </c>
      <c r="X179">
        <f>NHS_AE_2024_2025[[#This Row],[A&amp;E attendances Type 1]]+
NHS_AE_2024_2025[[#This Row],[A&amp;E attendances Type 2]]+
NHS_AE_2024_2025[[#This Row],[A&amp;E attendances Other A&amp;E Department]]</f>
        <v>0</v>
      </c>
      <c r="Y179">
        <f t="shared" si="4"/>
        <v>0</v>
      </c>
      <c r="Z179">
        <f t="shared" si="5"/>
        <v>23</v>
      </c>
    </row>
    <row r="180" spans="1:26" x14ac:dyDescent="0.2">
      <c r="A180" t="s">
        <v>23</v>
      </c>
      <c r="B180" t="s">
        <v>24</v>
      </c>
      <c r="C180" t="s">
        <v>388</v>
      </c>
      <c r="D180" t="s">
        <v>55</v>
      </c>
      <c r="E180" t="s">
        <v>389</v>
      </c>
      <c r="F180">
        <v>7570</v>
      </c>
      <c r="G180">
        <v>0</v>
      </c>
      <c r="H180">
        <v>3317</v>
      </c>
      <c r="I180">
        <v>124</v>
      </c>
      <c r="J180">
        <v>0</v>
      </c>
      <c r="K180">
        <v>145</v>
      </c>
      <c r="L180">
        <v>4055</v>
      </c>
      <c r="M180">
        <v>0</v>
      </c>
      <c r="N180">
        <v>312</v>
      </c>
      <c r="O180">
        <v>46</v>
      </c>
      <c r="P180">
        <v>0</v>
      </c>
      <c r="Q180">
        <v>5</v>
      </c>
      <c r="R180">
        <v>484</v>
      </c>
      <c r="S180">
        <v>656</v>
      </c>
      <c r="T180">
        <v>2272</v>
      </c>
      <c r="U180">
        <v>0</v>
      </c>
      <c r="V180">
        <v>63</v>
      </c>
      <c r="W180">
        <v>761</v>
      </c>
      <c r="X180">
        <f>NHS_AE_2024_2025[[#This Row],[A&amp;E attendances Type 1]]+
NHS_AE_2024_2025[[#This Row],[A&amp;E attendances Type 2]]+
NHS_AE_2024_2025[[#This Row],[A&amp;E attendances Other A&amp;E Department]]</f>
        <v>10887</v>
      </c>
      <c r="Y180">
        <f t="shared" si="4"/>
        <v>4367</v>
      </c>
      <c r="Z180">
        <f t="shared" si="5"/>
        <v>3096</v>
      </c>
    </row>
    <row r="181" spans="1:26" x14ac:dyDescent="0.2">
      <c r="A181" t="s">
        <v>23</v>
      </c>
      <c r="B181" t="s">
        <v>24</v>
      </c>
      <c r="C181" t="s">
        <v>390</v>
      </c>
      <c r="D181" t="s">
        <v>26</v>
      </c>
      <c r="E181" t="s">
        <v>391</v>
      </c>
      <c r="F181">
        <v>5212</v>
      </c>
      <c r="G181">
        <v>0</v>
      </c>
      <c r="H181">
        <v>5502</v>
      </c>
      <c r="I181">
        <v>0</v>
      </c>
      <c r="J181">
        <v>0</v>
      </c>
      <c r="K181">
        <v>171</v>
      </c>
      <c r="L181">
        <v>2283</v>
      </c>
      <c r="M181">
        <v>0</v>
      </c>
      <c r="N181">
        <v>339</v>
      </c>
      <c r="O181">
        <v>0</v>
      </c>
      <c r="P181">
        <v>0</v>
      </c>
      <c r="Q181">
        <v>1</v>
      </c>
      <c r="R181">
        <v>431</v>
      </c>
      <c r="S181">
        <v>118</v>
      </c>
      <c r="T181">
        <v>2261</v>
      </c>
      <c r="U181">
        <v>0</v>
      </c>
      <c r="V181">
        <v>0</v>
      </c>
      <c r="W181">
        <v>1425</v>
      </c>
      <c r="X181">
        <f>NHS_AE_2024_2025[[#This Row],[A&amp;E attendances Type 1]]+
NHS_AE_2024_2025[[#This Row],[A&amp;E attendances Type 2]]+
NHS_AE_2024_2025[[#This Row],[A&amp;E attendances Other A&amp;E Department]]</f>
        <v>10714</v>
      </c>
      <c r="Y181">
        <f t="shared" si="4"/>
        <v>2622</v>
      </c>
      <c r="Z181">
        <f t="shared" si="5"/>
        <v>3686</v>
      </c>
    </row>
    <row r="182" spans="1:26" x14ac:dyDescent="0.2">
      <c r="A182" t="s">
        <v>23</v>
      </c>
      <c r="B182" t="s">
        <v>24</v>
      </c>
      <c r="C182" t="s">
        <v>392</v>
      </c>
      <c r="D182" t="s">
        <v>50</v>
      </c>
      <c r="E182" t="s">
        <v>393</v>
      </c>
      <c r="F182">
        <v>11690</v>
      </c>
      <c r="G182">
        <v>1659</v>
      </c>
      <c r="H182">
        <v>5200</v>
      </c>
      <c r="I182">
        <v>0</v>
      </c>
      <c r="J182">
        <v>0</v>
      </c>
      <c r="K182">
        <v>783</v>
      </c>
      <c r="L182">
        <v>5019</v>
      </c>
      <c r="M182">
        <v>161</v>
      </c>
      <c r="N182">
        <v>0</v>
      </c>
      <c r="O182">
        <v>0</v>
      </c>
      <c r="P182">
        <v>0</v>
      </c>
      <c r="Q182">
        <v>0</v>
      </c>
      <c r="R182">
        <v>683</v>
      </c>
      <c r="S182">
        <v>122</v>
      </c>
      <c r="T182">
        <v>3477</v>
      </c>
      <c r="U182">
        <v>28</v>
      </c>
      <c r="V182">
        <v>0</v>
      </c>
      <c r="W182">
        <v>2948</v>
      </c>
      <c r="X182">
        <f>NHS_AE_2024_2025[[#This Row],[A&amp;E attendances Type 1]]+
NHS_AE_2024_2025[[#This Row],[A&amp;E attendances Type 2]]+
NHS_AE_2024_2025[[#This Row],[A&amp;E attendances Other A&amp;E Department]]</f>
        <v>18549</v>
      </c>
      <c r="Y182">
        <f t="shared" si="4"/>
        <v>5180</v>
      </c>
      <c r="Z182">
        <f t="shared" si="5"/>
        <v>6453</v>
      </c>
    </row>
    <row r="183" spans="1:26" x14ac:dyDescent="0.2">
      <c r="A183" t="s">
        <v>23</v>
      </c>
      <c r="B183" t="s">
        <v>24</v>
      </c>
      <c r="C183" t="s">
        <v>394</v>
      </c>
      <c r="D183" t="s">
        <v>55</v>
      </c>
      <c r="E183" t="s">
        <v>395</v>
      </c>
      <c r="F183">
        <v>23565</v>
      </c>
      <c r="G183">
        <v>3203</v>
      </c>
      <c r="H183">
        <v>11520</v>
      </c>
      <c r="I183">
        <v>3030</v>
      </c>
      <c r="J183">
        <v>522</v>
      </c>
      <c r="K183">
        <v>968</v>
      </c>
      <c r="L183">
        <v>11068</v>
      </c>
      <c r="M183">
        <v>93</v>
      </c>
      <c r="N183">
        <v>737</v>
      </c>
      <c r="O183">
        <v>1294</v>
      </c>
      <c r="P183">
        <v>12</v>
      </c>
      <c r="Q183">
        <v>93</v>
      </c>
      <c r="R183">
        <v>3573</v>
      </c>
      <c r="S183">
        <v>623</v>
      </c>
      <c r="T183">
        <v>5256</v>
      </c>
      <c r="U183">
        <v>170</v>
      </c>
      <c r="V183">
        <v>148</v>
      </c>
      <c r="W183">
        <v>503</v>
      </c>
      <c r="X183">
        <f>NHS_AE_2024_2025[[#This Row],[A&amp;E attendances Type 1]]+
NHS_AE_2024_2025[[#This Row],[A&amp;E attendances Type 2]]+
NHS_AE_2024_2025[[#This Row],[A&amp;E attendances Other A&amp;E Department]]</f>
        <v>38288</v>
      </c>
      <c r="Y183">
        <f t="shared" si="4"/>
        <v>11898</v>
      </c>
      <c r="Z183">
        <f t="shared" si="5"/>
        <v>6077</v>
      </c>
    </row>
    <row r="184" spans="1:26" x14ac:dyDescent="0.2">
      <c r="A184" t="s">
        <v>23</v>
      </c>
      <c r="B184" t="s">
        <v>24</v>
      </c>
      <c r="C184" t="s">
        <v>396</v>
      </c>
      <c r="D184" t="s">
        <v>29</v>
      </c>
      <c r="E184" t="s">
        <v>397</v>
      </c>
      <c r="F184">
        <v>5629</v>
      </c>
      <c r="G184">
        <v>0</v>
      </c>
      <c r="H184">
        <v>6741</v>
      </c>
      <c r="I184">
        <v>0</v>
      </c>
      <c r="J184">
        <v>0</v>
      </c>
      <c r="K184">
        <v>0</v>
      </c>
      <c r="L184">
        <v>2550</v>
      </c>
      <c r="M184">
        <v>0</v>
      </c>
      <c r="N184">
        <v>41</v>
      </c>
      <c r="O184">
        <v>0</v>
      </c>
      <c r="P184">
        <v>0</v>
      </c>
      <c r="Q184">
        <v>0</v>
      </c>
      <c r="R184">
        <v>302</v>
      </c>
      <c r="S184">
        <v>16</v>
      </c>
      <c r="T184">
        <v>2720</v>
      </c>
      <c r="U184">
        <v>0</v>
      </c>
      <c r="V184">
        <v>0</v>
      </c>
      <c r="W184">
        <v>191</v>
      </c>
      <c r="X184">
        <f>NHS_AE_2024_2025[[#This Row],[A&amp;E attendances Type 1]]+
NHS_AE_2024_2025[[#This Row],[A&amp;E attendances Type 2]]+
NHS_AE_2024_2025[[#This Row],[A&amp;E attendances Other A&amp;E Department]]</f>
        <v>12370</v>
      </c>
      <c r="Y184">
        <f t="shared" si="4"/>
        <v>2591</v>
      </c>
      <c r="Z184">
        <f t="shared" si="5"/>
        <v>2911</v>
      </c>
    </row>
    <row r="185" spans="1:26" x14ac:dyDescent="0.2">
      <c r="A185" t="s">
        <v>23</v>
      </c>
      <c r="B185" t="s">
        <v>24</v>
      </c>
      <c r="C185" t="s">
        <v>398</v>
      </c>
      <c r="D185" t="s">
        <v>55</v>
      </c>
      <c r="E185" t="s">
        <v>399</v>
      </c>
      <c r="F185">
        <v>7595</v>
      </c>
      <c r="G185">
        <v>0</v>
      </c>
      <c r="H185">
        <v>2639</v>
      </c>
      <c r="I185">
        <v>125</v>
      </c>
      <c r="J185">
        <v>0</v>
      </c>
      <c r="K185">
        <v>183</v>
      </c>
      <c r="L185">
        <v>3922</v>
      </c>
      <c r="M185">
        <v>0</v>
      </c>
      <c r="N185">
        <v>47</v>
      </c>
      <c r="O185">
        <v>43</v>
      </c>
      <c r="P185">
        <v>0</v>
      </c>
      <c r="Q185">
        <v>5</v>
      </c>
      <c r="R185">
        <v>723</v>
      </c>
      <c r="S185">
        <v>362</v>
      </c>
      <c r="T185">
        <v>2175</v>
      </c>
      <c r="U185">
        <v>0</v>
      </c>
      <c r="V185">
        <v>0</v>
      </c>
      <c r="W185">
        <v>1712</v>
      </c>
      <c r="X185">
        <f>NHS_AE_2024_2025[[#This Row],[A&amp;E attendances Type 1]]+
NHS_AE_2024_2025[[#This Row],[A&amp;E attendances Type 2]]+
NHS_AE_2024_2025[[#This Row],[A&amp;E attendances Other A&amp;E Department]]</f>
        <v>10234</v>
      </c>
      <c r="Y185">
        <f t="shared" si="4"/>
        <v>3969</v>
      </c>
      <c r="Z185">
        <f t="shared" si="5"/>
        <v>3887</v>
      </c>
    </row>
    <row r="186" spans="1:26" x14ac:dyDescent="0.2">
      <c r="A186" t="s">
        <v>23</v>
      </c>
      <c r="B186" t="s">
        <v>24</v>
      </c>
      <c r="C186" t="s">
        <v>400</v>
      </c>
      <c r="D186" t="s">
        <v>50</v>
      </c>
      <c r="E186" t="s">
        <v>401</v>
      </c>
      <c r="F186">
        <v>4751</v>
      </c>
      <c r="G186">
        <v>0</v>
      </c>
      <c r="H186">
        <v>835</v>
      </c>
      <c r="I186">
        <v>209</v>
      </c>
      <c r="J186">
        <v>0</v>
      </c>
      <c r="K186">
        <v>23</v>
      </c>
      <c r="L186">
        <v>1543</v>
      </c>
      <c r="M186">
        <v>0</v>
      </c>
      <c r="N186">
        <v>1</v>
      </c>
      <c r="O186">
        <v>47</v>
      </c>
      <c r="P186">
        <v>0</v>
      </c>
      <c r="Q186">
        <v>0</v>
      </c>
      <c r="R186">
        <v>320</v>
      </c>
      <c r="S186">
        <v>66</v>
      </c>
      <c r="T186">
        <v>1257</v>
      </c>
      <c r="U186">
        <v>0</v>
      </c>
      <c r="V186">
        <v>0</v>
      </c>
      <c r="W186">
        <v>457</v>
      </c>
      <c r="X186">
        <f>NHS_AE_2024_2025[[#This Row],[A&amp;E attendances Type 1]]+
NHS_AE_2024_2025[[#This Row],[A&amp;E attendances Type 2]]+
NHS_AE_2024_2025[[#This Row],[A&amp;E attendances Other A&amp;E Department]]</f>
        <v>5586</v>
      </c>
      <c r="Y186">
        <f t="shared" si="4"/>
        <v>1544</v>
      </c>
      <c r="Z186">
        <f t="shared" si="5"/>
        <v>1714</v>
      </c>
    </row>
    <row r="187" spans="1:26" x14ac:dyDescent="0.2">
      <c r="A187" t="s">
        <v>23</v>
      </c>
      <c r="B187" t="s">
        <v>24</v>
      </c>
      <c r="C187" t="s">
        <v>402</v>
      </c>
      <c r="D187" t="s">
        <v>70</v>
      </c>
      <c r="E187" t="s">
        <v>403</v>
      </c>
      <c r="F187">
        <v>6228</v>
      </c>
      <c r="G187">
        <v>0</v>
      </c>
      <c r="H187">
        <v>1182</v>
      </c>
      <c r="I187">
        <v>31</v>
      </c>
      <c r="J187">
        <v>0</v>
      </c>
      <c r="K187">
        <v>0</v>
      </c>
      <c r="L187">
        <v>2119</v>
      </c>
      <c r="M187">
        <v>0</v>
      </c>
      <c r="N187">
        <v>0</v>
      </c>
      <c r="O187">
        <v>7</v>
      </c>
      <c r="P187">
        <v>0</v>
      </c>
      <c r="Q187">
        <v>0</v>
      </c>
      <c r="R187">
        <v>352</v>
      </c>
      <c r="S187">
        <v>142</v>
      </c>
      <c r="T187">
        <v>2283</v>
      </c>
      <c r="U187">
        <v>0</v>
      </c>
      <c r="V187">
        <v>0</v>
      </c>
      <c r="W187">
        <v>652</v>
      </c>
      <c r="X187">
        <f>NHS_AE_2024_2025[[#This Row],[A&amp;E attendances Type 1]]+
NHS_AE_2024_2025[[#This Row],[A&amp;E attendances Type 2]]+
NHS_AE_2024_2025[[#This Row],[A&amp;E attendances Other A&amp;E Department]]</f>
        <v>7410</v>
      </c>
      <c r="Y187">
        <f t="shared" si="4"/>
        <v>2119</v>
      </c>
      <c r="Z187">
        <f t="shared" si="5"/>
        <v>2935</v>
      </c>
    </row>
    <row r="188" spans="1:26" x14ac:dyDescent="0.2">
      <c r="A188" t="s">
        <v>23</v>
      </c>
      <c r="B188" t="s">
        <v>24</v>
      </c>
      <c r="C188" t="s">
        <v>404</v>
      </c>
      <c r="D188" t="s">
        <v>26</v>
      </c>
      <c r="E188" t="s">
        <v>405</v>
      </c>
      <c r="F188">
        <v>11828</v>
      </c>
      <c r="G188">
        <v>503</v>
      </c>
      <c r="H188">
        <v>3905</v>
      </c>
      <c r="I188">
        <v>1217</v>
      </c>
      <c r="J188">
        <v>0</v>
      </c>
      <c r="K188">
        <v>47</v>
      </c>
      <c r="L188">
        <v>3836</v>
      </c>
      <c r="M188">
        <v>45</v>
      </c>
      <c r="N188">
        <v>45</v>
      </c>
      <c r="O188">
        <v>399</v>
      </c>
      <c r="P188">
        <v>0</v>
      </c>
      <c r="Q188">
        <v>0</v>
      </c>
      <c r="R188">
        <v>840</v>
      </c>
      <c r="S188">
        <v>20</v>
      </c>
      <c r="T188">
        <v>4125</v>
      </c>
      <c r="U188">
        <v>0</v>
      </c>
      <c r="V188">
        <v>0</v>
      </c>
      <c r="W188">
        <v>2202</v>
      </c>
      <c r="X188">
        <f>NHS_AE_2024_2025[[#This Row],[A&amp;E attendances Type 1]]+
NHS_AE_2024_2025[[#This Row],[A&amp;E attendances Type 2]]+
NHS_AE_2024_2025[[#This Row],[A&amp;E attendances Other A&amp;E Department]]</f>
        <v>16236</v>
      </c>
      <c r="Y188">
        <f t="shared" si="4"/>
        <v>3926</v>
      </c>
      <c r="Z188">
        <f t="shared" si="5"/>
        <v>6327</v>
      </c>
    </row>
    <row r="189" spans="1:26" x14ac:dyDescent="0.2">
      <c r="A189" t="s">
        <v>23</v>
      </c>
      <c r="B189" t="s">
        <v>24</v>
      </c>
      <c r="C189" t="s">
        <v>406</v>
      </c>
      <c r="D189" t="s">
        <v>37</v>
      </c>
      <c r="E189" t="s">
        <v>407</v>
      </c>
      <c r="F189">
        <v>11556</v>
      </c>
      <c r="G189">
        <v>2317</v>
      </c>
      <c r="H189">
        <v>0</v>
      </c>
      <c r="I189">
        <v>631</v>
      </c>
      <c r="J189">
        <v>27</v>
      </c>
      <c r="K189">
        <v>0</v>
      </c>
      <c r="L189">
        <v>4261</v>
      </c>
      <c r="M189">
        <v>17</v>
      </c>
      <c r="N189">
        <v>0</v>
      </c>
      <c r="O189">
        <v>184</v>
      </c>
      <c r="P189">
        <v>0</v>
      </c>
      <c r="Q189">
        <v>0</v>
      </c>
      <c r="R189">
        <v>722</v>
      </c>
      <c r="S189">
        <v>0</v>
      </c>
      <c r="T189">
        <v>2510</v>
      </c>
      <c r="U189">
        <v>1</v>
      </c>
      <c r="V189">
        <v>0</v>
      </c>
      <c r="W189">
        <v>887</v>
      </c>
      <c r="X189">
        <f>NHS_AE_2024_2025[[#This Row],[A&amp;E attendances Type 1]]+
NHS_AE_2024_2025[[#This Row],[A&amp;E attendances Type 2]]+
NHS_AE_2024_2025[[#This Row],[A&amp;E attendances Other A&amp;E Department]]</f>
        <v>13873</v>
      </c>
      <c r="Y189">
        <f t="shared" si="4"/>
        <v>4278</v>
      </c>
      <c r="Z189">
        <f t="shared" si="5"/>
        <v>3398</v>
      </c>
    </row>
    <row r="190" spans="1:26" x14ac:dyDescent="0.2">
      <c r="A190" t="s">
        <v>23</v>
      </c>
      <c r="B190" t="s">
        <v>24</v>
      </c>
      <c r="C190" t="s">
        <v>408</v>
      </c>
      <c r="D190" t="s">
        <v>50</v>
      </c>
      <c r="E190" t="s">
        <v>409</v>
      </c>
      <c r="F190">
        <v>15035</v>
      </c>
      <c r="G190">
        <v>0</v>
      </c>
      <c r="H190">
        <v>489</v>
      </c>
      <c r="I190">
        <v>0</v>
      </c>
      <c r="J190">
        <v>0</v>
      </c>
      <c r="K190">
        <v>0</v>
      </c>
      <c r="L190">
        <v>3943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594</v>
      </c>
      <c r="S190">
        <v>723</v>
      </c>
      <c r="T190">
        <v>4816</v>
      </c>
      <c r="U190">
        <v>0</v>
      </c>
      <c r="V190">
        <v>0</v>
      </c>
      <c r="W190">
        <v>356</v>
      </c>
      <c r="X190">
        <f>NHS_AE_2024_2025[[#This Row],[A&amp;E attendances Type 1]]+
NHS_AE_2024_2025[[#This Row],[A&amp;E attendances Type 2]]+
NHS_AE_2024_2025[[#This Row],[A&amp;E attendances Other A&amp;E Department]]</f>
        <v>15524</v>
      </c>
      <c r="Y190">
        <f t="shared" si="4"/>
        <v>3945</v>
      </c>
      <c r="Z190">
        <f t="shared" si="5"/>
        <v>5172</v>
      </c>
    </row>
    <row r="191" spans="1:26" x14ac:dyDescent="0.2">
      <c r="A191" t="s">
        <v>23</v>
      </c>
      <c r="B191" t="s">
        <v>24</v>
      </c>
      <c r="C191" t="s">
        <v>410</v>
      </c>
      <c r="D191" t="s">
        <v>32</v>
      </c>
      <c r="E191" t="s">
        <v>411</v>
      </c>
      <c r="F191">
        <v>5028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859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6</v>
      </c>
      <c r="T191">
        <v>990</v>
      </c>
      <c r="U191">
        <v>0</v>
      </c>
      <c r="V191">
        <v>0</v>
      </c>
      <c r="W191">
        <v>179</v>
      </c>
      <c r="X191">
        <f>NHS_AE_2024_2025[[#This Row],[A&amp;E attendances Type 1]]+
NHS_AE_2024_2025[[#This Row],[A&amp;E attendances Type 2]]+
NHS_AE_2024_2025[[#This Row],[A&amp;E attendances Other A&amp;E Department]]</f>
        <v>5028</v>
      </c>
      <c r="Y191">
        <f t="shared" si="4"/>
        <v>859</v>
      </c>
      <c r="Z191">
        <f t="shared" si="5"/>
        <v>1169</v>
      </c>
    </row>
    <row r="192" spans="1:26" x14ac:dyDescent="0.2">
      <c r="A192" t="s">
        <v>23</v>
      </c>
      <c r="B192" t="s">
        <v>24</v>
      </c>
      <c r="C192" t="s">
        <v>412</v>
      </c>
      <c r="D192" t="s">
        <v>32</v>
      </c>
      <c r="E192" t="s">
        <v>413</v>
      </c>
      <c r="F192">
        <v>0</v>
      </c>
      <c r="G192">
        <v>0</v>
      </c>
      <c r="H192">
        <v>773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</v>
      </c>
      <c r="X192">
        <f>NHS_AE_2024_2025[[#This Row],[A&amp;E attendances Type 1]]+
NHS_AE_2024_2025[[#This Row],[A&amp;E attendances Type 2]]+
NHS_AE_2024_2025[[#This Row],[A&amp;E attendances Other A&amp;E Department]]</f>
        <v>773</v>
      </c>
      <c r="Y192">
        <f t="shared" si="4"/>
        <v>0</v>
      </c>
      <c r="Z192">
        <f t="shared" si="5"/>
        <v>3</v>
      </c>
    </row>
    <row r="193" spans="1:26" x14ac:dyDescent="0.2">
      <c r="A193" t="s">
        <v>23</v>
      </c>
      <c r="B193" t="s">
        <v>24</v>
      </c>
      <c r="C193" t="s">
        <v>414</v>
      </c>
      <c r="D193" t="s">
        <v>32</v>
      </c>
      <c r="E193" t="s">
        <v>415</v>
      </c>
      <c r="F193">
        <v>0</v>
      </c>
      <c r="G193">
        <v>0</v>
      </c>
      <c r="H193">
        <v>353</v>
      </c>
      <c r="I193">
        <v>0</v>
      </c>
      <c r="J193">
        <v>0</v>
      </c>
      <c r="K193">
        <v>2256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f>NHS_AE_2024_2025[[#This Row],[A&amp;E attendances Type 1]]+
NHS_AE_2024_2025[[#This Row],[A&amp;E attendances Type 2]]+
NHS_AE_2024_2025[[#This Row],[A&amp;E attendances Other A&amp;E Department]]</f>
        <v>353</v>
      </c>
      <c r="Y193">
        <f t="shared" si="4"/>
        <v>0</v>
      </c>
      <c r="Z193">
        <f t="shared" si="5"/>
        <v>0</v>
      </c>
    </row>
    <row r="194" spans="1:26" x14ac:dyDescent="0.2">
      <c r="A194" t="s">
        <v>23</v>
      </c>
      <c r="B194" t="s">
        <v>24</v>
      </c>
      <c r="C194" t="s">
        <v>416</v>
      </c>
      <c r="D194" t="s">
        <v>70</v>
      </c>
      <c r="E194" t="s">
        <v>417</v>
      </c>
      <c r="F194">
        <v>7275</v>
      </c>
      <c r="G194">
        <v>0</v>
      </c>
      <c r="H194">
        <v>702</v>
      </c>
      <c r="I194">
        <v>42</v>
      </c>
      <c r="J194">
        <v>0</v>
      </c>
      <c r="K194">
        <v>0</v>
      </c>
      <c r="L194">
        <v>2688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567</v>
      </c>
      <c r="S194">
        <v>531</v>
      </c>
      <c r="T194">
        <v>1968</v>
      </c>
      <c r="U194">
        <v>0</v>
      </c>
      <c r="V194">
        <v>0</v>
      </c>
      <c r="W194">
        <v>593</v>
      </c>
      <c r="X194">
        <f>NHS_AE_2024_2025[[#This Row],[A&amp;E attendances Type 1]]+
NHS_AE_2024_2025[[#This Row],[A&amp;E attendances Type 2]]+
NHS_AE_2024_2025[[#This Row],[A&amp;E attendances Other A&amp;E Department]]</f>
        <v>7977</v>
      </c>
      <c r="Y194">
        <f t="shared" ref="Y194:Y257" si="6">L194+M194+N194</f>
        <v>2688</v>
      </c>
      <c r="Z194">
        <f t="shared" ref="Z194:Z257" si="7">T194+U194+V194+W194</f>
        <v>2561</v>
      </c>
    </row>
    <row r="195" spans="1:26" x14ac:dyDescent="0.2">
      <c r="A195" t="s">
        <v>23</v>
      </c>
      <c r="B195" t="s">
        <v>24</v>
      </c>
      <c r="C195" t="s">
        <v>418</v>
      </c>
      <c r="D195" t="s">
        <v>55</v>
      </c>
      <c r="E195" t="s">
        <v>419</v>
      </c>
      <c r="F195">
        <v>24552</v>
      </c>
      <c r="G195">
        <v>0</v>
      </c>
      <c r="H195">
        <v>8892</v>
      </c>
      <c r="I195">
        <v>0</v>
      </c>
      <c r="J195">
        <v>0</v>
      </c>
      <c r="K195">
        <v>0</v>
      </c>
      <c r="L195">
        <v>10220</v>
      </c>
      <c r="M195">
        <v>0</v>
      </c>
      <c r="N195">
        <v>233</v>
      </c>
      <c r="O195">
        <v>0</v>
      </c>
      <c r="P195">
        <v>0</v>
      </c>
      <c r="Q195">
        <v>0</v>
      </c>
      <c r="R195">
        <v>1230</v>
      </c>
      <c r="S195">
        <v>782</v>
      </c>
      <c r="T195">
        <v>7145</v>
      </c>
      <c r="U195">
        <v>0</v>
      </c>
      <c r="V195">
        <v>454</v>
      </c>
      <c r="W195">
        <v>1643</v>
      </c>
      <c r="X195">
        <f>NHS_AE_2024_2025[[#This Row],[A&amp;E attendances Type 1]]+
NHS_AE_2024_2025[[#This Row],[A&amp;E attendances Type 2]]+
NHS_AE_2024_2025[[#This Row],[A&amp;E attendances Other A&amp;E Department]]</f>
        <v>33444</v>
      </c>
      <c r="Y195">
        <f t="shared" si="6"/>
        <v>10453</v>
      </c>
      <c r="Z195">
        <f t="shared" si="7"/>
        <v>9242</v>
      </c>
    </row>
    <row r="196" spans="1:26" x14ac:dyDescent="0.2">
      <c r="A196" t="s">
        <v>23</v>
      </c>
      <c r="B196" t="s">
        <v>24</v>
      </c>
      <c r="C196" t="s">
        <v>420</v>
      </c>
      <c r="D196" t="s">
        <v>37</v>
      </c>
      <c r="E196" t="s">
        <v>421</v>
      </c>
      <c r="F196">
        <v>9965</v>
      </c>
      <c r="G196">
        <v>803</v>
      </c>
      <c r="H196">
        <v>3105</v>
      </c>
      <c r="I196">
        <v>1335</v>
      </c>
      <c r="J196">
        <v>0</v>
      </c>
      <c r="K196">
        <v>819</v>
      </c>
      <c r="L196">
        <v>4851</v>
      </c>
      <c r="M196">
        <v>4</v>
      </c>
      <c r="N196">
        <v>70</v>
      </c>
      <c r="O196">
        <v>687</v>
      </c>
      <c r="P196">
        <v>0</v>
      </c>
      <c r="Q196">
        <v>14</v>
      </c>
      <c r="R196">
        <v>1470</v>
      </c>
      <c r="S196">
        <v>14</v>
      </c>
      <c r="T196">
        <v>3503</v>
      </c>
      <c r="U196">
        <v>0</v>
      </c>
      <c r="V196">
        <v>0</v>
      </c>
      <c r="W196">
        <v>2536</v>
      </c>
      <c r="X196">
        <f>NHS_AE_2024_2025[[#This Row],[A&amp;E attendances Type 1]]+
NHS_AE_2024_2025[[#This Row],[A&amp;E attendances Type 2]]+
NHS_AE_2024_2025[[#This Row],[A&amp;E attendances Other A&amp;E Department]]</f>
        <v>13873</v>
      </c>
      <c r="Y196">
        <f t="shared" si="6"/>
        <v>4925</v>
      </c>
      <c r="Z196">
        <f t="shared" si="7"/>
        <v>6039</v>
      </c>
    </row>
    <row r="197" spans="1:26" x14ac:dyDescent="0.2">
      <c r="A197" t="s">
        <v>23</v>
      </c>
      <c r="B197" t="s">
        <v>24</v>
      </c>
      <c r="C197" t="s">
        <v>422</v>
      </c>
      <c r="D197" t="s">
        <v>26</v>
      </c>
      <c r="E197" t="s">
        <v>423</v>
      </c>
      <c r="F197">
        <v>0</v>
      </c>
      <c r="G197">
        <v>0</v>
      </c>
      <c r="H197">
        <v>8116</v>
      </c>
      <c r="I197">
        <v>0</v>
      </c>
      <c r="J197">
        <v>0</v>
      </c>
      <c r="K197">
        <v>242</v>
      </c>
      <c r="L197">
        <v>0</v>
      </c>
      <c r="M197">
        <v>0</v>
      </c>
      <c r="N197">
        <v>498</v>
      </c>
      <c r="O197">
        <v>0</v>
      </c>
      <c r="P197">
        <v>0</v>
      </c>
      <c r="Q197">
        <v>40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f>NHS_AE_2024_2025[[#This Row],[A&amp;E attendances Type 1]]+
NHS_AE_2024_2025[[#This Row],[A&amp;E attendances Type 2]]+
NHS_AE_2024_2025[[#This Row],[A&amp;E attendances Other A&amp;E Department]]</f>
        <v>8116</v>
      </c>
      <c r="Y197">
        <f t="shared" si="6"/>
        <v>498</v>
      </c>
      <c r="Z197">
        <f t="shared" si="7"/>
        <v>0</v>
      </c>
    </row>
    <row r="198" spans="1:26" x14ac:dyDescent="0.2">
      <c r="A198" t="s">
        <v>23</v>
      </c>
      <c r="B198" t="s">
        <v>24</v>
      </c>
      <c r="C198" t="s">
        <v>424</v>
      </c>
      <c r="D198" t="s">
        <v>37</v>
      </c>
      <c r="E198" t="s">
        <v>425</v>
      </c>
      <c r="F198">
        <v>11325</v>
      </c>
      <c r="G198">
        <v>1862</v>
      </c>
      <c r="H198">
        <v>2329</v>
      </c>
      <c r="I198">
        <v>1397</v>
      </c>
      <c r="J198">
        <v>0</v>
      </c>
      <c r="K198">
        <v>100</v>
      </c>
      <c r="L198">
        <v>3965</v>
      </c>
      <c r="M198">
        <v>0</v>
      </c>
      <c r="N198">
        <v>8</v>
      </c>
      <c r="O198">
        <v>353</v>
      </c>
      <c r="P198">
        <v>0</v>
      </c>
      <c r="Q198">
        <v>0</v>
      </c>
      <c r="R198">
        <v>687</v>
      </c>
      <c r="S198">
        <v>0</v>
      </c>
      <c r="T198">
        <v>4141</v>
      </c>
      <c r="U198">
        <v>125</v>
      </c>
      <c r="V198">
        <v>23</v>
      </c>
      <c r="W198">
        <v>4439</v>
      </c>
      <c r="X198">
        <f>NHS_AE_2024_2025[[#This Row],[A&amp;E attendances Type 1]]+
NHS_AE_2024_2025[[#This Row],[A&amp;E attendances Type 2]]+
NHS_AE_2024_2025[[#This Row],[A&amp;E attendances Other A&amp;E Department]]</f>
        <v>15516</v>
      </c>
      <c r="Y198">
        <f t="shared" si="6"/>
        <v>3973</v>
      </c>
      <c r="Z198">
        <f t="shared" si="7"/>
        <v>8728</v>
      </c>
    </row>
    <row r="199" spans="1:26" x14ac:dyDescent="0.2">
      <c r="A199" t="s">
        <v>23</v>
      </c>
      <c r="B199" t="s">
        <v>426</v>
      </c>
      <c r="C199" t="s">
        <v>426</v>
      </c>
      <c r="D199" t="s">
        <v>426</v>
      </c>
      <c r="E199" t="s">
        <v>426</v>
      </c>
      <c r="F199">
        <v>1341059</v>
      </c>
      <c r="G199">
        <v>50804</v>
      </c>
      <c r="H199">
        <v>771286</v>
      </c>
      <c r="I199">
        <v>30969</v>
      </c>
      <c r="J199">
        <v>691</v>
      </c>
      <c r="K199">
        <v>45859</v>
      </c>
      <c r="L199">
        <v>534979</v>
      </c>
      <c r="M199">
        <v>1866</v>
      </c>
      <c r="N199">
        <v>26223</v>
      </c>
      <c r="O199">
        <v>7976</v>
      </c>
      <c r="P199">
        <v>12</v>
      </c>
      <c r="Q199">
        <v>629</v>
      </c>
      <c r="R199">
        <v>92266</v>
      </c>
      <c r="S199">
        <v>42078</v>
      </c>
      <c r="T199">
        <v>398116</v>
      </c>
      <c r="U199">
        <v>1442</v>
      </c>
      <c r="V199">
        <v>4376</v>
      </c>
      <c r="W199">
        <v>140179</v>
      </c>
      <c r="X199">
        <f>NHS_AE_2024_2025[[#This Row],[A&amp;E attendances Type 1]]+
NHS_AE_2024_2025[[#This Row],[A&amp;E attendances Type 2]]+
NHS_AE_2024_2025[[#This Row],[A&amp;E attendances Other A&amp;E Department]]</f>
        <v>2163149</v>
      </c>
      <c r="Y199">
        <f t="shared" si="6"/>
        <v>563068</v>
      </c>
      <c r="Z199">
        <f t="shared" si="7"/>
        <v>544113</v>
      </c>
    </row>
    <row r="200" spans="1:26" x14ac:dyDescent="0.2">
      <c r="A200" t="s">
        <v>427</v>
      </c>
      <c r="B200" t="s">
        <v>428</v>
      </c>
      <c r="C200" t="s">
        <v>28</v>
      </c>
      <c r="D200" t="s">
        <v>29</v>
      </c>
      <c r="E200" t="s">
        <v>30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40</v>
      </c>
      <c r="X200">
        <f>NHS_AE_2024_2025[[#This Row],[A&amp;E attendances Type 1]]+
NHS_AE_2024_2025[[#This Row],[A&amp;E attendances Type 2]]+
NHS_AE_2024_2025[[#This Row],[A&amp;E attendances Other A&amp;E Department]]</f>
        <v>0</v>
      </c>
      <c r="Y200">
        <f t="shared" si="6"/>
        <v>0</v>
      </c>
      <c r="Z200">
        <f t="shared" si="7"/>
        <v>40</v>
      </c>
    </row>
    <row r="201" spans="1:26" x14ac:dyDescent="0.2">
      <c r="A201" t="s">
        <v>427</v>
      </c>
      <c r="B201" t="s">
        <v>428</v>
      </c>
      <c r="C201" t="s">
        <v>124</v>
      </c>
      <c r="D201" t="s">
        <v>37</v>
      </c>
      <c r="E201" t="s">
        <v>125</v>
      </c>
      <c r="F201">
        <v>0</v>
      </c>
      <c r="G201">
        <v>0</v>
      </c>
      <c r="H201">
        <v>2876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151</v>
      </c>
      <c r="X201">
        <f>NHS_AE_2024_2025[[#This Row],[A&amp;E attendances Type 1]]+
NHS_AE_2024_2025[[#This Row],[A&amp;E attendances Type 2]]+
NHS_AE_2024_2025[[#This Row],[A&amp;E attendances Other A&amp;E Department]]</f>
        <v>2876</v>
      </c>
      <c r="Y201">
        <f t="shared" si="6"/>
        <v>27</v>
      </c>
      <c r="Z201">
        <f t="shared" si="7"/>
        <v>152</v>
      </c>
    </row>
    <row r="202" spans="1:26" x14ac:dyDescent="0.2">
      <c r="A202" t="s">
        <v>427</v>
      </c>
      <c r="B202" t="s">
        <v>428</v>
      </c>
      <c r="C202" t="s">
        <v>49</v>
      </c>
      <c r="D202" t="s">
        <v>50</v>
      </c>
      <c r="E202" t="s">
        <v>51</v>
      </c>
      <c r="F202">
        <v>14746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4154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884</v>
      </c>
      <c r="S202">
        <v>2</v>
      </c>
      <c r="T202">
        <v>2882</v>
      </c>
      <c r="U202">
        <v>0</v>
      </c>
      <c r="V202">
        <v>0</v>
      </c>
      <c r="W202">
        <v>381</v>
      </c>
      <c r="X202">
        <f>NHS_AE_2024_2025[[#This Row],[A&amp;E attendances Type 1]]+
NHS_AE_2024_2025[[#This Row],[A&amp;E attendances Type 2]]+
NHS_AE_2024_2025[[#This Row],[A&amp;E attendances Other A&amp;E Department]]</f>
        <v>14746</v>
      </c>
      <c r="Y202">
        <f t="shared" si="6"/>
        <v>4154</v>
      </c>
      <c r="Z202">
        <f t="shared" si="7"/>
        <v>3263</v>
      </c>
    </row>
    <row r="203" spans="1:26" x14ac:dyDescent="0.2">
      <c r="A203" t="s">
        <v>427</v>
      </c>
      <c r="B203" t="s">
        <v>428</v>
      </c>
      <c r="C203" t="s">
        <v>278</v>
      </c>
      <c r="D203" t="s">
        <v>32</v>
      </c>
      <c r="E203" t="s">
        <v>279</v>
      </c>
      <c r="F203">
        <v>0</v>
      </c>
      <c r="G203">
        <v>0</v>
      </c>
      <c r="H203">
        <v>280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f>NHS_AE_2024_2025[[#This Row],[A&amp;E attendances Type 1]]+
NHS_AE_2024_2025[[#This Row],[A&amp;E attendances Type 2]]+
NHS_AE_2024_2025[[#This Row],[A&amp;E attendances Other A&amp;E Department]]</f>
        <v>280</v>
      </c>
      <c r="Y203">
        <f t="shared" si="6"/>
        <v>0</v>
      </c>
      <c r="Z203">
        <f t="shared" si="7"/>
        <v>0</v>
      </c>
    </row>
    <row r="204" spans="1:26" x14ac:dyDescent="0.2">
      <c r="A204" t="s">
        <v>427</v>
      </c>
      <c r="B204" t="s">
        <v>428</v>
      </c>
      <c r="C204" t="s">
        <v>94</v>
      </c>
      <c r="D204" t="s">
        <v>32</v>
      </c>
      <c r="E204" t="s">
        <v>95</v>
      </c>
      <c r="F204">
        <v>0</v>
      </c>
      <c r="G204">
        <v>0</v>
      </c>
      <c r="H204">
        <v>355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f>NHS_AE_2024_2025[[#This Row],[A&amp;E attendances Type 1]]+
NHS_AE_2024_2025[[#This Row],[A&amp;E attendances Type 2]]+
NHS_AE_2024_2025[[#This Row],[A&amp;E attendances Other A&amp;E Department]]</f>
        <v>355</v>
      </c>
      <c r="Y204">
        <f t="shared" si="6"/>
        <v>0</v>
      </c>
      <c r="Z204">
        <f t="shared" si="7"/>
        <v>0</v>
      </c>
    </row>
    <row r="205" spans="1:26" x14ac:dyDescent="0.2">
      <c r="A205" t="s">
        <v>427</v>
      </c>
      <c r="B205" t="s">
        <v>428</v>
      </c>
      <c r="C205" t="s">
        <v>96</v>
      </c>
      <c r="D205" t="s">
        <v>29</v>
      </c>
      <c r="E205" t="s">
        <v>97</v>
      </c>
      <c r="F205">
        <v>0</v>
      </c>
      <c r="G205">
        <v>0</v>
      </c>
      <c r="H205">
        <v>2493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6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f>NHS_AE_2024_2025[[#This Row],[A&amp;E attendances Type 1]]+
NHS_AE_2024_2025[[#This Row],[A&amp;E attendances Type 2]]+
NHS_AE_2024_2025[[#This Row],[A&amp;E attendances Other A&amp;E Department]]</f>
        <v>2493</v>
      </c>
      <c r="Y205">
        <f t="shared" si="6"/>
        <v>6</v>
      </c>
      <c r="Z205">
        <f t="shared" si="7"/>
        <v>0</v>
      </c>
    </row>
    <row r="206" spans="1:26" x14ac:dyDescent="0.2">
      <c r="A206" t="s">
        <v>427</v>
      </c>
      <c r="B206" t="s">
        <v>428</v>
      </c>
      <c r="C206" t="s">
        <v>98</v>
      </c>
      <c r="D206" t="s">
        <v>29</v>
      </c>
      <c r="E206" t="s">
        <v>99</v>
      </c>
      <c r="F206">
        <v>0</v>
      </c>
      <c r="G206">
        <v>0</v>
      </c>
      <c r="H206">
        <v>2641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f>NHS_AE_2024_2025[[#This Row],[A&amp;E attendances Type 1]]+
NHS_AE_2024_2025[[#This Row],[A&amp;E attendances Type 2]]+
NHS_AE_2024_2025[[#This Row],[A&amp;E attendances Other A&amp;E Department]]</f>
        <v>2641</v>
      </c>
      <c r="Y206">
        <f t="shared" si="6"/>
        <v>7</v>
      </c>
      <c r="Z206">
        <f t="shared" si="7"/>
        <v>0</v>
      </c>
    </row>
    <row r="207" spans="1:26" x14ac:dyDescent="0.2">
      <c r="A207" t="s">
        <v>427</v>
      </c>
      <c r="B207" t="s">
        <v>428</v>
      </c>
      <c r="C207" t="s">
        <v>222</v>
      </c>
      <c r="D207" t="s">
        <v>32</v>
      </c>
      <c r="E207" t="s">
        <v>223</v>
      </c>
      <c r="F207">
        <v>0</v>
      </c>
      <c r="G207">
        <v>0</v>
      </c>
      <c r="H207">
        <v>3772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f>NHS_AE_2024_2025[[#This Row],[A&amp;E attendances Type 1]]+
NHS_AE_2024_2025[[#This Row],[A&amp;E attendances Type 2]]+
NHS_AE_2024_2025[[#This Row],[A&amp;E attendances Other A&amp;E Department]]</f>
        <v>3772</v>
      </c>
      <c r="Y207">
        <f t="shared" si="6"/>
        <v>0</v>
      </c>
      <c r="Z207">
        <f t="shared" si="7"/>
        <v>0</v>
      </c>
    </row>
    <row r="208" spans="1:26" x14ac:dyDescent="0.2">
      <c r="A208" t="s">
        <v>427</v>
      </c>
      <c r="B208" t="s">
        <v>428</v>
      </c>
      <c r="C208" t="s">
        <v>72</v>
      </c>
      <c r="D208" t="s">
        <v>55</v>
      </c>
      <c r="E208" t="s">
        <v>73</v>
      </c>
      <c r="F208">
        <v>0</v>
      </c>
      <c r="G208">
        <v>0</v>
      </c>
      <c r="H208">
        <v>1619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f>NHS_AE_2024_2025[[#This Row],[A&amp;E attendances Type 1]]+
NHS_AE_2024_2025[[#This Row],[A&amp;E attendances Type 2]]+
NHS_AE_2024_2025[[#This Row],[A&amp;E attendances Other A&amp;E Department]]</f>
        <v>1619</v>
      </c>
      <c r="Y208">
        <f t="shared" si="6"/>
        <v>2</v>
      </c>
      <c r="Z208">
        <f t="shared" si="7"/>
        <v>0</v>
      </c>
    </row>
    <row r="209" spans="1:26" x14ac:dyDescent="0.2">
      <c r="A209" t="s">
        <v>427</v>
      </c>
      <c r="B209" t="s">
        <v>428</v>
      </c>
      <c r="C209" t="s">
        <v>74</v>
      </c>
      <c r="D209" t="s">
        <v>26</v>
      </c>
      <c r="E209" t="s">
        <v>75</v>
      </c>
      <c r="F209">
        <v>0</v>
      </c>
      <c r="G209">
        <v>0</v>
      </c>
      <c r="H209">
        <v>1035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f>NHS_AE_2024_2025[[#This Row],[A&amp;E attendances Type 1]]+
NHS_AE_2024_2025[[#This Row],[A&amp;E attendances Type 2]]+
NHS_AE_2024_2025[[#This Row],[A&amp;E attendances Other A&amp;E Department]]</f>
        <v>1035</v>
      </c>
      <c r="Y209">
        <f t="shared" si="6"/>
        <v>8</v>
      </c>
      <c r="Z209">
        <f t="shared" si="7"/>
        <v>0</v>
      </c>
    </row>
    <row r="210" spans="1:26" x14ac:dyDescent="0.2">
      <c r="A210" t="s">
        <v>427</v>
      </c>
      <c r="B210" t="s">
        <v>428</v>
      </c>
      <c r="C210" t="s">
        <v>45</v>
      </c>
      <c r="D210" t="s">
        <v>26</v>
      </c>
      <c r="E210" t="s">
        <v>46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f>NHS_AE_2024_2025[[#This Row],[A&amp;E attendances Type 1]]+
NHS_AE_2024_2025[[#This Row],[A&amp;E attendances Type 2]]+
NHS_AE_2024_2025[[#This Row],[A&amp;E attendances Other A&amp;E Department]]</f>
        <v>0</v>
      </c>
      <c r="Y210">
        <f t="shared" si="6"/>
        <v>0</v>
      </c>
      <c r="Z210">
        <f t="shared" si="7"/>
        <v>1</v>
      </c>
    </row>
    <row r="211" spans="1:26" x14ac:dyDescent="0.2">
      <c r="A211" t="s">
        <v>427</v>
      </c>
      <c r="B211" t="s">
        <v>428</v>
      </c>
      <c r="C211" t="s">
        <v>47</v>
      </c>
      <c r="D211" t="s">
        <v>26</v>
      </c>
      <c r="E211" t="s">
        <v>48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17</v>
      </c>
      <c r="W211">
        <v>65</v>
      </c>
      <c r="X211">
        <f>NHS_AE_2024_2025[[#This Row],[A&amp;E attendances Type 1]]+
NHS_AE_2024_2025[[#This Row],[A&amp;E attendances Type 2]]+
NHS_AE_2024_2025[[#This Row],[A&amp;E attendances Other A&amp;E Department]]</f>
        <v>0</v>
      </c>
      <c r="Y211">
        <f t="shared" si="6"/>
        <v>0</v>
      </c>
      <c r="Z211">
        <f t="shared" si="7"/>
        <v>82</v>
      </c>
    </row>
    <row r="212" spans="1:26" x14ac:dyDescent="0.2">
      <c r="A212" t="s">
        <v>427</v>
      </c>
      <c r="B212" t="s">
        <v>428</v>
      </c>
      <c r="C212" t="s">
        <v>180</v>
      </c>
      <c r="D212" t="s">
        <v>26</v>
      </c>
      <c r="E212" t="s">
        <v>181</v>
      </c>
      <c r="F212">
        <v>0</v>
      </c>
      <c r="G212">
        <v>0</v>
      </c>
      <c r="H212">
        <v>1676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133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f>NHS_AE_2024_2025[[#This Row],[A&amp;E attendances Type 1]]+
NHS_AE_2024_2025[[#This Row],[A&amp;E attendances Type 2]]+
NHS_AE_2024_2025[[#This Row],[A&amp;E attendances Other A&amp;E Department]]</f>
        <v>1676</v>
      </c>
      <c r="Y212">
        <f t="shared" si="6"/>
        <v>133</v>
      </c>
      <c r="Z212">
        <f t="shared" si="7"/>
        <v>0</v>
      </c>
    </row>
    <row r="213" spans="1:26" x14ac:dyDescent="0.2">
      <c r="A213" t="s">
        <v>427</v>
      </c>
      <c r="B213" t="s">
        <v>428</v>
      </c>
      <c r="C213" t="s">
        <v>128</v>
      </c>
      <c r="D213" t="s">
        <v>37</v>
      </c>
      <c r="E213" t="s">
        <v>129</v>
      </c>
      <c r="F213">
        <v>0</v>
      </c>
      <c r="G213">
        <v>0</v>
      </c>
      <c r="H213">
        <v>15433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90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f>NHS_AE_2024_2025[[#This Row],[A&amp;E attendances Type 1]]+
NHS_AE_2024_2025[[#This Row],[A&amp;E attendances Type 2]]+
NHS_AE_2024_2025[[#This Row],[A&amp;E attendances Other A&amp;E Department]]</f>
        <v>15433</v>
      </c>
      <c r="Y213">
        <f t="shared" si="6"/>
        <v>90</v>
      </c>
      <c r="Z213">
        <f t="shared" si="7"/>
        <v>0</v>
      </c>
    </row>
    <row r="214" spans="1:26" x14ac:dyDescent="0.2">
      <c r="A214" t="s">
        <v>427</v>
      </c>
      <c r="B214" t="s">
        <v>428</v>
      </c>
      <c r="C214" t="s">
        <v>90</v>
      </c>
      <c r="D214" t="s">
        <v>29</v>
      </c>
      <c r="E214" t="s">
        <v>91</v>
      </c>
      <c r="F214">
        <v>0</v>
      </c>
      <c r="G214">
        <v>0</v>
      </c>
      <c r="H214">
        <v>7179</v>
      </c>
      <c r="I214">
        <v>0</v>
      </c>
      <c r="J214">
        <v>0</v>
      </c>
      <c r="K214">
        <v>491</v>
      </c>
      <c r="L214">
        <v>0</v>
      </c>
      <c r="M214">
        <v>0</v>
      </c>
      <c r="N214">
        <v>55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f>NHS_AE_2024_2025[[#This Row],[A&amp;E attendances Type 1]]+
NHS_AE_2024_2025[[#This Row],[A&amp;E attendances Type 2]]+
NHS_AE_2024_2025[[#This Row],[A&amp;E attendances Other A&amp;E Department]]</f>
        <v>7179</v>
      </c>
      <c r="Y214">
        <f t="shared" si="6"/>
        <v>55</v>
      </c>
      <c r="Z214">
        <f t="shared" si="7"/>
        <v>0</v>
      </c>
    </row>
    <row r="215" spans="1:26" x14ac:dyDescent="0.2">
      <c r="A215" t="s">
        <v>427</v>
      </c>
      <c r="B215" t="s">
        <v>428</v>
      </c>
      <c r="C215" t="s">
        <v>61</v>
      </c>
      <c r="D215" t="s">
        <v>55</v>
      </c>
      <c r="E215" t="s">
        <v>62</v>
      </c>
      <c r="F215">
        <v>0</v>
      </c>
      <c r="G215">
        <v>0</v>
      </c>
      <c r="H215">
        <v>1532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f>NHS_AE_2024_2025[[#This Row],[A&amp;E attendances Type 1]]+
NHS_AE_2024_2025[[#This Row],[A&amp;E attendances Type 2]]+
NHS_AE_2024_2025[[#This Row],[A&amp;E attendances Other A&amp;E Department]]</f>
        <v>1532</v>
      </c>
      <c r="Y215">
        <f t="shared" si="6"/>
        <v>0</v>
      </c>
      <c r="Z215">
        <f t="shared" si="7"/>
        <v>0</v>
      </c>
    </row>
    <row r="216" spans="1:26" x14ac:dyDescent="0.2">
      <c r="A216" t="s">
        <v>427</v>
      </c>
      <c r="B216" t="s">
        <v>428</v>
      </c>
      <c r="C216" t="s">
        <v>31</v>
      </c>
      <c r="D216" t="s">
        <v>32</v>
      </c>
      <c r="E216" t="s">
        <v>33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2100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f>NHS_AE_2024_2025[[#This Row],[A&amp;E attendances Type 1]]+
NHS_AE_2024_2025[[#This Row],[A&amp;E attendances Type 2]]+
NHS_AE_2024_2025[[#This Row],[A&amp;E attendances Other A&amp;E Department]]</f>
        <v>0</v>
      </c>
      <c r="Y216">
        <f t="shared" si="6"/>
        <v>0</v>
      </c>
      <c r="Z216">
        <f t="shared" si="7"/>
        <v>0</v>
      </c>
    </row>
    <row r="217" spans="1:26" x14ac:dyDescent="0.2">
      <c r="A217" t="s">
        <v>427</v>
      </c>
      <c r="B217" t="s">
        <v>428</v>
      </c>
      <c r="C217" t="s">
        <v>36</v>
      </c>
      <c r="D217" t="s">
        <v>37</v>
      </c>
      <c r="E217" t="s">
        <v>38</v>
      </c>
      <c r="F217">
        <v>0</v>
      </c>
      <c r="G217">
        <v>0</v>
      </c>
      <c r="H217">
        <v>3066</v>
      </c>
      <c r="I217">
        <v>0</v>
      </c>
      <c r="J217">
        <v>0</v>
      </c>
      <c r="K217">
        <v>11</v>
      </c>
      <c r="L217">
        <v>0</v>
      </c>
      <c r="M217">
        <v>0</v>
      </c>
      <c r="N217">
        <v>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f>NHS_AE_2024_2025[[#This Row],[A&amp;E attendances Type 1]]+
NHS_AE_2024_2025[[#This Row],[A&amp;E attendances Type 2]]+
NHS_AE_2024_2025[[#This Row],[A&amp;E attendances Other A&amp;E Department]]</f>
        <v>3066</v>
      </c>
      <c r="Y217">
        <f t="shared" si="6"/>
        <v>8</v>
      </c>
      <c r="Z217">
        <f t="shared" si="7"/>
        <v>0</v>
      </c>
    </row>
    <row r="218" spans="1:26" x14ac:dyDescent="0.2">
      <c r="A218" t="s">
        <v>427</v>
      </c>
      <c r="B218" t="s">
        <v>428</v>
      </c>
      <c r="C218" t="s">
        <v>69</v>
      </c>
      <c r="D218" t="s">
        <v>70</v>
      </c>
      <c r="E218" t="s">
        <v>71</v>
      </c>
      <c r="F218">
        <v>0</v>
      </c>
      <c r="G218">
        <v>0</v>
      </c>
      <c r="H218">
        <v>2150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47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f>NHS_AE_2024_2025[[#This Row],[A&amp;E attendances Type 1]]+
NHS_AE_2024_2025[[#This Row],[A&amp;E attendances Type 2]]+
NHS_AE_2024_2025[[#This Row],[A&amp;E attendances Other A&amp;E Department]]</f>
        <v>2150</v>
      </c>
      <c r="Y218">
        <f t="shared" si="6"/>
        <v>47</v>
      </c>
      <c r="Z218">
        <f t="shared" si="7"/>
        <v>0</v>
      </c>
    </row>
    <row r="219" spans="1:26" x14ac:dyDescent="0.2">
      <c r="A219" t="s">
        <v>427</v>
      </c>
      <c r="B219" t="s">
        <v>428</v>
      </c>
      <c r="C219" t="s">
        <v>41</v>
      </c>
      <c r="D219" t="s">
        <v>32</v>
      </c>
      <c r="E219" t="s">
        <v>42</v>
      </c>
      <c r="F219">
        <v>0</v>
      </c>
      <c r="G219">
        <v>0</v>
      </c>
      <c r="H219">
        <v>2889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f>NHS_AE_2024_2025[[#This Row],[A&amp;E attendances Type 1]]+
NHS_AE_2024_2025[[#This Row],[A&amp;E attendances Type 2]]+
NHS_AE_2024_2025[[#This Row],[A&amp;E attendances Other A&amp;E Department]]</f>
        <v>2889</v>
      </c>
      <c r="Y219">
        <f t="shared" si="6"/>
        <v>0</v>
      </c>
      <c r="Z219">
        <f t="shared" si="7"/>
        <v>0</v>
      </c>
    </row>
    <row r="220" spans="1:26" x14ac:dyDescent="0.2">
      <c r="A220" t="s">
        <v>427</v>
      </c>
      <c r="B220" t="s">
        <v>428</v>
      </c>
      <c r="C220" t="s">
        <v>78</v>
      </c>
      <c r="D220" t="s">
        <v>37</v>
      </c>
      <c r="E220" t="s">
        <v>79</v>
      </c>
      <c r="F220">
        <v>0</v>
      </c>
      <c r="G220">
        <v>0</v>
      </c>
      <c r="H220">
        <v>2331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f>NHS_AE_2024_2025[[#This Row],[A&amp;E attendances Type 1]]+
NHS_AE_2024_2025[[#This Row],[A&amp;E attendances Type 2]]+
NHS_AE_2024_2025[[#This Row],[A&amp;E attendances Other A&amp;E Department]]</f>
        <v>2331</v>
      </c>
      <c r="Y220">
        <f t="shared" si="6"/>
        <v>20</v>
      </c>
      <c r="Z220">
        <f t="shared" si="7"/>
        <v>0</v>
      </c>
    </row>
    <row r="221" spans="1:26" x14ac:dyDescent="0.2">
      <c r="A221" t="s">
        <v>427</v>
      </c>
      <c r="B221" t="s">
        <v>428</v>
      </c>
      <c r="C221" t="s">
        <v>80</v>
      </c>
      <c r="D221" t="s">
        <v>37</v>
      </c>
      <c r="E221" t="s">
        <v>81</v>
      </c>
      <c r="F221">
        <v>0</v>
      </c>
      <c r="G221">
        <v>0</v>
      </c>
      <c r="H221">
        <v>2491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f>NHS_AE_2024_2025[[#This Row],[A&amp;E attendances Type 1]]+
NHS_AE_2024_2025[[#This Row],[A&amp;E attendances Type 2]]+
NHS_AE_2024_2025[[#This Row],[A&amp;E attendances Other A&amp;E Department]]</f>
        <v>2491</v>
      </c>
      <c r="Y221">
        <f t="shared" si="6"/>
        <v>36</v>
      </c>
      <c r="Z221">
        <f t="shared" si="7"/>
        <v>0</v>
      </c>
    </row>
    <row r="222" spans="1:26" x14ac:dyDescent="0.2">
      <c r="A222" t="s">
        <v>427</v>
      </c>
      <c r="B222" t="s">
        <v>428</v>
      </c>
      <c r="C222" t="s">
        <v>184</v>
      </c>
      <c r="D222" t="s">
        <v>55</v>
      </c>
      <c r="E222" t="s">
        <v>185</v>
      </c>
      <c r="F222">
        <v>0</v>
      </c>
      <c r="G222">
        <v>0</v>
      </c>
      <c r="H222">
        <v>1053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f>NHS_AE_2024_2025[[#This Row],[A&amp;E attendances Type 1]]+
NHS_AE_2024_2025[[#This Row],[A&amp;E attendances Type 2]]+
NHS_AE_2024_2025[[#This Row],[A&amp;E attendances Other A&amp;E Department]]</f>
        <v>1053</v>
      </c>
      <c r="Y222">
        <f t="shared" si="6"/>
        <v>0</v>
      </c>
      <c r="Z222">
        <f t="shared" si="7"/>
        <v>0</v>
      </c>
    </row>
    <row r="223" spans="1:26" x14ac:dyDescent="0.2">
      <c r="A223" t="s">
        <v>427</v>
      </c>
      <c r="B223" t="s">
        <v>428</v>
      </c>
      <c r="C223" t="s">
        <v>43</v>
      </c>
      <c r="D223" t="s">
        <v>26</v>
      </c>
      <c r="E223" t="s">
        <v>44</v>
      </c>
      <c r="F223">
        <v>6432</v>
      </c>
      <c r="G223">
        <v>0</v>
      </c>
      <c r="H223">
        <v>3643</v>
      </c>
      <c r="I223">
        <v>396</v>
      </c>
      <c r="J223">
        <v>0</v>
      </c>
      <c r="K223">
        <v>176</v>
      </c>
      <c r="L223">
        <v>2930</v>
      </c>
      <c r="M223">
        <v>0</v>
      </c>
      <c r="N223">
        <v>27</v>
      </c>
      <c r="O223">
        <v>160</v>
      </c>
      <c r="P223">
        <v>0</v>
      </c>
      <c r="Q223">
        <v>2</v>
      </c>
      <c r="R223">
        <v>318</v>
      </c>
      <c r="S223">
        <v>33</v>
      </c>
      <c r="T223">
        <v>2114</v>
      </c>
      <c r="U223">
        <v>0</v>
      </c>
      <c r="V223">
        <v>0</v>
      </c>
      <c r="W223">
        <v>1134</v>
      </c>
      <c r="X223">
        <f>NHS_AE_2024_2025[[#This Row],[A&amp;E attendances Type 1]]+
NHS_AE_2024_2025[[#This Row],[A&amp;E attendances Type 2]]+
NHS_AE_2024_2025[[#This Row],[A&amp;E attendances Other A&amp;E Department]]</f>
        <v>10075</v>
      </c>
      <c r="Y223">
        <f t="shared" si="6"/>
        <v>2957</v>
      </c>
      <c r="Z223">
        <f t="shared" si="7"/>
        <v>3248</v>
      </c>
    </row>
    <row r="224" spans="1:26" x14ac:dyDescent="0.2">
      <c r="A224" t="s">
        <v>427</v>
      </c>
      <c r="B224" t="s">
        <v>428</v>
      </c>
      <c r="C224" t="s">
        <v>84</v>
      </c>
      <c r="D224" t="s">
        <v>50</v>
      </c>
      <c r="E224" t="s">
        <v>85</v>
      </c>
      <c r="F224">
        <v>8490</v>
      </c>
      <c r="G224">
        <v>0</v>
      </c>
      <c r="H224">
        <v>0</v>
      </c>
      <c r="I224">
        <v>46</v>
      </c>
      <c r="J224">
        <v>0</v>
      </c>
      <c r="K224">
        <v>0</v>
      </c>
      <c r="L224">
        <v>1896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224</v>
      </c>
      <c r="S224">
        <v>0</v>
      </c>
      <c r="T224">
        <v>2878</v>
      </c>
      <c r="U224">
        <v>0</v>
      </c>
      <c r="V224">
        <v>0</v>
      </c>
      <c r="W224">
        <v>489</v>
      </c>
      <c r="X224">
        <f>NHS_AE_2024_2025[[#This Row],[A&amp;E attendances Type 1]]+
NHS_AE_2024_2025[[#This Row],[A&amp;E attendances Type 2]]+
NHS_AE_2024_2025[[#This Row],[A&amp;E attendances Other A&amp;E Department]]</f>
        <v>8490</v>
      </c>
      <c r="Y224">
        <f t="shared" si="6"/>
        <v>1896</v>
      </c>
      <c r="Z224">
        <f t="shared" si="7"/>
        <v>3367</v>
      </c>
    </row>
    <row r="225" spans="1:26" x14ac:dyDescent="0.2">
      <c r="A225" t="s">
        <v>427</v>
      </c>
      <c r="B225" t="s">
        <v>428</v>
      </c>
      <c r="C225" t="s">
        <v>166</v>
      </c>
      <c r="D225" t="s">
        <v>50</v>
      </c>
      <c r="E225" t="s">
        <v>167</v>
      </c>
      <c r="F225">
        <v>0</v>
      </c>
      <c r="G225">
        <v>0</v>
      </c>
      <c r="H225">
        <v>1116</v>
      </c>
      <c r="I225">
        <v>0</v>
      </c>
      <c r="J225">
        <v>0</v>
      </c>
      <c r="K225">
        <v>66</v>
      </c>
      <c r="L225">
        <v>0</v>
      </c>
      <c r="M225">
        <v>0</v>
      </c>
      <c r="N225">
        <v>6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f>NHS_AE_2024_2025[[#This Row],[A&amp;E attendances Type 1]]+
NHS_AE_2024_2025[[#This Row],[A&amp;E attendances Type 2]]+
NHS_AE_2024_2025[[#This Row],[A&amp;E attendances Other A&amp;E Department]]</f>
        <v>1116</v>
      </c>
      <c r="Y225">
        <f t="shared" si="6"/>
        <v>6</v>
      </c>
      <c r="Z225">
        <f t="shared" si="7"/>
        <v>0</v>
      </c>
    </row>
    <row r="226" spans="1:26" x14ac:dyDescent="0.2">
      <c r="A226" t="s">
        <v>427</v>
      </c>
      <c r="B226" t="s">
        <v>428</v>
      </c>
      <c r="C226" t="s">
        <v>174</v>
      </c>
      <c r="D226" t="s">
        <v>50</v>
      </c>
      <c r="E226" t="s">
        <v>175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120</v>
      </c>
      <c r="X226">
        <f>NHS_AE_2024_2025[[#This Row],[A&amp;E attendances Type 1]]+
NHS_AE_2024_2025[[#This Row],[A&amp;E attendances Type 2]]+
NHS_AE_2024_2025[[#This Row],[A&amp;E attendances Other A&amp;E Department]]</f>
        <v>0</v>
      </c>
      <c r="Y226">
        <f t="shared" si="6"/>
        <v>0</v>
      </c>
      <c r="Z226">
        <f t="shared" si="7"/>
        <v>120</v>
      </c>
    </row>
    <row r="227" spans="1:26" x14ac:dyDescent="0.2">
      <c r="A227" t="s">
        <v>427</v>
      </c>
      <c r="B227" t="s">
        <v>428</v>
      </c>
      <c r="C227" t="s">
        <v>274</v>
      </c>
      <c r="D227" t="s">
        <v>32</v>
      </c>
      <c r="E227" t="s">
        <v>275</v>
      </c>
      <c r="F227">
        <v>0</v>
      </c>
      <c r="G227">
        <v>0</v>
      </c>
      <c r="H227">
        <v>8664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434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f>NHS_AE_2024_2025[[#This Row],[A&amp;E attendances Type 1]]+
NHS_AE_2024_2025[[#This Row],[A&amp;E attendances Type 2]]+
NHS_AE_2024_2025[[#This Row],[A&amp;E attendances Other A&amp;E Department]]</f>
        <v>8664</v>
      </c>
      <c r="Y227">
        <f t="shared" si="6"/>
        <v>434</v>
      </c>
      <c r="Z227">
        <f t="shared" si="7"/>
        <v>0</v>
      </c>
    </row>
    <row r="228" spans="1:26" x14ac:dyDescent="0.2">
      <c r="A228" t="s">
        <v>427</v>
      </c>
      <c r="B228" t="s">
        <v>428</v>
      </c>
      <c r="C228" t="s">
        <v>57</v>
      </c>
      <c r="D228" t="s">
        <v>32</v>
      </c>
      <c r="E228" t="s">
        <v>58</v>
      </c>
      <c r="F228">
        <v>0</v>
      </c>
      <c r="G228">
        <v>0</v>
      </c>
      <c r="H228">
        <v>6151</v>
      </c>
      <c r="I228">
        <v>0</v>
      </c>
      <c r="J228">
        <v>0</v>
      </c>
      <c r="K228">
        <v>1504</v>
      </c>
      <c r="L228">
        <v>0</v>
      </c>
      <c r="M228">
        <v>0</v>
      </c>
      <c r="N228">
        <v>34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f>NHS_AE_2024_2025[[#This Row],[A&amp;E attendances Type 1]]+
NHS_AE_2024_2025[[#This Row],[A&amp;E attendances Type 2]]+
NHS_AE_2024_2025[[#This Row],[A&amp;E attendances Other A&amp;E Department]]</f>
        <v>6151</v>
      </c>
      <c r="Y228">
        <f t="shared" si="6"/>
        <v>34</v>
      </c>
      <c r="Z228">
        <f t="shared" si="7"/>
        <v>0</v>
      </c>
    </row>
    <row r="229" spans="1:26" x14ac:dyDescent="0.2">
      <c r="A229" t="s">
        <v>427</v>
      </c>
      <c r="B229" t="s">
        <v>428</v>
      </c>
      <c r="C229" t="s">
        <v>59</v>
      </c>
      <c r="D229" t="s">
        <v>37</v>
      </c>
      <c r="E229" t="s">
        <v>60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f>NHS_AE_2024_2025[[#This Row],[A&amp;E attendances Type 1]]+
NHS_AE_2024_2025[[#This Row],[A&amp;E attendances Type 2]]+
NHS_AE_2024_2025[[#This Row],[A&amp;E attendances Other A&amp;E Department]]</f>
        <v>0</v>
      </c>
      <c r="Y229">
        <f t="shared" si="6"/>
        <v>0</v>
      </c>
      <c r="Z229">
        <f t="shared" si="7"/>
        <v>0</v>
      </c>
    </row>
    <row r="230" spans="1:26" x14ac:dyDescent="0.2">
      <c r="A230" t="s">
        <v>427</v>
      </c>
      <c r="B230" t="s">
        <v>428</v>
      </c>
      <c r="C230" t="s">
        <v>63</v>
      </c>
      <c r="D230" t="s">
        <v>32</v>
      </c>
      <c r="E230" t="s">
        <v>64</v>
      </c>
      <c r="F230">
        <v>0</v>
      </c>
      <c r="G230">
        <v>0</v>
      </c>
      <c r="H230">
        <v>6192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f>NHS_AE_2024_2025[[#This Row],[A&amp;E attendances Type 1]]+
NHS_AE_2024_2025[[#This Row],[A&amp;E attendances Type 2]]+
NHS_AE_2024_2025[[#This Row],[A&amp;E attendances Other A&amp;E Department]]</f>
        <v>6192</v>
      </c>
      <c r="Y230">
        <f t="shared" si="6"/>
        <v>0</v>
      </c>
      <c r="Z230">
        <f t="shared" si="7"/>
        <v>0</v>
      </c>
    </row>
    <row r="231" spans="1:26" x14ac:dyDescent="0.2">
      <c r="A231" t="s">
        <v>427</v>
      </c>
      <c r="B231" t="s">
        <v>428</v>
      </c>
      <c r="C231" t="s">
        <v>65</v>
      </c>
      <c r="D231" t="s">
        <v>32</v>
      </c>
      <c r="E231" t="s">
        <v>66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1942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f>NHS_AE_2024_2025[[#This Row],[A&amp;E attendances Type 1]]+
NHS_AE_2024_2025[[#This Row],[A&amp;E attendances Type 2]]+
NHS_AE_2024_2025[[#This Row],[A&amp;E attendances Other A&amp;E Department]]</f>
        <v>0</v>
      </c>
      <c r="Y231">
        <f t="shared" si="6"/>
        <v>0</v>
      </c>
      <c r="Z231">
        <f t="shared" si="7"/>
        <v>0</v>
      </c>
    </row>
    <row r="232" spans="1:26" x14ac:dyDescent="0.2">
      <c r="A232" t="s">
        <v>427</v>
      </c>
      <c r="B232" t="s">
        <v>428</v>
      </c>
      <c r="C232" t="s">
        <v>67</v>
      </c>
      <c r="D232" t="s">
        <v>29</v>
      </c>
      <c r="E232" t="s">
        <v>68</v>
      </c>
      <c r="F232">
        <v>0</v>
      </c>
      <c r="G232">
        <v>0</v>
      </c>
      <c r="H232">
        <v>1074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f>NHS_AE_2024_2025[[#This Row],[A&amp;E attendances Type 1]]+
NHS_AE_2024_2025[[#This Row],[A&amp;E attendances Type 2]]+
NHS_AE_2024_2025[[#This Row],[A&amp;E attendances Other A&amp;E Department]]</f>
        <v>1074</v>
      </c>
      <c r="Y232">
        <f t="shared" si="6"/>
        <v>0</v>
      </c>
      <c r="Z232">
        <f t="shared" si="7"/>
        <v>0</v>
      </c>
    </row>
    <row r="233" spans="1:26" x14ac:dyDescent="0.2">
      <c r="A233" t="s">
        <v>427</v>
      </c>
      <c r="B233" t="s">
        <v>428</v>
      </c>
      <c r="C233" t="s">
        <v>25</v>
      </c>
      <c r="D233" t="s">
        <v>26</v>
      </c>
      <c r="E233" t="s">
        <v>27</v>
      </c>
      <c r="F233">
        <v>0</v>
      </c>
      <c r="G233">
        <v>0</v>
      </c>
      <c r="H233">
        <v>552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f>NHS_AE_2024_2025[[#This Row],[A&amp;E attendances Type 1]]+
NHS_AE_2024_2025[[#This Row],[A&amp;E attendances Type 2]]+
NHS_AE_2024_2025[[#This Row],[A&amp;E attendances Other A&amp;E Department]]</f>
        <v>552</v>
      </c>
      <c r="Y233">
        <f t="shared" si="6"/>
        <v>0</v>
      </c>
      <c r="Z233">
        <f t="shared" si="7"/>
        <v>0</v>
      </c>
    </row>
    <row r="234" spans="1:26" x14ac:dyDescent="0.2">
      <c r="A234" t="s">
        <v>427</v>
      </c>
      <c r="B234" t="s">
        <v>428</v>
      </c>
      <c r="C234" t="s">
        <v>134</v>
      </c>
      <c r="D234" t="s">
        <v>37</v>
      </c>
      <c r="E234" t="s">
        <v>135</v>
      </c>
      <c r="F234">
        <v>0</v>
      </c>
      <c r="G234">
        <v>0</v>
      </c>
      <c r="H234">
        <v>2361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f>NHS_AE_2024_2025[[#This Row],[A&amp;E attendances Type 1]]+
NHS_AE_2024_2025[[#This Row],[A&amp;E attendances Type 2]]+
NHS_AE_2024_2025[[#This Row],[A&amp;E attendances Other A&amp;E Department]]</f>
        <v>2361</v>
      </c>
      <c r="Y234">
        <f t="shared" si="6"/>
        <v>0</v>
      </c>
      <c r="Z234">
        <f t="shared" si="7"/>
        <v>0</v>
      </c>
    </row>
    <row r="235" spans="1:26" x14ac:dyDescent="0.2">
      <c r="A235" t="s">
        <v>427</v>
      </c>
      <c r="B235" t="s">
        <v>428</v>
      </c>
      <c r="C235" t="s">
        <v>110</v>
      </c>
      <c r="D235" t="s">
        <v>37</v>
      </c>
      <c r="E235" t="s">
        <v>111</v>
      </c>
      <c r="F235">
        <v>0</v>
      </c>
      <c r="G235">
        <v>0</v>
      </c>
      <c r="H235">
        <v>1151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f>NHS_AE_2024_2025[[#This Row],[A&amp;E attendances Type 1]]+
NHS_AE_2024_2025[[#This Row],[A&amp;E attendances Type 2]]+
NHS_AE_2024_2025[[#This Row],[A&amp;E attendances Other A&amp;E Department]]</f>
        <v>1151</v>
      </c>
      <c r="Y235">
        <f t="shared" si="6"/>
        <v>0</v>
      </c>
      <c r="Z235">
        <f t="shared" si="7"/>
        <v>0</v>
      </c>
    </row>
    <row r="236" spans="1:26" x14ac:dyDescent="0.2">
      <c r="A236" t="s">
        <v>427</v>
      </c>
      <c r="B236" t="s">
        <v>428</v>
      </c>
      <c r="C236" t="s">
        <v>120</v>
      </c>
      <c r="D236" t="s">
        <v>50</v>
      </c>
      <c r="E236" t="s">
        <v>121</v>
      </c>
      <c r="F236">
        <v>10568</v>
      </c>
      <c r="G236">
        <v>1333</v>
      </c>
      <c r="H236">
        <v>5515</v>
      </c>
      <c r="I236">
        <v>441</v>
      </c>
      <c r="J236">
        <v>0</v>
      </c>
      <c r="K236">
        <v>1275</v>
      </c>
      <c r="L236">
        <v>4269</v>
      </c>
      <c r="M236">
        <v>37</v>
      </c>
      <c r="N236">
        <v>108</v>
      </c>
      <c r="O236">
        <v>188</v>
      </c>
      <c r="P236">
        <v>0</v>
      </c>
      <c r="Q236">
        <v>10</v>
      </c>
      <c r="R236">
        <v>450</v>
      </c>
      <c r="S236">
        <v>1</v>
      </c>
      <c r="T236">
        <v>4184</v>
      </c>
      <c r="U236">
        <v>13</v>
      </c>
      <c r="V236">
        <v>0</v>
      </c>
      <c r="W236">
        <v>1155</v>
      </c>
      <c r="X236">
        <f>NHS_AE_2024_2025[[#This Row],[A&amp;E attendances Type 1]]+
NHS_AE_2024_2025[[#This Row],[A&amp;E attendances Type 2]]+
NHS_AE_2024_2025[[#This Row],[A&amp;E attendances Other A&amp;E Department]]</f>
        <v>17416</v>
      </c>
      <c r="Y236">
        <f t="shared" si="6"/>
        <v>4414</v>
      </c>
      <c r="Z236">
        <f t="shared" si="7"/>
        <v>5352</v>
      </c>
    </row>
    <row r="237" spans="1:26" x14ac:dyDescent="0.2">
      <c r="A237" t="s">
        <v>427</v>
      </c>
      <c r="B237" t="s">
        <v>428</v>
      </c>
      <c r="C237" t="s">
        <v>416</v>
      </c>
      <c r="D237" t="s">
        <v>70</v>
      </c>
      <c r="E237" t="s">
        <v>417</v>
      </c>
      <c r="F237">
        <v>7363</v>
      </c>
      <c r="G237">
        <v>0</v>
      </c>
      <c r="H237">
        <v>712</v>
      </c>
      <c r="I237">
        <v>63</v>
      </c>
      <c r="J237">
        <v>0</v>
      </c>
      <c r="K237">
        <v>0</v>
      </c>
      <c r="L237">
        <v>2488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465</v>
      </c>
      <c r="S237">
        <v>260</v>
      </c>
      <c r="T237">
        <v>1950</v>
      </c>
      <c r="U237">
        <v>0</v>
      </c>
      <c r="V237">
        <v>0</v>
      </c>
      <c r="W237">
        <v>555</v>
      </c>
      <c r="X237">
        <f>NHS_AE_2024_2025[[#This Row],[A&amp;E attendances Type 1]]+
NHS_AE_2024_2025[[#This Row],[A&amp;E attendances Type 2]]+
NHS_AE_2024_2025[[#This Row],[A&amp;E attendances Other A&amp;E Department]]</f>
        <v>8075</v>
      </c>
      <c r="Y237">
        <f t="shared" si="6"/>
        <v>2488</v>
      </c>
      <c r="Z237">
        <f t="shared" si="7"/>
        <v>2505</v>
      </c>
    </row>
    <row r="238" spans="1:26" x14ac:dyDescent="0.2">
      <c r="A238" t="s">
        <v>427</v>
      </c>
      <c r="B238" t="s">
        <v>428</v>
      </c>
      <c r="C238" t="s">
        <v>112</v>
      </c>
      <c r="D238" t="s">
        <v>55</v>
      </c>
      <c r="E238" t="s">
        <v>113</v>
      </c>
      <c r="F238">
        <v>4125</v>
      </c>
      <c r="G238">
        <v>0</v>
      </c>
      <c r="H238">
        <v>0</v>
      </c>
      <c r="I238">
        <v>89</v>
      </c>
      <c r="J238">
        <v>0</v>
      </c>
      <c r="K238">
        <v>37</v>
      </c>
      <c r="L238">
        <v>1995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186</v>
      </c>
      <c r="S238">
        <v>70</v>
      </c>
      <c r="T238">
        <v>867</v>
      </c>
      <c r="U238">
        <v>0</v>
      </c>
      <c r="V238">
        <v>0</v>
      </c>
      <c r="W238">
        <v>170</v>
      </c>
      <c r="X238">
        <f>NHS_AE_2024_2025[[#This Row],[A&amp;E attendances Type 1]]+
NHS_AE_2024_2025[[#This Row],[A&amp;E attendances Type 2]]+
NHS_AE_2024_2025[[#This Row],[A&amp;E attendances Other A&amp;E Department]]</f>
        <v>4125</v>
      </c>
      <c r="Y238">
        <f t="shared" si="6"/>
        <v>1995</v>
      </c>
      <c r="Z238">
        <f t="shared" si="7"/>
        <v>1037</v>
      </c>
    </row>
    <row r="239" spans="1:26" x14ac:dyDescent="0.2">
      <c r="A239" t="s">
        <v>427</v>
      </c>
      <c r="B239" t="s">
        <v>428</v>
      </c>
      <c r="C239" t="s">
        <v>310</v>
      </c>
      <c r="D239" t="s">
        <v>26</v>
      </c>
      <c r="E239" t="s">
        <v>311</v>
      </c>
      <c r="F239">
        <v>8907</v>
      </c>
      <c r="G239">
        <v>144</v>
      </c>
      <c r="H239">
        <v>5284</v>
      </c>
      <c r="I239">
        <v>0</v>
      </c>
      <c r="J239">
        <v>0</v>
      </c>
      <c r="K239">
        <v>0</v>
      </c>
      <c r="L239">
        <v>4568</v>
      </c>
      <c r="M239">
        <v>0</v>
      </c>
      <c r="N239">
        <v>57</v>
      </c>
      <c r="O239">
        <v>0</v>
      </c>
      <c r="P239">
        <v>0</v>
      </c>
      <c r="Q239">
        <v>0</v>
      </c>
      <c r="R239">
        <v>690</v>
      </c>
      <c r="S239">
        <v>297</v>
      </c>
      <c r="T239">
        <v>2956</v>
      </c>
      <c r="U239">
        <v>0</v>
      </c>
      <c r="V239">
        <v>0</v>
      </c>
      <c r="W239">
        <v>1252</v>
      </c>
      <c r="X239">
        <f>NHS_AE_2024_2025[[#This Row],[A&amp;E attendances Type 1]]+
NHS_AE_2024_2025[[#This Row],[A&amp;E attendances Type 2]]+
NHS_AE_2024_2025[[#This Row],[A&amp;E attendances Other A&amp;E Department]]</f>
        <v>14335</v>
      </c>
      <c r="Y239">
        <f t="shared" si="6"/>
        <v>4625</v>
      </c>
      <c r="Z239">
        <f t="shared" si="7"/>
        <v>4208</v>
      </c>
    </row>
    <row r="240" spans="1:26" x14ac:dyDescent="0.2">
      <c r="A240" t="s">
        <v>427</v>
      </c>
      <c r="B240" t="s">
        <v>428</v>
      </c>
      <c r="C240" t="s">
        <v>256</v>
      </c>
      <c r="D240" t="s">
        <v>37</v>
      </c>
      <c r="E240" t="s">
        <v>257</v>
      </c>
      <c r="F240">
        <v>0</v>
      </c>
      <c r="G240">
        <v>0</v>
      </c>
      <c r="H240">
        <v>3643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308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f>NHS_AE_2024_2025[[#This Row],[A&amp;E attendances Type 1]]+
NHS_AE_2024_2025[[#This Row],[A&amp;E attendances Type 2]]+
NHS_AE_2024_2025[[#This Row],[A&amp;E attendances Other A&amp;E Department]]</f>
        <v>3643</v>
      </c>
      <c r="Y240">
        <f t="shared" si="6"/>
        <v>308</v>
      </c>
      <c r="Z240">
        <f t="shared" si="7"/>
        <v>0</v>
      </c>
    </row>
    <row r="241" spans="1:26" x14ac:dyDescent="0.2">
      <c r="A241" t="s">
        <v>427</v>
      </c>
      <c r="B241" t="s">
        <v>428</v>
      </c>
      <c r="C241" t="s">
        <v>108</v>
      </c>
      <c r="D241" t="s">
        <v>37</v>
      </c>
      <c r="E241" t="s">
        <v>109</v>
      </c>
      <c r="F241">
        <v>0</v>
      </c>
      <c r="G241">
        <v>0</v>
      </c>
      <c r="H241">
        <v>2115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f>NHS_AE_2024_2025[[#This Row],[A&amp;E attendances Type 1]]+
NHS_AE_2024_2025[[#This Row],[A&amp;E attendances Type 2]]+
NHS_AE_2024_2025[[#This Row],[A&amp;E attendances Other A&amp;E Department]]</f>
        <v>2115</v>
      </c>
      <c r="Y241">
        <f t="shared" si="6"/>
        <v>0</v>
      </c>
      <c r="Z241">
        <f t="shared" si="7"/>
        <v>0</v>
      </c>
    </row>
    <row r="242" spans="1:26" x14ac:dyDescent="0.2">
      <c r="A242" t="s">
        <v>427</v>
      </c>
      <c r="B242" t="s">
        <v>428</v>
      </c>
      <c r="C242" t="s">
        <v>39</v>
      </c>
      <c r="D242" t="s">
        <v>26</v>
      </c>
      <c r="E242" t="s">
        <v>40</v>
      </c>
      <c r="F242">
        <v>0</v>
      </c>
      <c r="G242">
        <v>0</v>
      </c>
      <c r="H242">
        <v>96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f>NHS_AE_2024_2025[[#This Row],[A&amp;E attendances Type 1]]+
NHS_AE_2024_2025[[#This Row],[A&amp;E attendances Type 2]]+
NHS_AE_2024_2025[[#This Row],[A&amp;E attendances Other A&amp;E Department]]</f>
        <v>96</v>
      </c>
      <c r="Y242">
        <f t="shared" si="6"/>
        <v>0</v>
      </c>
      <c r="Z242">
        <f t="shared" si="7"/>
        <v>0</v>
      </c>
    </row>
    <row r="243" spans="1:26" x14ac:dyDescent="0.2">
      <c r="A243" t="s">
        <v>427</v>
      </c>
      <c r="B243" t="s">
        <v>428</v>
      </c>
      <c r="C243" t="s">
        <v>100</v>
      </c>
      <c r="D243" t="s">
        <v>37</v>
      </c>
      <c r="E243" t="s">
        <v>101</v>
      </c>
      <c r="F243">
        <v>0</v>
      </c>
      <c r="G243">
        <v>0</v>
      </c>
      <c r="H243">
        <v>5004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163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f>NHS_AE_2024_2025[[#This Row],[A&amp;E attendances Type 1]]+
NHS_AE_2024_2025[[#This Row],[A&amp;E attendances Type 2]]+
NHS_AE_2024_2025[[#This Row],[A&amp;E attendances Other A&amp;E Department]]</f>
        <v>5004</v>
      </c>
      <c r="Y243">
        <f t="shared" si="6"/>
        <v>163</v>
      </c>
      <c r="Z243">
        <f t="shared" si="7"/>
        <v>0</v>
      </c>
    </row>
    <row r="244" spans="1:26" x14ac:dyDescent="0.2">
      <c r="A244" t="s">
        <v>427</v>
      </c>
      <c r="B244" t="s">
        <v>428</v>
      </c>
      <c r="C244" t="s">
        <v>226</v>
      </c>
      <c r="D244" t="s">
        <v>37</v>
      </c>
      <c r="E244" t="s">
        <v>227</v>
      </c>
      <c r="F244">
        <v>6150</v>
      </c>
      <c r="G244">
        <v>0</v>
      </c>
      <c r="H244">
        <v>1404</v>
      </c>
      <c r="I244">
        <v>587</v>
      </c>
      <c r="J244">
        <v>0</v>
      </c>
      <c r="K244">
        <v>14</v>
      </c>
      <c r="L244">
        <v>758</v>
      </c>
      <c r="M244">
        <v>0</v>
      </c>
      <c r="N244">
        <v>0</v>
      </c>
      <c r="O244">
        <v>49</v>
      </c>
      <c r="P244">
        <v>0</v>
      </c>
      <c r="Q244">
        <v>0</v>
      </c>
      <c r="R244">
        <v>60</v>
      </c>
      <c r="S244">
        <v>0</v>
      </c>
      <c r="T244">
        <v>2479</v>
      </c>
      <c r="U244">
        <v>0</v>
      </c>
      <c r="V244">
        <v>0</v>
      </c>
      <c r="W244">
        <v>992</v>
      </c>
      <c r="X244">
        <f>NHS_AE_2024_2025[[#This Row],[A&amp;E attendances Type 1]]+
NHS_AE_2024_2025[[#This Row],[A&amp;E attendances Type 2]]+
NHS_AE_2024_2025[[#This Row],[A&amp;E attendances Other A&amp;E Department]]</f>
        <v>7554</v>
      </c>
      <c r="Y244">
        <f t="shared" si="6"/>
        <v>758</v>
      </c>
      <c r="Z244">
        <f t="shared" si="7"/>
        <v>3471</v>
      </c>
    </row>
    <row r="245" spans="1:26" x14ac:dyDescent="0.2">
      <c r="A245" t="s">
        <v>427</v>
      </c>
      <c r="B245" t="s">
        <v>428</v>
      </c>
      <c r="C245" t="s">
        <v>102</v>
      </c>
      <c r="D245" t="s">
        <v>55</v>
      </c>
      <c r="E245" t="s">
        <v>103</v>
      </c>
      <c r="F245">
        <v>14900</v>
      </c>
      <c r="G245">
        <v>1770</v>
      </c>
      <c r="H245">
        <v>7379</v>
      </c>
      <c r="I245">
        <v>376</v>
      </c>
      <c r="J245">
        <v>0</v>
      </c>
      <c r="K245">
        <v>0</v>
      </c>
      <c r="L245">
        <v>6858</v>
      </c>
      <c r="M245">
        <v>62</v>
      </c>
      <c r="N245">
        <v>102</v>
      </c>
      <c r="O245">
        <v>73</v>
      </c>
      <c r="P245">
        <v>0</v>
      </c>
      <c r="Q245">
        <v>0</v>
      </c>
      <c r="R245">
        <v>1621</v>
      </c>
      <c r="S245">
        <v>644</v>
      </c>
      <c r="T245">
        <v>5096</v>
      </c>
      <c r="U245">
        <v>0</v>
      </c>
      <c r="V245">
        <v>0</v>
      </c>
      <c r="W245">
        <v>2527</v>
      </c>
      <c r="X245">
        <f>NHS_AE_2024_2025[[#This Row],[A&amp;E attendances Type 1]]+
NHS_AE_2024_2025[[#This Row],[A&amp;E attendances Type 2]]+
NHS_AE_2024_2025[[#This Row],[A&amp;E attendances Other A&amp;E Department]]</f>
        <v>24049</v>
      </c>
      <c r="Y245">
        <f t="shared" si="6"/>
        <v>7022</v>
      </c>
      <c r="Z245">
        <f t="shared" si="7"/>
        <v>7623</v>
      </c>
    </row>
    <row r="246" spans="1:26" x14ac:dyDescent="0.2">
      <c r="A246" t="s">
        <v>427</v>
      </c>
      <c r="B246" t="s">
        <v>428</v>
      </c>
      <c r="C246" t="s">
        <v>410</v>
      </c>
      <c r="D246" t="s">
        <v>32</v>
      </c>
      <c r="E246" t="s">
        <v>411</v>
      </c>
      <c r="F246">
        <v>3730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148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861</v>
      </c>
      <c r="U246">
        <v>0</v>
      </c>
      <c r="V246">
        <v>0</v>
      </c>
      <c r="W246">
        <v>150</v>
      </c>
      <c r="X246">
        <f>NHS_AE_2024_2025[[#This Row],[A&amp;E attendances Type 1]]+
NHS_AE_2024_2025[[#This Row],[A&amp;E attendances Type 2]]+
NHS_AE_2024_2025[[#This Row],[A&amp;E attendances Other A&amp;E Department]]</f>
        <v>3730</v>
      </c>
      <c r="Y246">
        <f t="shared" si="6"/>
        <v>148</v>
      </c>
      <c r="Z246">
        <f t="shared" si="7"/>
        <v>1011</v>
      </c>
    </row>
    <row r="247" spans="1:26" x14ac:dyDescent="0.2">
      <c r="A247" t="s">
        <v>427</v>
      </c>
      <c r="B247" t="s">
        <v>428</v>
      </c>
      <c r="C247" t="s">
        <v>104</v>
      </c>
      <c r="D247" t="s">
        <v>29</v>
      </c>
      <c r="E247" t="s">
        <v>105</v>
      </c>
      <c r="F247">
        <v>10373</v>
      </c>
      <c r="G247">
        <v>0</v>
      </c>
      <c r="H247">
        <v>0</v>
      </c>
      <c r="I247">
        <v>3</v>
      </c>
      <c r="J247">
        <v>0</v>
      </c>
      <c r="K247">
        <v>0</v>
      </c>
      <c r="L247">
        <v>1335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167</v>
      </c>
      <c r="S247">
        <v>16</v>
      </c>
      <c r="T247">
        <v>1742</v>
      </c>
      <c r="U247">
        <v>0</v>
      </c>
      <c r="V247">
        <v>0</v>
      </c>
      <c r="W247">
        <v>316</v>
      </c>
      <c r="X247">
        <f>NHS_AE_2024_2025[[#This Row],[A&amp;E attendances Type 1]]+
NHS_AE_2024_2025[[#This Row],[A&amp;E attendances Type 2]]+
NHS_AE_2024_2025[[#This Row],[A&amp;E attendances Other A&amp;E Department]]</f>
        <v>10373</v>
      </c>
      <c r="Y247">
        <f t="shared" si="6"/>
        <v>1335</v>
      </c>
      <c r="Z247">
        <f t="shared" si="7"/>
        <v>2058</v>
      </c>
    </row>
    <row r="248" spans="1:26" x14ac:dyDescent="0.2">
      <c r="A248" t="s">
        <v>427</v>
      </c>
      <c r="B248" t="s">
        <v>428</v>
      </c>
      <c r="C248" t="s">
        <v>258</v>
      </c>
      <c r="D248" t="s">
        <v>50</v>
      </c>
      <c r="E248" t="s">
        <v>259</v>
      </c>
      <c r="F248">
        <v>5352</v>
      </c>
      <c r="G248">
        <v>0</v>
      </c>
      <c r="H248">
        <v>3468</v>
      </c>
      <c r="I248">
        <v>30</v>
      </c>
      <c r="J248">
        <v>0</v>
      </c>
      <c r="K248">
        <v>0</v>
      </c>
      <c r="L248">
        <v>2427</v>
      </c>
      <c r="M248">
        <v>0</v>
      </c>
      <c r="N248">
        <v>28</v>
      </c>
      <c r="O248">
        <v>3</v>
      </c>
      <c r="P248">
        <v>0</v>
      </c>
      <c r="Q248">
        <v>0</v>
      </c>
      <c r="R248">
        <v>943</v>
      </c>
      <c r="S248">
        <v>0</v>
      </c>
      <c r="T248">
        <v>1457</v>
      </c>
      <c r="U248">
        <v>0</v>
      </c>
      <c r="V248">
        <v>0</v>
      </c>
      <c r="W248">
        <v>49</v>
      </c>
      <c r="X248">
        <f>NHS_AE_2024_2025[[#This Row],[A&amp;E attendances Type 1]]+
NHS_AE_2024_2025[[#This Row],[A&amp;E attendances Type 2]]+
NHS_AE_2024_2025[[#This Row],[A&amp;E attendances Other A&amp;E Department]]</f>
        <v>8820</v>
      </c>
      <c r="Y248">
        <f t="shared" si="6"/>
        <v>2455</v>
      </c>
      <c r="Z248">
        <f t="shared" si="7"/>
        <v>1506</v>
      </c>
    </row>
    <row r="249" spans="1:26" x14ac:dyDescent="0.2">
      <c r="A249" t="s">
        <v>427</v>
      </c>
      <c r="B249" t="s">
        <v>428</v>
      </c>
      <c r="C249" t="s">
        <v>88</v>
      </c>
      <c r="D249" t="s">
        <v>29</v>
      </c>
      <c r="E249" t="s">
        <v>89</v>
      </c>
      <c r="F249">
        <v>12262</v>
      </c>
      <c r="G249">
        <v>0</v>
      </c>
      <c r="H249">
        <v>0</v>
      </c>
      <c r="I249">
        <v>247</v>
      </c>
      <c r="J249">
        <v>0</v>
      </c>
      <c r="K249">
        <v>0</v>
      </c>
      <c r="L249">
        <v>2915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220</v>
      </c>
      <c r="S249">
        <v>50</v>
      </c>
      <c r="T249">
        <v>1429</v>
      </c>
      <c r="U249">
        <v>0</v>
      </c>
      <c r="V249">
        <v>0</v>
      </c>
      <c r="W249">
        <v>255</v>
      </c>
      <c r="X249">
        <f>NHS_AE_2024_2025[[#This Row],[A&amp;E attendances Type 1]]+
NHS_AE_2024_2025[[#This Row],[A&amp;E attendances Type 2]]+
NHS_AE_2024_2025[[#This Row],[A&amp;E attendances Other A&amp;E Department]]</f>
        <v>12262</v>
      </c>
      <c r="Y249">
        <f t="shared" si="6"/>
        <v>2915</v>
      </c>
      <c r="Z249">
        <f t="shared" si="7"/>
        <v>1684</v>
      </c>
    </row>
    <row r="250" spans="1:26" x14ac:dyDescent="0.2">
      <c r="A250" t="s">
        <v>427</v>
      </c>
      <c r="B250" t="s">
        <v>428</v>
      </c>
      <c r="C250" t="s">
        <v>130</v>
      </c>
      <c r="D250" t="s">
        <v>70</v>
      </c>
      <c r="E250" t="s">
        <v>131</v>
      </c>
      <c r="F250">
        <v>0</v>
      </c>
      <c r="G250">
        <v>0</v>
      </c>
      <c r="H250">
        <v>2395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f>NHS_AE_2024_2025[[#This Row],[A&amp;E attendances Type 1]]+
NHS_AE_2024_2025[[#This Row],[A&amp;E attendances Type 2]]+
NHS_AE_2024_2025[[#This Row],[A&amp;E attendances Other A&amp;E Department]]</f>
        <v>2395</v>
      </c>
      <c r="Y250">
        <f t="shared" si="6"/>
        <v>0</v>
      </c>
      <c r="Z250">
        <f t="shared" si="7"/>
        <v>0</v>
      </c>
    </row>
    <row r="251" spans="1:26" x14ac:dyDescent="0.2">
      <c r="A251" t="s">
        <v>427</v>
      </c>
      <c r="B251" t="s">
        <v>428</v>
      </c>
      <c r="C251" t="s">
        <v>234</v>
      </c>
      <c r="D251" t="s">
        <v>26</v>
      </c>
      <c r="E251" t="s">
        <v>235</v>
      </c>
      <c r="F251">
        <v>4587</v>
      </c>
      <c r="G251">
        <v>0</v>
      </c>
      <c r="H251">
        <v>0</v>
      </c>
      <c r="I251">
        <v>363</v>
      </c>
      <c r="J251">
        <v>0</v>
      </c>
      <c r="K251">
        <v>4493</v>
      </c>
      <c r="L251">
        <v>1653</v>
      </c>
      <c r="M251">
        <v>0</v>
      </c>
      <c r="N251">
        <v>0</v>
      </c>
      <c r="O251">
        <v>87</v>
      </c>
      <c r="P251">
        <v>0</v>
      </c>
      <c r="Q251">
        <v>14</v>
      </c>
      <c r="R251">
        <v>189</v>
      </c>
      <c r="S251">
        <v>42</v>
      </c>
      <c r="T251">
        <v>1899</v>
      </c>
      <c r="U251">
        <v>0</v>
      </c>
      <c r="V251">
        <v>0</v>
      </c>
      <c r="W251">
        <v>489</v>
      </c>
      <c r="X251">
        <f>NHS_AE_2024_2025[[#This Row],[A&amp;E attendances Type 1]]+
NHS_AE_2024_2025[[#This Row],[A&amp;E attendances Type 2]]+
NHS_AE_2024_2025[[#This Row],[A&amp;E attendances Other A&amp;E Department]]</f>
        <v>4587</v>
      </c>
      <c r="Y251">
        <f t="shared" si="6"/>
        <v>1653</v>
      </c>
      <c r="Z251">
        <f t="shared" si="7"/>
        <v>2388</v>
      </c>
    </row>
    <row r="252" spans="1:26" x14ac:dyDescent="0.2">
      <c r="A252" t="s">
        <v>427</v>
      </c>
      <c r="B252" t="s">
        <v>428</v>
      </c>
      <c r="C252" t="s">
        <v>196</v>
      </c>
      <c r="D252" t="s">
        <v>37</v>
      </c>
      <c r="E252" t="s">
        <v>197</v>
      </c>
      <c r="F252">
        <v>21240</v>
      </c>
      <c r="G252">
        <v>1000</v>
      </c>
      <c r="H252">
        <v>10368</v>
      </c>
      <c r="I252">
        <v>0</v>
      </c>
      <c r="J252">
        <v>0</v>
      </c>
      <c r="K252">
        <v>0</v>
      </c>
      <c r="L252">
        <v>8383</v>
      </c>
      <c r="M252">
        <v>0</v>
      </c>
      <c r="N252">
        <v>41</v>
      </c>
      <c r="O252">
        <v>0</v>
      </c>
      <c r="P252">
        <v>0</v>
      </c>
      <c r="Q252">
        <v>0</v>
      </c>
      <c r="R252">
        <v>2172</v>
      </c>
      <c r="S252">
        <v>95</v>
      </c>
      <c r="T252">
        <v>5446</v>
      </c>
      <c r="U252">
        <v>0</v>
      </c>
      <c r="V252">
        <v>0</v>
      </c>
      <c r="W252">
        <v>262</v>
      </c>
      <c r="X252">
        <f>NHS_AE_2024_2025[[#This Row],[A&amp;E attendances Type 1]]+
NHS_AE_2024_2025[[#This Row],[A&amp;E attendances Type 2]]+
NHS_AE_2024_2025[[#This Row],[A&amp;E attendances Other A&amp;E Department]]</f>
        <v>32608</v>
      </c>
      <c r="Y252">
        <f t="shared" si="6"/>
        <v>8424</v>
      </c>
      <c r="Z252">
        <f t="shared" si="7"/>
        <v>5708</v>
      </c>
    </row>
    <row r="253" spans="1:26" x14ac:dyDescent="0.2">
      <c r="A253" t="s">
        <v>427</v>
      </c>
      <c r="B253" t="s">
        <v>428</v>
      </c>
      <c r="C253" t="s">
        <v>160</v>
      </c>
      <c r="D253" t="s">
        <v>32</v>
      </c>
      <c r="E253" t="s">
        <v>161</v>
      </c>
      <c r="F253">
        <v>9006</v>
      </c>
      <c r="G253">
        <v>0</v>
      </c>
      <c r="H253">
        <v>8229</v>
      </c>
      <c r="I253">
        <v>341</v>
      </c>
      <c r="J253">
        <v>0</v>
      </c>
      <c r="K253">
        <v>0</v>
      </c>
      <c r="L253">
        <v>3205</v>
      </c>
      <c r="M253">
        <v>0</v>
      </c>
      <c r="N253">
        <v>44</v>
      </c>
      <c r="O253">
        <v>0</v>
      </c>
      <c r="P253">
        <v>0</v>
      </c>
      <c r="Q253">
        <v>0</v>
      </c>
      <c r="R253">
        <v>1361</v>
      </c>
      <c r="S253">
        <v>0</v>
      </c>
      <c r="T253">
        <v>1974</v>
      </c>
      <c r="U253">
        <v>0</v>
      </c>
      <c r="V253">
        <v>0</v>
      </c>
      <c r="W253">
        <v>211</v>
      </c>
      <c r="X253">
        <f>NHS_AE_2024_2025[[#This Row],[A&amp;E attendances Type 1]]+
NHS_AE_2024_2025[[#This Row],[A&amp;E attendances Type 2]]+
NHS_AE_2024_2025[[#This Row],[A&amp;E attendances Other A&amp;E Department]]</f>
        <v>17235</v>
      </c>
      <c r="Y253">
        <f t="shared" si="6"/>
        <v>3249</v>
      </c>
      <c r="Z253">
        <f t="shared" si="7"/>
        <v>2185</v>
      </c>
    </row>
    <row r="254" spans="1:26" x14ac:dyDescent="0.2">
      <c r="A254" t="s">
        <v>427</v>
      </c>
      <c r="B254" t="s">
        <v>428</v>
      </c>
      <c r="C254" t="s">
        <v>164</v>
      </c>
      <c r="D254" t="s">
        <v>37</v>
      </c>
      <c r="E254" t="s">
        <v>165</v>
      </c>
      <c r="F254">
        <v>9840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2527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457</v>
      </c>
      <c r="S254">
        <v>308</v>
      </c>
      <c r="T254">
        <v>3099</v>
      </c>
      <c r="U254">
        <v>0</v>
      </c>
      <c r="V254">
        <v>0</v>
      </c>
      <c r="W254">
        <v>798</v>
      </c>
      <c r="X254">
        <f>NHS_AE_2024_2025[[#This Row],[A&amp;E attendances Type 1]]+
NHS_AE_2024_2025[[#This Row],[A&amp;E attendances Type 2]]+
NHS_AE_2024_2025[[#This Row],[A&amp;E attendances Other A&amp;E Department]]</f>
        <v>9840</v>
      </c>
      <c r="Y254">
        <f t="shared" si="6"/>
        <v>2527</v>
      </c>
      <c r="Z254">
        <f t="shared" si="7"/>
        <v>3897</v>
      </c>
    </row>
    <row r="255" spans="1:26" x14ac:dyDescent="0.2">
      <c r="A255" t="s">
        <v>427</v>
      </c>
      <c r="B255" t="s">
        <v>428</v>
      </c>
      <c r="C255" t="s">
        <v>268</v>
      </c>
      <c r="D255" t="s">
        <v>37</v>
      </c>
      <c r="E255" t="s">
        <v>269</v>
      </c>
      <c r="F255">
        <v>16301</v>
      </c>
      <c r="G255">
        <v>0</v>
      </c>
      <c r="H255">
        <v>2179</v>
      </c>
      <c r="I255">
        <v>771</v>
      </c>
      <c r="J255">
        <v>0</v>
      </c>
      <c r="K255">
        <v>173</v>
      </c>
      <c r="L255">
        <v>2651</v>
      </c>
      <c r="M255">
        <v>0</v>
      </c>
      <c r="N255">
        <v>7</v>
      </c>
      <c r="O255">
        <v>62</v>
      </c>
      <c r="P255">
        <v>0</v>
      </c>
      <c r="Q255">
        <v>0</v>
      </c>
      <c r="R255">
        <v>640</v>
      </c>
      <c r="S255">
        <v>12</v>
      </c>
      <c r="T255">
        <v>4915</v>
      </c>
      <c r="U255">
        <v>0</v>
      </c>
      <c r="V255">
        <v>0</v>
      </c>
      <c r="W255">
        <v>884</v>
      </c>
      <c r="X255">
        <f>NHS_AE_2024_2025[[#This Row],[A&amp;E attendances Type 1]]+
NHS_AE_2024_2025[[#This Row],[A&amp;E attendances Type 2]]+
NHS_AE_2024_2025[[#This Row],[A&amp;E attendances Other A&amp;E Department]]</f>
        <v>18480</v>
      </c>
      <c r="Y255">
        <f t="shared" si="6"/>
        <v>2658</v>
      </c>
      <c r="Z255">
        <f t="shared" si="7"/>
        <v>5799</v>
      </c>
    </row>
    <row r="256" spans="1:26" x14ac:dyDescent="0.2">
      <c r="A256" t="s">
        <v>427</v>
      </c>
      <c r="B256" t="s">
        <v>428</v>
      </c>
      <c r="C256" t="s">
        <v>378</v>
      </c>
      <c r="D256" t="s">
        <v>37</v>
      </c>
      <c r="E256" t="s">
        <v>379</v>
      </c>
      <c r="F256">
        <v>0</v>
      </c>
      <c r="G256">
        <v>0</v>
      </c>
      <c r="H256">
        <v>1441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46</v>
      </c>
      <c r="W256">
        <v>0</v>
      </c>
      <c r="X256">
        <f>NHS_AE_2024_2025[[#This Row],[A&amp;E attendances Type 1]]+
NHS_AE_2024_2025[[#This Row],[A&amp;E attendances Type 2]]+
NHS_AE_2024_2025[[#This Row],[A&amp;E attendances Other A&amp;E Department]]</f>
        <v>1441</v>
      </c>
      <c r="Y256">
        <f t="shared" si="6"/>
        <v>11</v>
      </c>
      <c r="Z256">
        <f t="shared" si="7"/>
        <v>46</v>
      </c>
    </row>
    <row r="257" spans="1:26" x14ac:dyDescent="0.2">
      <c r="A257" t="s">
        <v>427</v>
      </c>
      <c r="B257" t="s">
        <v>428</v>
      </c>
      <c r="C257" t="s">
        <v>176</v>
      </c>
      <c r="D257" t="s">
        <v>55</v>
      </c>
      <c r="E257" t="s">
        <v>177</v>
      </c>
      <c r="F257">
        <v>8668</v>
      </c>
      <c r="G257">
        <v>0</v>
      </c>
      <c r="H257">
        <v>10210</v>
      </c>
      <c r="I257">
        <v>286</v>
      </c>
      <c r="J257">
        <v>0</v>
      </c>
      <c r="K257">
        <v>280</v>
      </c>
      <c r="L257">
        <v>4133</v>
      </c>
      <c r="M257">
        <v>0</v>
      </c>
      <c r="N257">
        <v>42</v>
      </c>
      <c r="O257">
        <v>88</v>
      </c>
      <c r="P257">
        <v>0</v>
      </c>
      <c r="Q257">
        <v>0</v>
      </c>
      <c r="R257">
        <v>527</v>
      </c>
      <c r="S257">
        <v>566</v>
      </c>
      <c r="T257">
        <v>2542</v>
      </c>
      <c r="U257">
        <v>0</v>
      </c>
      <c r="V257">
        <v>0</v>
      </c>
      <c r="W257">
        <v>1246</v>
      </c>
      <c r="X257">
        <f>NHS_AE_2024_2025[[#This Row],[A&amp;E attendances Type 1]]+
NHS_AE_2024_2025[[#This Row],[A&amp;E attendances Type 2]]+
NHS_AE_2024_2025[[#This Row],[A&amp;E attendances Other A&amp;E Department]]</f>
        <v>18878</v>
      </c>
      <c r="Y257">
        <f t="shared" si="6"/>
        <v>4175</v>
      </c>
      <c r="Z257">
        <f t="shared" si="7"/>
        <v>3788</v>
      </c>
    </row>
    <row r="258" spans="1:26" x14ac:dyDescent="0.2">
      <c r="A258" t="s">
        <v>427</v>
      </c>
      <c r="B258" t="s">
        <v>428</v>
      </c>
      <c r="C258" t="s">
        <v>218</v>
      </c>
      <c r="D258" t="s">
        <v>70</v>
      </c>
      <c r="E258" t="s">
        <v>219</v>
      </c>
      <c r="F258">
        <v>0</v>
      </c>
      <c r="G258">
        <v>0</v>
      </c>
      <c r="H258">
        <v>1042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56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f>NHS_AE_2024_2025[[#This Row],[A&amp;E attendances Type 1]]+
NHS_AE_2024_2025[[#This Row],[A&amp;E attendances Type 2]]+
NHS_AE_2024_2025[[#This Row],[A&amp;E attendances Other A&amp;E Department]]</f>
        <v>1042</v>
      </c>
      <c r="Y258">
        <f t="shared" ref="Y258:Y321" si="8">L258+M258+N258</f>
        <v>56</v>
      </c>
      <c r="Z258">
        <f t="shared" ref="Z258:Z321" si="9">T258+U258+V258+W258</f>
        <v>0</v>
      </c>
    </row>
    <row r="259" spans="1:26" x14ac:dyDescent="0.2">
      <c r="A259" t="s">
        <v>427</v>
      </c>
      <c r="B259" t="s">
        <v>428</v>
      </c>
      <c r="C259" t="s">
        <v>92</v>
      </c>
      <c r="D259" t="s">
        <v>26</v>
      </c>
      <c r="E259" t="s">
        <v>93</v>
      </c>
      <c r="F259">
        <v>0</v>
      </c>
      <c r="G259">
        <v>0</v>
      </c>
      <c r="H259">
        <v>2574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f>NHS_AE_2024_2025[[#This Row],[A&amp;E attendances Type 1]]+
NHS_AE_2024_2025[[#This Row],[A&amp;E attendances Type 2]]+
NHS_AE_2024_2025[[#This Row],[A&amp;E attendances Other A&amp;E Department]]</f>
        <v>2574</v>
      </c>
      <c r="Y259">
        <f t="shared" si="8"/>
        <v>11</v>
      </c>
      <c r="Z259">
        <f t="shared" si="9"/>
        <v>0</v>
      </c>
    </row>
    <row r="260" spans="1:26" x14ac:dyDescent="0.2">
      <c r="A260" t="s">
        <v>427</v>
      </c>
      <c r="B260" t="s">
        <v>428</v>
      </c>
      <c r="C260" t="s">
        <v>118</v>
      </c>
      <c r="D260" t="s">
        <v>32</v>
      </c>
      <c r="E260" t="s">
        <v>119</v>
      </c>
      <c r="F260">
        <v>0</v>
      </c>
      <c r="G260">
        <v>0</v>
      </c>
      <c r="H260">
        <v>1836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f>NHS_AE_2024_2025[[#This Row],[A&amp;E attendances Type 1]]+
NHS_AE_2024_2025[[#This Row],[A&amp;E attendances Type 2]]+
NHS_AE_2024_2025[[#This Row],[A&amp;E attendances Other A&amp;E Department]]</f>
        <v>1836</v>
      </c>
      <c r="Y260">
        <f t="shared" si="8"/>
        <v>1</v>
      </c>
      <c r="Z260">
        <f t="shared" si="9"/>
        <v>0</v>
      </c>
    </row>
    <row r="261" spans="1:26" x14ac:dyDescent="0.2">
      <c r="A261" t="s">
        <v>427</v>
      </c>
      <c r="B261" t="s">
        <v>428</v>
      </c>
      <c r="C261" t="s">
        <v>188</v>
      </c>
      <c r="D261" t="s">
        <v>26</v>
      </c>
      <c r="E261" t="s">
        <v>189</v>
      </c>
      <c r="F261">
        <v>14153</v>
      </c>
      <c r="G261">
        <v>2323</v>
      </c>
      <c r="H261">
        <v>0</v>
      </c>
      <c r="I261">
        <v>0</v>
      </c>
      <c r="J261">
        <v>0</v>
      </c>
      <c r="K261">
        <v>0</v>
      </c>
      <c r="L261">
        <v>4271</v>
      </c>
      <c r="M261">
        <v>97</v>
      </c>
      <c r="N261">
        <v>0</v>
      </c>
      <c r="O261">
        <v>0</v>
      </c>
      <c r="P261">
        <v>0</v>
      </c>
      <c r="Q261">
        <v>0</v>
      </c>
      <c r="R261">
        <v>796</v>
      </c>
      <c r="S261">
        <v>82</v>
      </c>
      <c r="T261">
        <v>4993</v>
      </c>
      <c r="U261">
        <v>10</v>
      </c>
      <c r="V261">
        <v>0</v>
      </c>
      <c r="W261">
        <v>1412</v>
      </c>
      <c r="X261">
        <f>NHS_AE_2024_2025[[#This Row],[A&amp;E attendances Type 1]]+
NHS_AE_2024_2025[[#This Row],[A&amp;E attendances Type 2]]+
NHS_AE_2024_2025[[#This Row],[A&amp;E attendances Other A&amp;E Department]]</f>
        <v>16476</v>
      </c>
      <c r="Y261">
        <f t="shared" si="8"/>
        <v>4368</v>
      </c>
      <c r="Z261">
        <f t="shared" si="9"/>
        <v>6415</v>
      </c>
    </row>
    <row r="262" spans="1:26" x14ac:dyDescent="0.2">
      <c r="A262" t="s">
        <v>427</v>
      </c>
      <c r="B262" t="s">
        <v>428</v>
      </c>
      <c r="C262" t="s">
        <v>228</v>
      </c>
      <c r="D262" t="s">
        <v>70</v>
      </c>
      <c r="E262" t="s">
        <v>229</v>
      </c>
      <c r="F262">
        <v>28003</v>
      </c>
      <c r="G262">
        <v>0</v>
      </c>
      <c r="H262">
        <v>5633</v>
      </c>
      <c r="I262">
        <v>7</v>
      </c>
      <c r="J262">
        <v>0</v>
      </c>
      <c r="K262">
        <v>0</v>
      </c>
      <c r="L262">
        <v>8638</v>
      </c>
      <c r="M262">
        <v>0</v>
      </c>
      <c r="N262">
        <v>110</v>
      </c>
      <c r="O262">
        <v>1</v>
      </c>
      <c r="P262">
        <v>0</v>
      </c>
      <c r="Q262">
        <v>0</v>
      </c>
      <c r="R262">
        <v>2818</v>
      </c>
      <c r="S262">
        <v>12</v>
      </c>
      <c r="T262">
        <v>8820</v>
      </c>
      <c r="U262">
        <v>0</v>
      </c>
      <c r="V262">
        <v>217</v>
      </c>
      <c r="W262">
        <v>1156</v>
      </c>
      <c r="X262">
        <f>NHS_AE_2024_2025[[#This Row],[A&amp;E attendances Type 1]]+
NHS_AE_2024_2025[[#This Row],[A&amp;E attendances Type 2]]+
NHS_AE_2024_2025[[#This Row],[A&amp;E attendances Other A&amp;E Department]]</f>
        <v>33636</v>
      </c>
      <c r="Y262">
        <f t="shared" si="8"/>
        <v>8748</v>
      </c>
      <c r="Z262">
        <f t="shared" si="9"/>
        <v>10193</v>
      </c>
    </row>
    <row r="263" spans="1:26" x14ac:dyDescent="0.2">
      <c r="A263" t="s">
        <v>427</v>
      </c>
      <c r="B263" t="s">
        <v>428</v>
      </c>
      <c r="C263" t="s">
        <v>82</v>
      </c>
      <c r="D263" t="s">
        <v>55</v>
      </c>
      <c r="E263" t="s">
        <v>83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155</v>
      </c>
      <c r="X263">
        <f>NHS_AE_2024_2025[[#This Row],[A&amp;E attendances Type 1]]+
NHS_AE_2024_2025[[#This Row],[A&amp;E attendances Type 2]]+
NHS_AE_2024_2025[[#This Row],[A&amp;E attendances Other A&amp;E Department]]</f>
        <v>0</v>
      </c>
      <c r="Y263">
        <f t="shared" si="8"/>
        <v>0</v>
      </c>
      <c r="Z263">
        <f t="shared" si="9"/>
        <v>155</v>
      </c>
    </row>
    <row r="264" spans="1:26" x14ac:dyDescent="0.2">
      <c r="A264" t="s">
        <v>427</v>
      </c>
      <c r="B264" t="s">
        <v>428</v>
      </c>
      <c r="C264" t="s">
        <v>194</v>
      </c>
      <c r="D264" t="s">
        <v>50</v>
      </c>
      <c r="E264" t="s">
        <v>195</v>
      </c>
      <c r="F264">
        <v>3483</v>
      </c>
      <c r="G264">
        <v>0</v>
      </c>
      <c r="H264">
        <v>0</v>
      </c>
      <c r="I264">
        <v>317</v>
      </c>
      <c r="J264">
        <v>0</v>
      </c>
      <c r="K264">
        <v>0</v>
      </c>
      <c r="L264">
        <v>159</v>
      </c>
      <c r="M264">
        <v>0</v>
      </c>
      <c r="N264">
        <v>0</v>
      </c>
      <c r="O264">
        <v>21</v>
      </c>
      <c r="P264">
        <v>0</v>
      </c>
      <c r="Q264">
        <v>0</v>
      </c>
      <c r="R264">
        <v>1</v>
      </c>
      <c r="S264">
        <v>0</v>
      </c>
      <c r="T264">
        <v>715</v>
      </c>
      <c r="U264">
        <v>0</v>
      </c>
      <c r="V264">
        <v>0</v>
      </c>
      <c r="W264">
        <v>70</v>
      </c>
      <c r="X264">
        <f>NHS_AE_2024_2025[[#This Row],[A&amp;E attendances Type 1]]+
NHS_AE_2024_2025[[#This Row],[A&amp;E attendances Type 2]]+
NHS_AE_2024_2025[[#This Row],[A&amp;E attendances Other A&amp;E Department]]</f>
        <v>3483</v>
      </c>
      <c r="Y264">
        <f t="shared" si="8"/>
        <v>159</v>
      </c>
      <c r="Z264">
        <f t="shared" si="9"/>
        <v>785</v>
      </c>
    </row>
    <row r="265" spans="1:26" x14ac:dyDescent="0.2">
      <c r="A265" t="s">
        <v>427</v>
      </c>
      <c r="B265" t="s">
        <v>428</v>
      </c>
      <c r="C265" t="s">
        <v>198</v>
      </c>
      <c r="D265" t="s">
        <v>55</v>
      </c>
      <c r="E265" t="s">
        <v>199</v>
      </c>
      <c r="F265">
        <v>0</v>
      </c>
      <c r="G265">
        <v>1297</v>
      </c>
      <c r="H265">
        <v>0</v>
      </c>
      <c r="I265">
        <v>0</v>
      </c>
      <c r="J265">
        <v>133</v>
      </c>
      <c r="K265">
        <v>0</v>
      </c>
      <c r="L265">
        <v>0</v>
      </c>
      <c r="M265">
        <v>161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100</v>
      </c>
      <c r="V265">
        <v>0</v>
      </c>
      <c r="W265">
        <v>11</v>
      </c>
      <c r="X265">
        <f>NHS_AE_2024_2025[[#This Row],[A&amp;E attendances Type 1]]+
NHS_AE_2024_2025[[#This Row],[A&amp;E attendances Type 2]]+
NHS_AE_2024_2025[[#This Row],[A&amp;E attendances Other A&amp;E Department]]</f>
        <v>1297</v>
      </c>
      <c r="Y265">
        <f t="shared" si="8"/>
        <v>161</v>
      </c>
      <c r="Z265">
        <f t="shared" si="9"/>
        <v>111</v>
      </c>
    </row>
    <row r="266" spans="1:26" x14ac:dyDescent="0.2">
      <c r="A266" t="s">
        <v>427</v>
      </c>
      <c r="B266" t="s">
        <v>428</v>
      </c>
      <c r="C266" t="s">
        <v>304</v>
      </c>
      <c r="D266" t="s">
        <v>29</v>
      </c>
      <c r="E266" t="s">
        <v>305</v>
      </c>
      <c r="F266">
        <v>12064</v>
      </c>
      <c r="G266">
        <v>0</v>
      </c>
      <c r="H266">
        <v>4545</v>
      </c>
      <c r="I266">
        <v>0</v>
      </c>
      <c r="J266">
        <v>0</v>
      </c>
      <c r="K266">
        <v>0</v>
      </c>
      <c r="L266">
        <v>3900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465</v>
      </c>
      <c r="S266">
        <v>485</v>
      </c>
      <c r="T266">
        <v>1384</v>
      </c>
      <c r="U266">
        <v>0</v>
      </c>
      <c r="V266">
        <v>0</v>
      </c>
      <c r="W266">
        <v>118</v>
      </c>
      <c r="X266">
        <f>NHS_AE_2024_2025[[#This Row],[A&amp;E attendances Type 1]]+
NHS_AE_2024_2025[[#This Row],[A&amp;E attendances Type 2]]+
NHS_AE_2024_2025[[#This Row],[A&amp;E attendances Other A&amp;E Department]]</f>
        <v>16609</v>
      </c>
      <c r="Y266">
        <f t="shared" si="8"/>
        <v>3900</v>
      </c>
      <c r="Z266">
        <f t="shared" si="9"/>
        <v>1502</v>
      </c>
    </row>
    <row r="267" spans="1:26" x14ac:dyDescent="0.2">
      <c r="A267" t="s">
        <v>427</v>
      </c>
      <c r="B267" t="s">
        <v>428</v>
      </c>
      <c r="C267" t="s">
        <v>248</v>
      </c>
      <c r="D267" t="s">
        <v>55</v>
      </c>
      <c r="E267" t="s">
        <v>249</v>
      </c>
      <c r="F267">
        <v>4794</v>
      </c>
      <c r="G267">
        <v>0</v>
      </c>
      <c r="H267">
        <v>2183</v>
      </c>
      <c r="I267">
        <v>0</v>
      </c>
      <c r="J267">
        <v>0</v>
      </c>
      <c r="K267">
        <v>0</v>
      </c>
      <c r="L267">
        <v>2638</v>
      </c>
      <c r="M267">
        <v>0</v>
      </c>
      <c r="N267">
        <v>173</v>
      </c>
      <c r="O267">
        <v>0</v>
      </c>
      <c r="P267">
        <v>0</v>
      </c>
      <c r="Q267">
        <v>0</v>
      </c>
      <c r="R267">
        <v>303</v>
      </c>
      <c r="S267">
        <v>634</v>
      </c>
      <c r="T267">
        <v>1541</v>
      </c>
      <c r="U267">
        <v>0</v>
      </c>
      <c r="V267">
        <v>0</v>
      </c>
      <c r="W267">
        <v>1094</v>
      </c>
      <c r="X267">
        <f>NHS_AE_2024_2025[[#This Row],[A&amp;E attendances Type 1]]+
NHS_AE_2024_2025[[#This Row],[A&amp;E attendances Type 2]]+
NHS_AE_2024_2025[[#This Row],[A&amp;E attendances Other A&amp;E Department]]</f>
        <v>6977</v>
      </c>
      <c r="Y267">
        <f t="shared" si="8"/>
        <v>2811</v>
      </c>
      <c r="Z267">
        <f t="shared" si="9"/>
        <v>2635</v>
      </c>
    </row>
    <row r="268" spans="1:26" x14ac:dyDescent="0.2">
      <c r="A268" t="s">
        <v>427</v>
      </c>
      <c r="B268" t="s">
        <v>428</v>
      </c>
      <c r="C268" t="s">
        <v>204</v>
      </c>
      <c r="D268" t="s">
        <v>32</v>
      </c>
      <c r="E268" t="s">
        <v>205</v>
      </c>
      <c r="F268">
        <v>5824</v>
      </c>
      <c r="G268">
        <v>1104</v>
      </c>
      <c r="H268">
        <v>191</v>
      </c>
      <c r="I268">
        <v>119</v>
      </c>
      <c r="J268">
        <v>0</v>
      </c>
      <c r="K268">
        <v>0</v>
      </c>
      <c r="L268">
        <v>2317</v>
      </c>
      <c r="M268">
        <v>0</v>
      </c>
      <c r="N268">
        <v>0</v>
      </c>
      <c r="O268">
        <v>28</v>
      </c>
      <c r="P268">
        <v>0</v>
      </c>
      <c r="Q268">
        <v>0</v>
      </c>
      <c r="R268">
        <v>402</v>
      </c>
      <c r="S268">
        <v>241</v>
      </c>
      <c r="T268">
        <v>1821</v>
      </c>
      <c r="U268">
        <v>0</v>
      </c>
      <c r="V268">
        <v>0</v>
      </c>
      <c r="W268">
        <v>626</v>
      </c>
      <c r="X268">
        <f>NHS_AE_2024_2025[[#This Row],[A&amp;E attendances Type 1]]+
NHS_AE_2024_2025[[#This Row],[A&amp;E attendances Type 2]]+
NHS_AE_2024_2025[[#This Row],[A&amp;E attendances Other A&amp;E Department]]</f>
        <v>7119</v>
      </c>
      <c r="Y268">
        <f t="shared" si="8"/>
        <v>2317</v>
      </c>
      <c r="Z268">
        <f t="shared" si="9"/>
        <v>2447</v>
      </c>
    </row>
    <row r="269" spans="1:26" x14ac:dyDescent="0.2">
      <c r="A269" t="s">
        <v>427</v>
      </c>
      <c r="B269" t="s">
        <v>428</v>
      </c>
      <c r="C269" t="s">
        <v>388</v>
      </c>
      <c r="D269" t="s">
        <v>55</v>
      </c>
      <c r="E269" t="s">
        <v>389</v>
      </c>
      <c r="F269">
        <v>7196</v>
      </c>
      <c r="G269">
        <v>0</v>
      </c>
      <c r="H269">
        <v>3435</v>
      </c>
      <c r="I269">
        <v>36</v>
      </c>
      <c r="J269">
        <v>0</v>
      </c>
      <c r="K269">
        <v>58</v>
      </c>
      <c r="L269">
        <v>3074</v>
      </c>
      <c r="M269">
        <v>0</v>
      </c>
      <c r="N269">
        <v>172</v>
      </c>
      <c r="O269">
        <v>14</v>
      </c>
      <c r="P269">
        <v>0</v>
      </c>
      <c r="Q269">
        <v>0</v>
      </c>
      <c r="R269">
        <v>694</v>
      </c>
      <c r="S269">
        <v>428</v>
      </c>
      <c r="T269">
        <v>2141</v>
      </c>
      <c r="U269">
        <v>0</v>
      </c>
      <c r="V269">
        <v>94</v>
      </c>
      <c r="W269">
        <v>640</v>
      </c>
      <c r="X269">
        <f>NHS_AE_2024_2025[[#This Row],[A&amp;E attendances Type 1]]+
NHS_AE_2024_2025[[#This Row],[A&amp;E attendances Type 2]]+
NHS_AE_2024_2025[[#This Row],[A&amp;E attendances Other A&amp;E Department]]</f>
        <v>10631</v>
      </c>
      <c r="Y269">
        <f t="shared" si="8"/>
        <v>3246</v>
      </c>
      <c r="Z269">
        <f t="shared" si="9"/>
        <v>2875</v>
      </c>
    </row>
    <row r="270" spans="1:26" x14ac:dyDescent="0.2">
      <c r="A270" t="s">
        <v>427</v>
      </c>
      <c r="B270" t="s">
        <v>428</v>
      </c>
      <c r="C270" t="s">
        <v>324</v>
      </c>
      <c r="D270" t="s">
        <v>37</v>
      </c>
      <c r="E270" t="s">
        <v>325</v>
      </c>
      <c r="F270">
        <v>8254</v>
      </c>
      <c r="G270">
        <v>0</v>
      </c>
      <c r="H270">
        <v>6525</v>
      </c>
      <c r="I270">
        <v>245</v>
      </c>
      <c r="J270">
        <v>0</v>
      </c>
      <c r="K270">
        <v>863</v>
      </c>
      <c r="L270">
        <v>2698</v>
      </c>
      <c r="M270">
        <v>0</v>
      </c>
      <c r="N270">
        <v>448</v>
      </c>
      <c r="O270">
        <v>55</v>
      </c>
      <c r="P270">
        <v>0</v>
      </c>
      <c r="Q270">
        <v>0</v>
      </c>
      <c r="R270">
        <v>405</v>
      </c>
      <c r="S270">
        <v>572</v>
      </c>
      <c r="T270">
        <v>1805</v>
      </c>
      <c r="U270">
        <v>0</v>
      </c>
      <c r="V270">
        <v>0</v>
      </c>
      <c r="W270">
        <v>622</v>
      </c>
      <c r="X270">
        <f>NHS_AE_2024_2025[[#This Row],[A&amp;E attendances Type 1]]+
NHS_AE_2024_2025[[#This Row],[A&amp;E attendances Type 2]]+
NHS_AE_2024_2025[[#This Row],[A&amp;E attendances Other A&amp;E Department]]</f>
        <v>14779</v>
      </c>
      <c r="Y270">
        <f t="shared" si="8"/>
        <v>3146</v>
      </c>
      <c r="Z270">
        <f t="shared" si="9"/>
        <v>2427</v>
      </c>
    </row>
    <row r="271" spans="1:26" x14ac:dyDescent="0.2">
      <c r="A271" t="s">
        <v>427</v>
      </c>
      <c r="B271" t="s">
        <v>428</v>
      </c>
      <c r="C271" t="s">
        <v>328</v>
      </c>
      <c r="D271" t="s">
        <v>70</v>
      </c>
      <c r="E271" t="s">
        <v>329</v>
      </c>
      <c r="F271">
        <v>7939</v>
      </c>
      <c r="G271">
        <v>0</v>
      </c>
      <c r="H271">
        <v>1429</v>
      </c>
      <c r="I271">
        <v>0</v>
      </c>
      <c r="J271">
        <v>0</v>
      </c>
      <c r="K271">
        <v>543</v>
      </c>
      <c r="L271">
        <v>3654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395</v>
      </c>
      <c r="S271">
        <v>85</v>
      </c>
      <c r="T271">
        <v>2104</v>
      </c>
      <c r="U271">
        <v>0</v>
      </c>
      <c r="V271">
        <v>0</v>
      </c>
      <c r="W271">
        <v>412</v>
      </c>
      <c r="X271">
        <f>NHS_AE_2024_2025[[#This Row],[A&amp;E attendances Type 1]]+
NHS_AE_2024_2025[[#This Row],[A&amp;E attendances Type 2]]+
NHS_AE_2024_2025[[#This Row],[A&amp;E attendances Other A&amp;E Department]]</f>
        <v>9368</v>
      </c>
      <c r="Y271">
        <f t="shared" si="8"/>
        <v>3654</v>
      </c>
      <c r="Z271">
        <f t="shared" si="9"/>
        <v>2516</v>
      </c>
    </row>
    <row r="272" spans="1:26" x14ac:dyDescent="0.2">
      <c r="A272" t="s">
        <v>427</v>
      </c>
      <c r="B272" t="s">
        <v>428</v>
      </c>
      <c r="C272" t="s">
        <v>262</v>
      </c>
      <c r="D272" t="s">
        <v>26</v>
      </c>
      <c r="E272" t="s">
        <v>263</v>
      </c>
      <c r="F272">
        <v>0</v>
      </c>
      <c r="G272">
        <v>0</v>
      </c>
      <c r="H272">
        <v>7444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29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19</v>
      </c>
      <c r="X272">
        <f>NHS_AE_2024_2025[[#This Row],[A&amp;E attendances Type 1]]+
NHS_AE_2024_2025[[#This Row],[A&amp;E attendances Type 2]]+
NHS_AE_2024_2025[[#This Row],[A&amp;E attendances Other A&amp;E Department]]</f>
        <v>7444</v>
      </c>
      <c r="Y272">
        <f t="shared" si="8"/>
        <v>29</v>
      </c>
      <c r="Z272">
        <f t="shared" si="9"/>
        <v>19</v>
      </c>
    </row>
    <row r="273" spans="1:26" x14ac:dyDescent="0.2">
      <c r="A273" t="s">
        <v>427</v>
      </c>
      <c r="B273" t="s">
        <v>428</v>
      </c>
      <c r="C273" t="s">
        <v>212</v>
      </c>
      <c r="D273" t="s">
        <v>50</v>
      </c>
      <c r="E273" t="s">
        <v>213</v>
      </c>
      <c r="F273">
        <v>4447</v>
      </c>
      <c r="G273">
        <v>0</v>
      </c>
      <c r="H273">
        <v>10672</v>
      </c>
      <c r="I273">
        <v>0</v>
      </c>
      <c r="J273">
        <v>0</v>
      </c>
      <c r="K273">
        <v>0</v>
      </c>
      <c r="L273">
        <v>1585</v>
      </c>
      <c r="M273">
        <v>0</v>
      </c>
      <c r="N273">
        <v>21</v>
      </c>
      <c r="O273">
        <v>0</v>
      </c>
      <c r="P273">
        <v>0</v>
      </c>
      <c r="Q273">
        <v>0</v>
      </c>
      <c r="R273">
        <v>61</v>
      </c>
      <c r="S273">
        <v>0</v>
      </c>
      <c r="T273">
        <v>1552</v>
      </c>
      <c r="U273">
        <v>0</v>
      </c>
      <c r="V273">
        <v>481</v>
      </c>
      <c r="W273">
        <v>1813</v>
      </c>
      <c r="X273">
        <f>NHS_AE_2024_2025[[#This Row],[A&amp;E attendances Type 1]]+
NHS_AE_2024_2025[[#This Row],[A&amp;E attendances Type 2]]+
NHS_AE_2024_2025[[#This Row],[A&amp;E attendances Other A&amp;E Department]]</f>
        <v>15119</v>
      </c>
      <c r="Y273">
        <f t="shared" si="8"/>
        <v>1606</v>
      </c>
      <c r="Z273">
        <f t="shared" si="9"/>
        <v>3846</v>
      </c>
    </row>
    <row r="274" spans="1:26" x14ac:dyDescent="0.2">
      <c r="A274" t="s">
        <v>427</v>
      </c>
      <c r="B274" t="s">
        <v>428</v>
      </c>
      <c r="C274" t="s">
        <v>344</v>
      </c>
      <c r="D274" t="s">
        <v>32</v>
      </c>
      <c r="E274" t="s">
        <v>345</v>
      </c>
      <c r="F274">
        <v>9359</v>
      </c>
      <c r="G274">
        <v>0</v>
      </c>
      <c r="H274">
        <v>9710</v>
      </c>
      <c r="I274">
        <v>0</v>
      </c>
      <c r="J274">
        <v>0</v>
      </c>
      <c r="K274">
        <v>0</v>
      </c>
      <c r="L274">
        <v>6096</v>
      </c>
      <c r="M274">
        <v>0</v>
      </c>
      <c r="N274">
        <v>910</v>
      </c>
      <c r="O274">
        <v>0</v>
      </c>
      <c r="P274">
        <v>0</v>
      </c>
      <c r="Q274">
        <v>0</v>
      </c>
      <c r="R274">
        <v>1146</v>
      </c>
      <c r="S274">
        <v>732</v>
      </c>
      <c r="T274">
        <v>4105</v>
      </c>
      <c r="U274">
        <v>0</v>
      </c>
      <c r="V274">
        <v>0</v>
      </c>
      <c r="W274">
        <v>1092</v>
      </c>
      <c r="X274">
        <f>NHS_AE_2024_2025[[#This Row],[A&amp;E attendances Type 1]]+
NHS_AE_2024_2025[[#This Row],[A&amp;E attendances Type 2]]+
NHS_AE_2024_2025[[#This Row],[A&amp;E attendances Other A&amp;E Department]]</f>
        <v>19069</v>
      </c>
      <c r="Y274">
        <f t="shared" si="8"/>
        <v>7006</v>
      </c>
      <c r="Z274">
        <f t="shared" si="9"/>
        <v>5197</v>
      </c>
    </row>
    <row r="275" spans="1:26" x14ac:dyDescent="0.2">
      <c r="A275" t="s">
        <v>427</v>
      </c>
      <c r="B275" t="s">
        <v>428</v>
      </c>
      <c r="C275" t="s">
        <v>266</v>
      </c>
      <c r="D275" t="s">
        <v>32</v>
      </c>
      <c r="E275" t="s">
        <v>267</v>
      </c>
      <c r="F275">
        <v>20272</v>
      </c>
      <c r="G275">
        <v>1837</v>
      </c>
      <c r="H275">
        <v>0</v>
      </c>
      <c r="I275">
        <v>0</v>
      </c>
      <c r="J275">
        <v>0</v>
      </c>
      <c r="K275">
        <v>0</v>
      </c>
      <c r="L275">
        <v>8227</v>
      </c>
      <c r="M275">
        <v>2</v>
      </c>
      <c r="N275">
        <v>0</v>
      </c>
      <c r="O275">
        <v>0</v>
      </c>
      <c r="P275">
        <v>0</v>
      </c>
      <c r="Q275">
        <v>0</v>
      </c>
      <c r="R275">
        <v>1536</v>
      </c>
      <c r="S275">
        <v>662</v>
      </c>
      <c r="T275">
        <v>5941</v>
      </c>
      <c r="U275">
        <v>2</v>
      </c>
      <c r="V275">
        <v>0</v>
      </c>
      <c r="W275">
        <v>3262</v>
      </c>
      <c r="X275">
        <f>NHS_AE_2024_2025[[#This Row],[A&amp;E attendances Type 1]]+
NHS_AE_2024_2025[[#This Row],[A&amp;E attendances Type 2]]+
NHS_AE_2024_2025[[#This Row],[A&amp;E attendances Other A&amp;E Department]]</f>
        <v>22109</v>
      </c>
      <c r="Y275">
        <f t="shared" si="8"/>
        <v>8229</v>
      </c>
      <c r="Z275">
        <f t="shared" si="9"/>
        <v>9205</v>
      </c>
    </row>
    <row r="276" spans="1:26" x14ac:dyDescent="0.2">
      <c r="A276" t="s">
        <v>427</v>
      </c>
      <c r="B276" t="s">
        <v>428</v>
      </c>
      <c r="C276" t="s">
        <v>272</v>
      </c>
      <c r="D276" t="s">
        <v>32</v>
      </c>
      <c r="E276" t="s">
        <v>273</v>
      </c>
      <c r="F276">
        <v>10059</v>
      </c>
      <c r="G276">
        <v>0</v>
      </c>
      <c r="H276">
        <v>2342</v>
      </c>
      <c r="I276">
        <v>0</v>
      </c>
      <c r="J276">
        <v>0</v>
      </c>
      <c r="K276">
        <v>0</v>
      </c>
      <c r="L276">
        <v>5314</v>
      </c>
      <c r="M276">
        <v>0</v>
      </c>
      <c r="N276">
        <v>176</v>
      </c>
      <c r="O276">
        <v>0</v>
      </c>
      <c r="P276">
        <v>0</v>
      </c>
      <c r="Q276">
        <v>0</v>
      </c>
      <c r="R276">
        <v>590</v>
      </c>
      <c r="S276">
        <v>546</v>
      </c>
      <c r="T276">
        <v>3126</v>
      </c>
      <c r="U276">
        <v>0</v>
      </c>
      <c r="V276">
        <v>155</v>
      </c>
      <c r="W276">
        <v>1825</v>
      </c>
      <c r="X276">
        <f>NHS_AE_2024_2025[[#This Row],[A&amp;E attendances Type 1]]+
NHS_AE_2024_2025[[#This Row],[A&amp;E attendances Type 2]]+
NHS_AE_2024_2025[[#This Row],[A&amp;E attendances Other A&amp;E Department]]</f>
        <v>12401</v>
      </c>
      <c r="Y276">
        <f t="shared" si="8"/>
        <v>5490</v>
      </c>
      <c r="Z276">
        <f t="shared" si="9"/>
        <v>5106</v>
      </c>
    </row>
    <row r="277" spans="1:26" x14ac:dyDescent="0.2">
      <c r="A277" t="s">
        <v>427</v>
      </c>
      <c r="B277" t="s">
        <v>428</v>
      </c>
      <c r="C277" t="s">
        <v>106</v>
      </c>
      <c r="D277" t="s">
        <v>37</v>
      </c>
      <c r="E277" t="s">
        <v>107</v>
      </c>
      <c r="F277">
        <v>0</v>
      </c>
      <c r="G277">
        <v>0</v>
      </c>
      <c r="H277">
        <v>1843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f>NHS_AE_2024_2025[[#This Row],[A&amp;E attendances Type 1]]+
NHS_AE_2024_2025[[#This Row],[A&amp;E attendances Type 2]]+
NHS_AE_2024_2025[[#This Row],[A&amp;E attendances Other A&amp;E Department]]</f>
        <v>1843</v>
      </c>
      <c r="Y277">
        <f t="shared" si="8"/>
        <v>0</v>
      </c>
      <c r="Z277">
        <f t="shared" si="9"/>
        <v>0</v>
      </c>
    </row>
    <row r="278" spans="1:26" x14ac:dyDescent="0.2">
      <c r="A278" t="s">
        <v>427</v>
      </c>
      <c r="B278" t="s">
        <v>428</v>
      </c>
      <c r="C278" t="s">
        <v>34</v>
      </c>
      <c r="D278" t="s">
        <v>29</v>
      </c>
      <c r="E278" t="s">
        <v>35</v>
      </c>
      <c r="F278">
        <v>0</v>
      </c>
      <c r="G278">
        <v>0</v>
      </c>
      <c r="H278">
        <v>3826</v>
      </c>
      <c r="I278">
        <v>0</v>
      </c>
      <c r="J278">
        <v>0</v>
      </c>
      <c r="K278">
        <v>169</v>
      </c>
      <c r="L278">
        <v>0</v>
      </c>
      <c r="M278">
        <v>0</v>
      </c>
      <c r="N278">
        <v>8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f>NHS_AE_2024_2025[[#This Row],[A&amp;E attendances Type 1]]+
NHS_AE_2024_2025[[#This Row],[A&amp;E attendances Type 2]]+
NHS_AE_2024_2025[[#This Row],[A&amp;E attendances Other A&amp;E Department]]</f>
        <v>3826</v>
      </c>
      <c r="Y278">
        <f t="shared" si="8"/>
        <v>8</v>
      </c>
      <c r="Z278">
        <f t="shared" si="9"/>
        <v>0</v>
      </c>
    </row>
    <row r="279" spans="1:26" x14ac:dyDescent="0.2">
      <c r="A279" t="s">
        <v>427</v>
      </c>
      <c r="B279" t="s">
        <v>428</v>
      </c>
      <c r="C279" t="s">
        <v>360</v>
      </c>
      <c r="D279" t="s">
        <v>50</v>
      </c>
      <c r="E279" t="s">
        <v>361</v>
      </c>
      <c r="F279">
        <v>0</v>
      </c>
      <c r="G279">
        <v>0</v>
      </c>
      <c r="H279">
        <v>1911</v>
      </c>
      <c r="I279">
        <v>0</v>
      </c>
      <c r="J279">
        <v>0</v>
      </c>
      <c r="K279">
        <v>279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f>NHS_AE_2024_2025[[#This Row],[A&amp;E attendances Type 1]]+
NHS_AE_2024_2025[[#This Row],[A&amp;E attendances Type 2]]+
NHS_AE_2024_2025[[#This Row],[A&amp;E attendances Other A&amp;E Department]]</f>
        <v>1911</v>
      </c>
      <c r="Y279">
        <f t="shared" si="8"/>
        <v>0</v>
      </c>
      <c r="Z279">
        <f t="shared" si="9"/>
        <v>0</v>
      </c>
    </row>
    <row r="280" spans="1:26" x14ac:dyDescent="0.2">
      <c r="A280" t="s">
        <v>427</v>
      </c>
      <c r="B280" t="s">
        <v>428</v>
      </c>
      <c r="C280" t="s">
        <v>422</v>
      </c>
      <c r="D280" t="s">
        <v>26</v>
      </c>
      <c r="E280" t="s">
        <v>423</v>
      </c>
      <c r="F280">
        <v>0</v>
      </c>
      <c r="G280">
        <v>0</v>
      </c>
      <c r="H280">
        <v>8236</v>
      </c>
      <c r="I280">
        <v>0</v>
      </c>
      <c r="J280">
        <v>0</v>
      </c>
      <c r="K280">
        <v>306</v>
      </c>
      <c r="L280">
        <v>0</v>
      </c>
      <c r="M280">
        <v>0</v>
      </c>
      <c r="N280">
        <v>278</v>
      </c>
      <c r="O280">
        <v>0</v>
      </c>
      <c r="P280">
        <v>0</v>
      </c>
      <c r="Q280">
        <v>61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f>NHS_AE_2024_2025[[#This Row],[A&amp;E attendances Type 1]]+
NHS_AE_2024_2025[[#This Row],[A&amp;E attendances Type 2]]+
NHS_AE_2024_2025[[#This Row],[A&amp;E attendances Other A&amp;E Department]]</f>
        <v>8236</v>
      </c>
      <c r="Y280">
        <f t="shared" si="8"/>
        <v>278</v>
      </c>
      <c r="Z280">
        <f t="shared" si="9"/>
        <v>0</v>
      </c>
    </row>
    <row r="281" spans="1:26" x14ac:dyDescent="0.2">
      <c r="A281" t="s">
        <v>427</v>
      </c>
      <c r="B281" t="s">
        <v>428</v>
      </c>
      <c r="C281" t="s">
        <v>136</v>
      </c>
      <c r="D281" t="s">
        <v>32</v>
      </c>
      <c r="E281" t="s">
        <v>137</v>
      </c>
      <c r="F281">
        <v>0</v>
      </c>
      <c r="G281">
        <v>0</v>
      </c>
      <c r="H281">
        <v>5267</v>
      </c>
      <c r="I281">
        <v>0</v>
      </c>
      <c r="J281">
        <v>0</v>
      </c>
      <c r="K281">
        <v>540</v>
      </c>
      <c r="L281">
        <v>0</v>
      </c>
      <c r="M281">
        <v>0</v>
      </c>
      <c r="N281">
        <v>13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f>NHS_AE_2024_2025[[#This Row],[A&amp;E attendances Type 1]]+
NHS_AE_2024_2025[[#This Row],[A&amp;E attendances Type 2]]+
NHS_AE_2024_2025[[#This Row],[A&amp;E attendances Other A&amp;E Department]]</f>
        <v>5267</v>
      </c>
      <c r="Y281">
        <f t="shared" si="8"/>
        <v>13</v>
      </c>
      <c r="Z281">
        <f t="shared" si="9"/>
        <v>0</v>
      </c>
    </row>
    <row r="282" spans="1:26" x14ac:dyDescent="0.2">
      <c r="A282" t="s">
        <v>427</v>
      </c>
      <c r="B282" t="s">
        <v>428</v>
      </c>
      <c r="C282" t="s">
        <v>138</v>
      </c>
      <c r="D282" t="s">
        <v>32</v>
      </c>
      <c r="E282" t="s">
        <v>139</v>
      </c>
      <c r="F282">
        <v>0</v>
      </c>
      <c r="G282">
        <v>0</v>
      </c>
      <c r="H282">
        <v>158</v>
      </c>
      <c r="I282">
        <v>0</v>
      </c>
      <c r="J282">
        <v>0</v>
      </c>
      <c r="K282">
        <v>2036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f>NHS_AE_2024_2025[[#This Row],[A&amp;E attendances Type 1]]+
NHS_AE_2024_2025[[#This Row],[A&amp;E attendances Type 2]]+
NHS_AE_2024_2025[[#This Row],[A&amp;E attendances Other A&amp;E Department]]</f>
        <v>158</v>
      </c>
      <c r="Y282">
        <f t="shared" si="8"/>
        <v>0</v>
      </c>
      <c r="Z282">
        <f t="shared" si="9"/>
        <v>0</v>
      </c>
    </row>
    <row r="283" spans="1:26" x14ac:dyDescent="0.2">
      <c r="A283" t="s">
        <v>427</v>
      </c>
      <c r="B283" t="s">
        <v>428</v>
      </c>
      <c r="C283" t="s">
        <v>140</v>
      </c>
      <c r="D283" t="s">
        <v>32</v>
      </c>
      <c r="E283" t="s">
        <v>141</v>
      </c>
      <c r="F283">
        <v>0</v>
      </c>
      <c r="G283">
        <v>0</v>
      </c>
      <c r="H283">
        <v>84</v>
      </c>
      <c r="I283">
        <v>0</v>
      </c>
      <c r="J283">
        <v>0</v>
      </c>
      <c r="K283">
        <v>414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f>NHS_AE_2024_2025[[#This Row],[A&amp;E attendances Type 1]]+
NHS_AE_2024_2025[[#This Row],[A&amp;E attendances Type 2]]+
NHS_AE_2024_2025[[#This Row],[A&amp;E attendances Other A&amp;E Department]]</f>
        <v>84</v>
      </c>
      <c r="Y283">
        <f t="shared" si="8"/>
        <v>0</v>
      </c>
      <c r="Z283">
        <f t="shared" si="9"/>
        <v>0</v>
      </c>
    </row>
    <row r="284" spans="1:26" x14ac:dyDescent="0.2">
      <c r="A284" t="s">
        <v>427</v>
      </c>
      <c r="B284" t="s">
        <v>428</v>
      </c>
      <c r="C284" t="s">
        <v>142</v>
      </c>
      <c r="D284" t="s">
        <v>32</v>
      </c>
      <c r="E284" t="s">
        <v>143</v>
      </c>
      <c r="F284">
        <v>0</v>
      </c>
      <c r="G284">
        <v>0</v>
      </c>
      <c r="H284">
        <v>75</v>
      </c>
      <c r="I284">
        <v>0</v>
      </c>
      <c r="J284">
        <v>0</v>
      </c>
      <c r="K284">
        <v>374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f>NHS_AE_2024_2025[[#This Row],[A&amp;E attendances Type 1]]+
NHS_AE_2024_2025[[#This Row],[A&amp;E attendances Type 2]]+
NHS_AE_2024_2025[[#This Row],[A&amp;E attendances Other A&amp;E Department]]</f>
        <v>75</v>
      </c>
      <c r="Y284">
        <f t="shared" si="8"/>
        <v>0</v>
      </c>
      <c r="Z284">
        <f t="shared" si="9"/>
        <v>0</v>
      </c>
    </row>
    <row r="285" spans="1:26" x14ac:dyDescent="0.2">
      <c r="A285" t="s">
        <v>427</v>
      </c>
      <c r="B285" t="s">
        <v>428</v>
      </c>
      <c r="C285" t="s">
        <v>414</v>
      </c>
      <c r="D285" t="s">
        <v>32</v>
      </c>
      <c r="E285" t="s">
        <v>415</v>
      </c>
      <c r="F285">
        <v>0</v>
      </c>
      <c r="G285">
        <v>0</v>
      </c>
      <c r="H285">
        <v>555</v>
      </c>
      <c r="I285">
        <v>0</v>
      </c>
      <c r="J285">
        <v>0</v>
      </c>
      <c r="K285">
        <v>2220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f>NHS_AE_2024_2025[[#This Row],[A&amp;E attendances Type 1]]+
NHS_AE_2024_2025[[#This Row],[A&amp;E attendances Type 2]]+
NHS_AE_2024_2025[[#This Row],[A&amp;E attendances Other A&amp;E Department]]</f>
        <v>555</v>
      </c>
      <c r="Y285">
        <f t="shared" si="8"/>
        <v>1</v>
      </c>
      <c r="Z285">
        <f t="shared" si="9"/>
        <v>0</v>
      </c>
    </row>
    <row r="286" spans="1:26" x14ac:dyDescent="0.2">
      <c r="A286" t="s">
        <v>427</v>
      </c>
      <c r="B286" t="s">
        <v>428</v>
      </c>
      <c r="C286" t="s">
        <v>144</v>
      </c>
      <c r="D286" t="s">
        <v>32</v>
      </c>
      <c r="E286" t="s">
        <v>145</v>
      </c>
      <c r="F286">
        <v>0</v>
      </c>
      <c r="G286">
        <v>0</v>
      </c>
      <c r="H286">
        <v>98</v>
      </c>
      <c r="I286">
        <v>0</v>
      </c>
      <c r="J286">
        <v>0</v>
      </c>
      <c r="K286">
        <v>337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f>NHS_AE_2024_2025[[#This Row],[A&amp;E attendances Type 1]]+
NHS_AE_2024_2025[[#This Row],[A&amp;E attendances Type 2]]+
NHS_AE_2024_2025[[#This Row],[A&amp;E attendances Other A&amp;E Department]]</f>
        <v>98</v>
      </c>
      <c r="Y286">
        <f t="shared" si="8"/>
        <v>0</v>
      </c>
      <c r="Z286">
        <f t="shared" si="9"/>
        <v>0</v>
      </c>
    </row>
    <row r="287" spans="1:26" x14ac:dyDescent="0.2">
      <c r="A287" t="s">
        <v>427</v>
      </c>
      <c r="B287" t="s">
        <v>428</v>
      </c>
      <c r="C287" t="s">
        <v>76</v>
      </c>
      <c r="D287" t="s">
        <v>37</v>
      </c>
      <c r="E287" t="s">
        <v>77</v>
      </c>
      <c r="F287">
        <v>0</v>
      </c>
      <c r="G287">
        <v>0</v>
      </c>
      <c r="H287">
        <v>5199</v>
      </c>
      <c r="I287">
        <v>0</v>
      </c>
      <c r="J287">
        <v>0</v>
      </c>
      <c r="K287">
        <v>273</v>
      </c>
      <c r="L287">
        <v>0</v>
      </c>
      <c r="M287">
        <v>0</v>
      </c>
      <c r="N287">
        <v>15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f>NHS_AE_2024_2025[[#This Row],[A&amp;E attendances Type 1]]+
NHS_AE_2024_2025[[#This Row],[A&amp;E attendances Type 2]]+
NHS_AE_2024_2025[[#This Row],[A&amp;E attendances Other A&amp;E Department]]</f>
        <v>5199</v>
      </c>
      <c r="Y287">
        <f t="shared" si="8"/>
        <v>15</v>
      </c>
      <c r="Z287">
        <f t="shared" si="9"/>
        <v>0</v>
      </c>
    </row>
    <row r="288" spans="1:26" x14ac:dyDescent="0.2">
      <c r="A288" t="s">
        <v>427</v>
      </c>
      <c r="B288" t="s">
        <v>428</v>
      </c>
      <c r="C288" t="s">
        <v>394</v>
      </c>
      <c r="D288" t="s">
        <v>55</v>
      </c>
      <c r="E288" t="s">
        <v>395</v>
      </c>
      <c r="F288">
        <v>21610</v>
      </c>
      <c r="G288">
        <v>2878</v>
      </c>
      <c r="H288">
        <v>10782</v>
      </c>
      <c r="I288">
        <v>3238</v>
      </c>
      <c r="J288">
        <v>507</v>
      </c>
      <c r="K288">
        <v>1028</v>
      </c>
      <c r="L288">
        <v>8773</v>
      </c>
      <c r="M288">
        <v>54</v>
      </c>
      <c r="N288">
        <v>486</v>
      </c>
      <c r="O288">
        <v>1126</v>
      </c>
      <c r="P288">
        <v>5</v>
      </c>
      <c r="Q288">
        <v>78</v>
      </c>
      <c r="R288">
        <v>3009</v>
      </c>
      <c r="S288">
        <v>171</v>
      </c>
      <c r="T288">
        <v>5500</v>
      </c>
      <c r="U288">
        <v>166</v>
      </c>
      <c r="V288">
        <v>192</v>
      </c>
      <c r="W288">
        <v>407</v>
      </c>
      <c r="X288">
        <f>NHS_AE_2024_2025[[#This Row],[A&amp;E attendances Type 1]]+
NHS_AE_2024_2025[[#This Row],[A&amp;E attendances Type 2]]+
NHS_AE_2024_2025[[#This Row],[A&amp;E attendances Other A&amp;E Department]]</f>
        <v>35270</v>
      </c>
      <c r="Y288">
        <f t="shared" si="8"/>
        <v>9313</v>
      </c>
      <c r="Z288">
        <f t="shared" si="9"/>
        <v>6265</v>
      </c>
    </row>
    <row r="289" spans="1:26" x14ac:dyDescent="0.2">
      <c r="A289" t="s">
        <v>427</v>
      </c>
      <c r="B289" t="s">
        <v>428</v>
      </c>
      <c r="C289" t="s">
        <v>288</v>
      </c>
      <c r="D289" t="s">
        <v>29</v>
      </c>
      <c r="E289" t="s">
        <v>289</v>
      </c>
      <c r="F289">
        <v>12312</v>
      </c>
      <c r="G289">
        <v>0</v>
      </c>
      <c r="H289">
        <v>13540</v>
      </c>
      <c r="I289">
        <v>0</v>
      </c>
      <c r="J289">
        <v>0</v>
      </c>
      <c r="K289">
        <v>0</v>
      </c>
      <c r="L289">
        <v>5394</v>
      </c>
      <c r="M289">
        <v>0</v>
      </c>
      <c r="N289">
        <v>69</v>
      </c>
      <c r="O289">
        <v>0</v>
      </c>
      <c r="P289">
        <v>0</v>
      </c>
      <c r="Q289">
        <v>0</v>
      </c>
      <c r="R289">
        <v>613</v>
      </c>
      <c r="S289">
        <v>315</v>
      </c>
      <c r="T289">
        <v>6468</v>
      </c>
      <c r="U289">
        <v>0</v>
      </c>
      <c r="V289">
        <v>0</v>
      </c>
      <c r="W289">
        <v>413</v>
      </c>
      <c r="X289">
        <f>NHS_AE_2024_2025[[#This Row],[A&amp;E attendances Type 1]]+
NHS_AE_2024_2025[[#This Row],[A&amp;E attendances Type 2]]+
NHS_AE_2024_2025[[#This Row],[A&amp;E attendances Other A&amp;E Department]]</f>
        <v>25852</v>
      </c>
      <c r="Y289">
        <f t="shared" si="8"/>
        <v>5463</v>
      </c>
      <c r="Z289">
        <f t="shared" si="9"/>
        <v>6881</v>
      </c>
    </row>
    <row r="290" spans="1:26" x14ac:dyDescent="0.2">
      <c r="A290" t="s">
        <v>427</v>
      </c>
      <c r="B290" t="s">
        <v>428</v>
      </c>
      <c r="C290" t="s">
        <v>236</v>
      </c>
      <c r="D290" t="s">
        <v>32</v>
      </c>
      <c r="E290" t="s">
        <v>237</v>
      </c>
      <c r="F290">
        <v>8140</v>
      </c>
      <c r="G290">
        <v>0</v>
      </c>
      <c r="H290">
        <v>3856</v>
      </c>
      <c r="I290">
        <v>9</v>
      </c>
      <c r="J290">
        <v>0</v>
      </c>
      <c r="K290">
        <v>148</v>
      </c>
      <c r="L290">
        <v>2010</v>
      </c>
      <c r="M290">
        <v>0</v>
      </c>
      <c r="N290">
        <v>51</v>
      </c>
      <c r="O290">
        <v>1</v>
      </c>
      <c r="P290">
        <v>0</v>
      </c>
      <c r="Q290">
        <v>0</v>
      </c>
      <c r="R290">
        <v>494</v>
      </c>
      <c r="S290">
        <v>28</v>
      </c>
      <c r="T290">
        <v>3467</v>
      </c>
      <c r="U290">
        <v>0</v>
      </c>
      <c r="V290">
        <v>0</v>
      </c>
      <c r="W290">
        <v>641</v>
      </c>
      <c r="X290">
        <f>NHS_AE_2024_2025[[#This Row],[A&amp;E attendances Type 1]]+
NHS_AE_2024_2025[[#This Row],[A&amp;E attendances Type 2]]+
NHS_AE_2024_2025[[#This Row],[A&amp;E attendances Other A&amp;E Department]]</f>
        <v>11996</v>
      </c>
      <c r="Y290">
        <f t="shared" si="8"/>
        <v>2061</v>
      </c>
      <c r="Z290">
        <f t="shared" si="9"/>
        <v>4108</v>
      </c>
    </row>
    <row r="291" spans="1:26" x14ac:dyDescent="0.2">
      <c r="A291" t="s">
        <v>427</v>
      </c>
      <c r="B291" t="s">
        <v>428</v>
      </c>
      <c r="C291" t="s">
        <v>402</v>
      </c>
      <c r="D291" t="s">
        <v>70</v>
      </c>
      <c r="E291" t="s">
        <v>403</v>
      </c>
      <c r="F291">
        <v>6630</v>
      </c>
      <c r="G291">
        <v>0</v>
      </c>
      <c r="H291">
        <v>1196</v>
      </c>
      <c r="I291">
        <v>0</v>
      </c>
      <c r="J291">
        <v>0</v>
      </c>
      <c r="K291">
        <v>0</v>
      </c>
      <c r="L291">
        <v>2298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207</v>
      </c>
      <c r="S291">
        <v>63</v>
      </c>
      <c r="T291">
        <v>1959</v>
      </c>
      <c r="U291">
        <v>0</v>
      </c>
      <c r="V291">
        <v>0</v>
      </c>
      <c r="W291">
        <v>244</v>
      </c>
      <c r="X291">
        <f>NHS_AE_2024_2025[[#This Row],[A&amp;E attendances Type 1]]+
NHS_AE_2024_2025[[#This Row],[A&amp;E attendances Type 2]]+
NHS_AE_2024_2025[[#This Row],[A&amp;E attendances Other A&amp;E Department]]</f>
        <v>7826</v>
      </c>
      <c r="Y291">
        <f t="shared" si="8"/>
        <v>2298</v>
      </c>
      <c r="Z291">
        <f t="shared" si="9"/>
        <v>2203</v>
      </c>
    </row>
    <row r="292" spans="1:26" x14ac:dyDescent="0.2">
      <c r="A292" t="s">
        <v>427</v>
      </c>
      <c r="B292" t="s">
        <v>428</v>
      </c>
      <c r="C292" t="s">
        <v>366</v>
      </c>
      <c r="D292" t="s">
        <v>29</v>
      </c>
      <c r="E292" t="s">
        <v>367</v>
      </c>
      <c r="F292">
        <v>11649</v>
      </c>
      <c r="G292">
        <v>2203</v>
      </c>
      <c r="H292">
        <v>11348</v>
      </c>
      <c r="I292">
        <v>0</v>
      </c>
      <c r="J292">
        <v>0</v>
      </c>
      <c r="K292">
        <v>0</v>
      </c>
      <c r="L292">
        <v>4999</v>
      </c>
      <c r="M292">
        <v>249</v>
      </c>
      <c r="N292">
        <v>69</v>
      </c>
      <c r="O292">
        <v>0</v>
      </c>
      <c r="P292">
        <v>0</v>
      </c>
      <c r="Q292">
        <v>0</v>
      </c>
      <c r="R292">
        <v>620</v>
      </c>
      <c r="S292">
        <v>630</v>
      </c>
      <c r="T292">
        <v>7338</v>
      </c>
      <c r="U292">
        <v>0</v>
      </c>
      <c r="V292">
        <v>0</v>
      </c>
      <c r="W292">
        <v>374</v>
      </c>
      <c r="X292">
        <f>NHS_AE_2024_2025[[#This Row],[A&amp;E attendances Type 1]]+
NHS_AE_2024_2025[[#This Row],[A&amp;E attendances Type 2]]+
NHS_AE_2024_2025[[#This Row],[A&amp;E attendances Other A&amp;E Department]]</f>
        <v>25200</v>
      </c>
      <c r="Y292">
        <f t="shared" si="8"/>
        <v>5317</v>
      </c>
      <c r="Z292">
        <f t="shared" si="9"/>
        <v>7712</v>
      </c>
    </row>
    <row r="293" spans="1:26" x14ac:dyDescent="0.2">
      <c r="A293" t="s">
        <v>427</v>
      </c>
      <c r="B293" t="s">
        <v>428</v>
      </c>
      <c r="C293" t="s">
        <v>390</v>
      </c>
      <c r="D293" t="s">
        <v>26</v>
      </c>
      <c r="E293" t="s">
        <v>391</v>
      </c>
      <c r="F293">
        <v>5235</v>
      </c>
      <c r="G293">
        <v>0</v>
      </c>
      <c r="H293">
        <v>5541</v>
      </c>
      <c r="I293">
        <v>0</v>
      </c>
      <c r="J293">
        <v>0</v>
      </c>
      <c r="K293">
        <v>4</v>
      </c>
      <c r="L293">
        <v>2055</v>
      </c>
      <c r="M293">
        <v>0</v>
      </c>
      <c r="N293">
        <v>157</v>
      </c>
      <c r="O293">
        <v>0</v>
      </c>
      <c r="P293">
        <v>0</v>
      </c>
      <c r="Q293">
        <v>0</v>
      </c>
      <c r="R293">
        <v>602</v>
      </c>
      <c r="S293">
        <v>0</v>
      </c>
      <c r="T293">
        <v>2433</v>
      </c>
      <c r="U293">
        <v>0</v>
      </c>
      <c r="V293">
        <v>0</v>
      </c>
      <c r="W293">
        <v>1248</v>
      </c>
      <c r="X293">
        <f>NHS_AE_2024_2025[[#This Row],[A&amp;E attendances Type 1]]+
NHS_AE_2024_2025[[#This Row],[A&amp;E attendances Type 2]]+
NHS_AE_2024_2025[[#This Row],[A&amp;E attendances Other A&amp;E Department]]</f>
        <v>10776</v>
      </c>
      <c r="Y293">
        <f t="shared" si="8"/>
        <v>2212</v>
      </c>
      <c r="Z293">
        <f t="shared" si="9"/>
        <v>3681</v>
      </c>
    </row>
    <row r="294" spans="1:26" x14ac:dyDescent="0.2">
      <c r="A294" t="s">
        <v>427</v>
      </c>
      <c r="B294" t="s">
        <v>428</v>
      </c>
      <c r="C294" t="s">
        <v>330</v>
      </c>
      <c r="D294" t="s">
        <v>50</v>
      </c>
      <c r="E294" t="s">
        <v>331</v>
      </c>
      <c r="F294">
        <v>16116</v>
      </c>
      <c r="G294">
        <v>686</v>
      </c>
      <c r="H294">
        <v>10138</v>
      </c>
      <c r="I294">
        <v>61</v>
      </c>
      <c r="J294">
        <v>0</v>
      </c>
      <c r="K294">
        <v>35</v>
      </c>
      <c r="L294">
        <v>5972</v>
      </c>
      <c r="M294">
        <v>0</v>
      </c>
      <c r="N294">
        <v>32</v>
      </c>
      <c r="O294">
        <v>13</v>
      </c>
      <c r="P294">
        <v>0</v>
      </c>
      <c r="Q294">
        <v>0</v>
      </c>
      <c r="R294">
        <v>1581</v>
      </c>
      <c r="S294">
        <v>67</v>
      </c>
      <c r="T294">
        <v>3607</v>
      </c>
      <c r="U294">
        <v>0</v>
      </c>
      <c r="V294">
        <v>0</v>
      </c>
      <c r="W294">
        <v>1142</v>
      </c>
      <c r="X294">
        <f>NHS_AE_2024_2025[[#This Row],[A&amp;E attendances Type 1]]+
NHS_AE_2024_2025[[#This Row],[A&amp;E attendances Type 2]]+
NHS_AE_2024_2025[[#This Row],[A&amp;E attendances Other A&amp;E Department]]</f>
        <v>26940</v>
      </c>
      <c r="Y294">
        <f t="shared" si="8"/>
        <v>6004</v>
      </c>
      <c r="Z294">
        <f t="shared" si="9"/>
        <v>4749</v>
      </c>
    </row>
    <row r="295" spans="1:26" x14ac:dyDescent="0.2">
      <c r="A295" t="s">
        <v>427</v>
      </c>
      <c r="B295" t="s">
        <v>428</v>
      </c>
      <c r="C295" t="s">
        <v>332</v>
      </c>
      <c r="D295" t="s">
        <v>55</v>
      </c>
      <c r="E295" t="s">
        <v>333</v>
      </c>
      <c r="F295">
        <v>6825</v>
      </c>
      <c r="G295">
        <v>0</v>
      </c>
      <c r="H295">
        <v>4797</v>
      </c>
      <c r="I295">
        <v>0</v>
      </c>
      <c r="J295">
        <v>0</v>
      </c>
      <c r="K295">
        <v>0</v>
      </c>
      <c r="L295">
        <v>3138</v>
      </c>
      <c r="M295">
        <v>0</v>
      </c>
      <c r="N295">
        <v>14</v>
      </c>
      <c r="O295">
        <v>0</v>
      </c>
      <c r="P295">
        <v>0</v>
      </c>
      <c r="Q295">
        <v>0</v>
      </c>
      <c r="R295">
        <v>1217</v>
      </c>
      <c r="S295">
        <v>206</v>
      </c>
      <c r="T295">
        <v>2387</v>
      </c>
      <c r="U295">
        <v>0</v>
      </c>
      <c r="V295">
        <v>0</v>
      </c>
      <c r="W295">
        <v>679</v>
      </c>
      <c r="X295">
        <f>NHS_AE_2024_2025[[#This Row],[A&amp;E attendances Type 1]]+
NHS_AE_2024_2025[[#This Row],[A&amp;E attendances Type 2]]+
NHS_AE_2024_2025[[#This Row],[A&amp;E attendances Other A&amp;E Department]]</f>
        <v>11622</v>
      </c>
      <c r="Y295">
        <f t="shared" si="8"/>
        <v>3152</v>
      </c>
      <c r="Z295">
        <f t="shared" si="9"/>
        <v>3066</v>
      </c>
    </row>
    <row r="296" spans="1:26" x14ac:dyDescent="0.2">
      <c r="A296" t="s">
        <v>427</v>
      </c>
      <c r="B296" t="s">
        <v>428</v>
      </c>
      <c r="C296" t="s">
        <v>206</v>
      </c>
      <c r="D296" t="s">
        <v>32</v>
      </c>
      <c r="E296" t="s">
        <v>207</v>
      </c>
      <c r="F296">
        <v>31490</v>
      </c>
      <c r="G296">
        <v>363</v>
      </c>
      <c r="H296">
        <v>1511</v>
      </c>
      <c r="I296">
        <v>31</v>
      </c>
      <c r="J296">
        <v>0</v>
      </c>
      <c r="K296">
        <v>252</v>
      </c>
      <c r="L296">
        <v>12017</v>
      </c>
      <c r="M296">
        <v>0</v>
      </c>
      <c r="N296">
        <v>34</v>
      </c>
      <c r="O296">
        <v>19</v>
      </c>
      <c r="P296">
        <v>0</v>
      </c>
      <c r="Q296">
        <v>1</v>
      </c>
      <c r="R296">
        <v>2750</v>
      </c>
      <c r="S296">
        <v>1600</v>
      </c>
      <c r="T296">
        <v>11641</v>
      </c>
      <c r="U296">
        <v>0</v>
      </c>
      <c r="V296">
        <v>0</v>
      </c>
      <c r="W296">
        <v>5192</v>
      </c>
      <c r="X296">
        <f>NHS_AE_2024_2025[[#This Row],[A&amp;E attendances Type 1]]+
NHS_AE_2024_2025[[#This Row],[A&amp;E attendances Type 2]]+
NHS_AE_2024_2025[[#This Row],[A&amp;E attendances Other A&amp;E Department]]</f>
        <v>33364</v>
      </c>
      <c r="Y296">
        <f t="shared" si="8"/>
        <v>12051</v>
      </c>
      <c r="Z296">
        <f t="shared" si="9"/>
        <v>16833</v>
      </c>
    </row>
    <row r="297" spans="1:26" x14ac:dyDescent="0.2">
      <c r="A297" t="s">
        <v>427</v>
      </c>
      <c r="B297" t="s">
        <v>428</v>
      </c>
      <c r="C297" t="s">
        <v>208</v>
      </c>
      <c r="D297" t="s">
        <v>32</v>
      </c>
      <c r="E297" t="s">
        <v>209</v>
      </c>
      <c r="F297">
        <v>19069</v>
      </c>
      <c r="G297">
        <v>0</v>
      </c>
      <c r="H297">
        <v>8871</v>
      </c>
      <c r="I297">
        <v>388</v>
      </c>
      <c r="J297">
        <v>0</v>
      </c>
      <c r="K297">
        <v>32</v>
      </c>
      <c r="L297">
        <v>7987</v>
      </c>
      <c r="M297">
        <v>0</v>
      </c>
      <c r="N297">
        <v>0</v>
      </c>
      <c r="O297">
        <v>124</v>
      </c>
      <c r="P297">
        <v>0</v>
      </c>
      <c r="Q297">
        <v>0</v>
      </c>
      <c r="R297">
        <v>828</v>
      </c>
      <c r="S297">
        <v>639</v>
      </c>
      <c r="T297">
        <v>4062</v>
      </c>
      <c r="U297">
        <v>0</v>
      </c>
      <c r="V297">
        <v>1</v>
      </c>
      <c r="W297">
        <v>2481</v>
      </c>
      <c r="X297">
        <f>NHS_AE_2024_2025[[#This Row],[A&amp;E attendances Type 1]]+
NHS_AE_2024_2025[[#This Row],[A&amp;E attendances Type 2]]+
NHS_AE_2024_2025[[#This Row],[A&amp;E attendances Other A&amp;E Department]]</f>
        <v>27940</v>
      </c>
      <c r="Y297">
        <f t="shared" si="8"/>
        <v>7987</v>
      </c>
      <c r="Z297">
        <f t="shared" si="9"/>
        <v>6544</v>
      </c>
    </row>
    <row r="298" spans="1:26" x14ac:dyDescent="0.2">
      <c r="A298" t="s">
        <v>427</v>
      </c>
      <c r="B298" t="s">
        <v>428</v>
      </c>
      <c r="C298" t="s">
        <v>376</v>
      </c>
      <c r="D298" t="s">
        <v>55</v>
      </c>
      <c r="E298" t="s">
        <v>377</v>
      </c>
      <c r="F298">
        <v>8644</v>
      </c>
      <c r="G298">
        <v>0</v>
      </c>
      <c r="H298">
        <v>3291</v>
      </c>
      <c r="I298">
        <v>164</v>
      </c>
      <c r="J298">
        <v>0</v>
      </c>
      <c r="K298">
        <v>726</v>
      </c>
      <c r="L298">
        <v>2490</v>
      </c>
      <c r="M298">
        <v>0</v>
      </c>
      <c r="N298">
        <v>58</v>
      </c>
      <c r="O298">
        <v>17</v>
      </c>
      <c r="P298">
        <v>0</v>
      </c>
      <c r="Q298">
        <v>75</v>
      </c>
      <c r="R298">
        <v>554</v>
      </c>
      <c r="S298">
        <v>256</v>
      </c>
      <c r="T298">
        <v>3028</v>
      </c>
      <c r="U298">
        <v>0</v>
      </c>
      <c r="V298">
        <v>24</v>
      </c>
      <c r="W298">
        <v>874</v>
      </c>
      <c r="X298">
        <f>NHS_AE_2024_2025[[#This Row],[A&amp;E attendances Type 1]]+
NHS_AE_2024_2025[[#This Row],[A&amp;E attendances Type 2]]+
NHS_AE_2024_2025[[#This Row],[A&amp;E attendances Other A&amp;E Department]]</f>
        <v>11935</v>
      </c>
      <c r="Y298">
        <f t="shared" si="8"/>
        <v>2548</v>
      </c>
      <c r="Z298">
        <f t="shared" si="9"/>
        <v>3926</v>
      </c>
    </row>
    <row r="299" spans="1:26" x14ac:dyDescent="0.2">
      <c r="A299" t="s">
        <v>427</v>
      </c>
      <c r="B299" t="s">
        <v>428</v>
      </c>
      <c r="C299" t="s">
        <v>210</v>
      </c>
      <c r="D299" t="s">
        <v>26</v>
      </c>
      <c r="E299" t="s">
        <v>211</v>
      </c>
      <c r="F299">
        <v>8834</v>
      </c>
      <c r="G299">
        <v>0</v>
      </c>
      <c r="H299">
        <v>0</v>
      </c>
      <c r="I299">
        <v>11</v>
      </c>
      <c r="J299">
        <v>0</v>
      </c>
      <c r="K299">
        <v>0</v>
      </c>
      <c r="L299">
        <v>3410</v>
      </c>
      <c r="M299">
        <v>0</v>
      </c>
      <c r="N299">
        <v>0</v>
      </c>
      <c r="O299">
        <v>4</v>
      </c>
      <c r="P299">
        <v>0</v>
      </c>
      <c r="Q299">
        <v>0</v>
      </c>
      <c r="R299">
        <v>662</v>
      </c>
      <c r="S299">
        <v>83</v>
      </c>
      <c r="T299">
        <v>2664</v>
      </c>
      <c r="U299">
        <v>0</v>
      </c>
      <c r="V299">
        <v>0</v>
      </c>
      <c r="W299">
        <v>1798</v>
      </c>
      <c r="X299">
        <f>NHS_AE_2024_2025[[#This Row],[A&amp;E attendances Type 1]]+
NHS_AE_2024_2025[[#This Row],[A&amp;E attendances Type 2]]+
NHS_AE_2024_2025[[#This Row],[A&amp;E attendances Other A&amp;E Department]]</f>
        <v>8834</v>
      </c>
      <c r="Y299">
        <f t="shared" si="8"/>
        <v>3410</v>
      </c>
      <c r="Z299">
        <f t="shared" si="9"/>
        <v>4462</v>
      </c>
    </row>
    <row r="300" spans="1:26" x14ac:dyDescent="0.2">
      <c r="A300" t="s">
        <v>427</v>
      </c>
      <c r="B300" t="s">
        <v>428</v>
      </c>
      <c r="C300" t="s">
        <v>116</v>
      </c>
      <c r="D300" t="s">
        <v>55</v>
      </c>
      <c r="E300" t="s">
        <v>117</v>
      </c>
      <c r="F300">
        <v>0</v>
      </c>
      <c r="G300">
        <v>0</v>
      </c>
      <c r="H300">
        <v>11716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107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64</v>
      </c>
      <c r="X300">
        <f>NHS_AE_2024_2025[[#This Row],[A&amp;E attendances Type 1]]+
NHS_AE_2024_2025[[#This Row],[A&amp;E attendances Type 2]]+
NHS_AE_2024_2025[[#This Row],[A&amp;E attendances Other A&amp;E Department]]</f>
        <v>11716</v>
      </c>
      <c r="Y300">
        <f t="shared" si="8"/>
        <v>107</v>
      </c>
      <c r="Z300">
        <f t="shared" si="9"/>
        <v>64</v>
      </c>
    </row>
    <row r="301" spans="1:26" x14ac:dyDescent="0.2">
      <c r="A301" t="s">
        <v>427</v>
      </c>
      <c r="B301" t="s">
        <v>428</v>
      </c>
      <c r="C301" t="s">
        <v>348</v>
      </c>
      <c r="D301" t="s">
        <v>55</v>
      </c>
      <c r="E301" t="s">
        <v>349</v>
      </c>
      <c r="F301">
        <v>7521</v>
      </c>
      <c r="G301">
        <v>0</v>
      </c>
      <c r="H301">
        <v>902</v>
      </c>
      <c r="I301">
        <v>207</v>
      </c>
      <c r="J301">
        <v>0</v>
      </c>
      <c r="K301">
        <v>43</v>
      </c>
      <c r="L301">
        <v>2914</v>
      </c>
      <c r="M301">
        <v>0</v>
      </c>
      <c r="N301">
        <v>8</v>
      </c>
      <c r="O301">
        <v>77</v>
      </c>
      <c r="P301">
        <v>0</v>
      </c>
      <c r="Q301">
        <v>0</v>
      </c>
      <c r="R301">
        <v>636</v>
      </c>
      <c r="S301">
        <v>90</v>
      </c>
      <c r="T301">
        <v>2567</v>
      </c>
      <c r="U301">
        <v>0</v>
      </c>
      <c r="V301">
        <v>84</v>
      </c>
      <c r="W301">
        <v>782</v>
      </c>
      <c r="X301">
        <f>NHS_AE_2024_2025[[#This Row],[A&amp;E attendances Type 1]]+
NHS_AE_2024_2025[[#This Row],[A&amp;E attendances Type 2]]+
NHS_AE_2024_2025[[#This Row],[A&amp;E attendances Other A&amp;E Department]]</f>
        <v>8423</v>
      </c>
      <c r="Y301">
        <f t="shared" si="8"/>
        <v>2922</v>
      </c>
      <c r="Z301">
        <f t="shared" si="9"/>
        <v>3433</v>
      </c>
    </row>
    <row r="302" spans="1:26" x14ac:dyDescent="0.2">
      <c r="A302" t="s">
        <v>427</v>
      </c>
      <c r="B302" t="s">
        <v>428</v>
      </c>
      <c r="C302" t="s">
        <v>350</v>
      </c>
      <c r="D302" t="s">
        <v>55</v>
      </c>
      <c r="E302" t="s">
        <v>351</v>
      </c>
      <c r="F302">
        <v>6457</v>
      </c>
      <c r="G302">
        <v>0</v>
      </c>
      <c r="H302">
        <v>2811</v>
      </c>
      <c r="I302">
        <v>218</v>
      </c>
      <c r="J302">
        <v>0</v>
      </c>
      <c r="K302">
        <v>139</v>
      </c>
      <c r="L302">
        <v>3266</v>
      </c>
      <c r="M302">
        <v>0</v>
      </c>
      <c r="N302">
        <v>43</v>
      </c>
      <c r="O302">
        <v>75</v>
      </c>
      <c r="P302">
        <v>0</v>
      </c>
      <c r="Q302">
        <v>1</v>
      </c>
      <c r="R302">
        <v>833</v>
      </c>
      <c r="S302">
        <v>569</v>
      </c>
      <c r="T302">
        <v>1717</v>
      </c>
      <c r="U302">
        <v>0</v>
      </c>
      <c r="V302">
        <v>0</v>
      </c>
      <c r="W302">
        <v>123</v>
      </c>
      <c r="X302">
        <f>NHS_AE_2024_2025[[#This Row],[A&amp;E attendances Type 1]]+
NHS_AE_2024_2025[[#This Row],[A&amp;E attendances Type 2]]+
NHS_AE_2024_2025[[#This Row],[A&amp;E attendances Other A&amp;E Department]]</f>
        <v>9268</v>
      </c>
      <c r="Y302">
        <f t="shared" si="8"/>
        <v>3309</v>
      </c>
      <c r="Z302">
        <f t="shared" si="9"/>
        <v>1840</v>
      </c>
    </row>
    <row r="303" spans="1:26" x14ac:dyDescent="0.2">
      <c r="A303" t="s">
        <v>427</v>
      </c>
      <c r="B303" t="s">
        <v>428</v>
      </c>
      <c r="C303" t="s">
        <v>352</v>
      </c>
      <c r="D303" t="s">
        <v>50</v>
      </c>
      <c r="E303" t="s">
        <v>353</v>
      </c>
      <c r="F303">
        <v>15391</v>
      </c>
      <c r="G303">
        <v>151</v>
      </c>
      <c r="H303">
        <v>5579</v>
      </c>
      <c r="I303">
        <v>124</v>
      </c>
      <c r="J303">
        <v>0</v>
      </c>
      <c r="K303">
        <v>76</v>
      </c>
      <c r="L303">
        <v>5982</v>
      </c>
      <c r="M303">
        <v>0</v>
      </c>
      <c r="N303">
        <v>163</v>
      </c>
      <c r="O303">
        <v>4</v>
      </c>
      <c r="P303">
        <v>0</v>
      </c>
      <c r="Q303">
        <v>0</v>
      </c>
      <c r="R303">
        <v>2271</v>
      </c>
      <c r="S303">
        <v>118</v>
      </c>
      <c r="T303">
        <v>3544</v>
      </c>
      <c r="U303">
        <v>0</v>
      </c>
      <c r="V303">
        <v>165</v>
      </c>
      <c r="W303">
        <v>806</v>
      </c>
      <c r="X303">
        <f>NHS_AE_2024_2025[[#This Row],[A&amp;E attendances Type 1]]+
NHS_AE_2024_2025[[#This Row],[A&amp;E attendances Type 2]]+
NHS_AE_2024_2025[[#This Row],[A&amp;E attendances Other A&amp;E Department]]</f>
        <v>21121</v>
      </c>
      <c r="Y303">
        <f t="shared" si="8"/>
        <v>6145</v>
      </c>
      <c r="Z303">
        <f t="shared" si="9"/>
        <v>4515</v>
      </c>
    </row>
    <row r="304" spans="1:26" x14ac:dyDescent="0.2">
      <c r="A304" t="s">
        <v>427</v>
      </c>
      <c r="B304" t="s">
        <v>428</v>
      </c>
      <c r="C304" t="s">
        <v>52</v>
      </c>
      <c r="D304" t="s">
        <v>37</v>
      </c>
      <c r="E304" t="s">
        <v>53</v>
      </c>
      <c r="F304">
        <v>9083</v>
      </c>
      <c r="G304">
        <v>1106</v>
      </c>
      <c r="H304">
        <v>3295</v>
      </c>
      <c r="I304">
        <v>1</v>
      </c>
      <c r="J304">
        <v>0</v>
      </c>
      <c r="K304">
        <v>0</v>
      </c>
      <c r="L304">
        <v>3045</v>
      </c>
      <c r="M304">
        <v>0</v>
      </c>
      <c r="N304">
        <v>119</v>
      </c>
      <c r="O304">
        <v>1</v>
      </c>
      <c r="P304">
        <v>0</v>
      </c>
      <c r="Q304">
        <v>0</v>
      </c>
      <c r="R304">
        <v>257</v>
      </c>
      <c r="S304">
        <v>114</v>
      </c>
      <c r="T304">
        <v>4044</v>
      </c>
      <c r="U304">
        <v>759</v>
      </c>
      <c r="V304">
        <v>0</v>
      </c>
      <c r="W304">
        <v>1635</v>
      </c>
      <c r="X304">
        <f>NHS_AE_2024_2025[[#This Row],[A&amp;E attendances Type 1]]+
NHS_AE_2024_2025[[#This Row],[A&amp;E attendances Type 2]]+
NHS_AE_2024_2025[[#This Row],[A&amp;E attendances Other A&amp;E Department]]</f>
        <v>13484</v>
      </c>
      <c r="Y304">
        <f t="shared" si="8"/>
        <v>3164</v>
      </c>
      <c r="Z304">
        <f t="shared" si="9"/>
        <v>6438</v>
      </c>
    </row>
    <row r="305" spans="1:26" x14ac:dyDescent="0.2">
      <c r="A305" t="s">
        <v>427</v>
      </c>
      <c r="B305" t="s">
        <v>428</v>
      </c>
      <c r="C305" t="s">
        <v>358</v>
      </c>
      <c r="D305" t="s">
        <v>29</v>
      </c>
      <c r="E305" t="s">
        <v>359</v>
      </c>
      <c r="F305">
        <v>10815</v>
      </c>
      <c r="G305">
        <v>3847</v>
      </c>
      <c r="H305">
        <v>7157</v>
      </c>
      <c r="I305">
        <v>0</v>
      </c>
      <c r="J305">
        <v>0</v>
      </c>
      <c r="K305">
        <v>401</v>
      </c>
      <c r="L305">
        <v>4454</v>
      </c>
      <c r="M305">
        <v>45</v>
      </c>
      <c r="N305">
        <v>259</v>
      </c>
      <c r="O305">
        <v>0</v>
      </c>
      <c r="P305">
        <v>0</v>
      </c>
      <c r="Q305">
        <v>0</v>
      </c>
      <c r="R305">
        <v>660</v>
      </c>
      <c r="S305">
        <v>170</v>
      </c>
      <c r="T305">
        <v>3799</v>
      </c>
      <c r="U305">
        <v>1</v>
      </c>
      <c r="V305">
        <v>0</v>
      </c>
      <c r="W305">
        <v>1067</v>
      </c>
      <c r="X305">
        <f>NHS_AE_2024_2025[[#This Row],[A&amp;E attendances Type 1]]+
NHS_AE_2024_2025[[#This Row],[A&amp;E attendances Type 2]]+
NHS_AE_2024_2025[[#This Row],[A&amp;E attendances Other A&amp;E Department]]</f>
        <v>21819</v>
      </c>
      <c r="Y305">
        <f t="shared" si="8"/>
        <v>4758</v>
      </c>
      <c r="Z305">
        <f t="shared" si="9"/>
        <v>4867</v>
      </c>
    </row>
    <row r="306" spans="1:26" x14ac:dyDescent="0.2">
      <c r="A306" t="s">
        <v>427</v>
      </c>
      <c r="B306" t="s">
        <v>428</v>
      </c>
      <c r="C306" t="s">
        <v>132</v>
      </c>
      <c r="D306" t="s">
        <v>37</v>
      </c>
      <c r="E306" t="s">
        <v>133</v>
      </c>
      <c r="F306">
        <v>0</v>
      </c>
      <c r="G306">
        <v>0</v>
      </c>
      <c r="H306">
        <v>5170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f>NHS_AE_2024_2025[[#This Row],[A&amp;E attendances Type 1]]+
NHS_AE_2024_2025[[#This Row],[A&amp;E attendances Type 2]]+
NHS_AE_2024_2025[[#This Row],[A&amp;E attendances Other A&amp;E Department]]</f>
        <v>5170</v>
      </c>
      <c r="Y306">
        <f t="shared" si="8"/>
        <v>0</v>
      </c>
      <c r="Z306">
        <f t="shared" si="9"/>
        <v>0</v>
      </c>
    </row>
    <row r="307" spans="1:26" x14ac:dyDescent="0.2">
      <c r="A307" t="s">
        <v>427</v>
      </c>
      <c r="B307" t="s">
        <v>428</v>
      </c>
      <c r="C307" t="s">
        <v>220</v>
      </c>
      <c r="D307" t="s">
        <v>50</v>
      </c>
      <c r="E307" t="s">
        <v>221</v>
      </c>
      <c r="F307">
        <v>0</v>
      </c>
      <c r="G307">
        <v>0</v>
      </c>
      <c r="H307">
        <v>381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f>NHS_AE_2024_2025[[#This Row],[A&amp;E attendances Type 1]]+
NHS_AE_2024_2025[[#This Row],[A&amp;E attendances Type 2]]+
NHS_AE_2024_2025[[#This Row],[A&amp;E attendances Other A&amp;E Department]]</f>
        <v>381</v>
      </c>
      <c r="Y307">
        <f t="shared" si="8"/>
        <v>0</v>
      </c>
      <c r="Z307">
        <f t="shared" si="9"/>
        <v>0</v>
      </c>
    </row>
    <row r="308" spans="1:26" x14ac:dyDescent="0.2">
      <c r="A308" t="s">
        <v>427</v>
      </c>
      <c r="B308" t="s">
        <v>428</v>
      </c>
      <c r="C308" t="s">
        <v>280</v>
      </c>
      <c r="D308" t="s">
        <v>50</v>
      </c>
      <c r="E308" t="s">
        <v>281</v>
      </c>
      <c r="F308">
        <v>0</v>
      </c>
      <c r="G308">
        <v>0</v>
      </c>
      <c r="H308">
        <v>3487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218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f>NHS_AE_2024_2025[[#This Row],[A&amp;E attendances Type 1]]+
NHS_AE_2024_2025[[#This Row],[A&amp;E attendances Type 2]]+
NHS_AE_2024_2025[[#This Row],[A&amp;E attendances Other A&amp;E Department]]</f>
        <v>3487</v>
      </c>
      <c r="Y308">
        <f t="shared" si="8"/>
        <v>218</v>
      </c>
      <c r="Z308">
        <f t="shared" si="9"/>
        <v>0</v>
      </c>
    </row>
    <row r="309" spans="1:26" x14ac:dyDescent="0.2">
      <c r="A309" t="s">
        <v>427</v>
      </c>
      <c r="B309" t="s">
        <v>428</v>
      </c>
      <c r="C309" t="s">
        <v>429</v>
      </c>
      <c r="D309" t="s">
        <v>50</v>
      </c>
      <c r="E309" t="s">
        <v>430</v>
      </c>
      <c r="F309">
        <v>0</v>
      </c>
      <c r="G309">
        <v>0</v>
      </c>
      <c r="H309">
        <v>1838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f>NHS_AE_2024_2025[[#This Row],[A&amp;E attendances Type 1]]+
NHS_AE_2024_2025[[#This Row],[A&amp;E attendances Type 2]]+
NHS_AE_2024_2025[[#This Row],[A&amp;E attendances Other A&amp;E Department]]</f>
        <v>1838</v>
      </c>
      <c r="Y309">
        <f t="shared" si="8"/>
        <v>37</v>
      </c>
      <c r="Z309">
        <f t="shared" si="9"/>
        <v>0</v>
      </c>
    </row>
    <row r="310" spans="1:26" x14ac:dyDescent="0.2">
      <c r="A310" t="s">
        <v>427</v>
      </c>
      <c r="B310" t="s">
        <v>428</v>
      </c>
      <c r="C310" t="s">
        <v>282</v>
      </c>
      <c r="D310" t="s">
        <v>50</v>
      </c>
      <c r="E310" t="s">
        <v>283</v>
      </c>
      <c r="F310">
        <v>0</v>
      </c>
      <c r="G310">
        <v>0</v>
      </c>
      <c r="H310">
        <v>2910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169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f>NHS_AE_2024_2025[[#This Row],[A&amp;E attendances Type 1]]+
NHS_AE_2024_2025[[#This Row],[A&amp;E attendances Type 2]]+
NHS_AE_2024_2025[[#This Row],[A&amp;E attendances Other A&amp;E Department]]</f>
        <v>2910</v>
      </c>
      <c r="Y310">
        <f t="shared" si="8"/>
        <v>169</v>
      </c>
      <c r="Z310">
        <f t="shared" si="9"/>
        <v>0</v>
      </c>
    </row>
    <row r="311" spans="1:26" x14ac:dyDescent="0.2">
      <c r="A311" t="s">
        <v>427</v>
      </c>
      <c r="B311" t="s">
        <v>428</v>
      </c>
      <c r="C311" t="s">
        <v>284</v>
      </c>
      <c r="D311" t="s">
        <v>50</v>
      </c>
      <c r="E311" t="s">
        <v>285</v>
      </c>
      <c r="F311">
        <v>0</v>
      </c>
      <c r="G311">
        <v>0</v>
      </c>
      <c r="H311">
        <v>1541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15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f>NHS_AE_2024_2025[[#This Row],[A&amp;E attendances Type 1]]+
NHS_AE_2024_2025[[#This Row],[A&amp;E attendances Type 2]]+
NHS_AE_2024_2025[[#This Row],[A&amp;E attendances Other A&amp;E Department]]</f>
        <v>1541</v>
      </c>
      <c r="Y311">
        <f t="shared" si="8"/>
        <v>15</v>
      </c>
      <c r="Z311">
        <f t="shared" si="9"/>
        <v>0</v>
      </c>
    </row>
    <row r="312" spans="1:26" x14ac:dyDescent="0.2">
      <c r="A312" t="s">
        <v>427</v>
      </c>
      <c r="B312" t="s">
        <v>428</v>
      </c>
      <c r="C312" t="s">
        <v>146</v>
      </c>
      <c r="D312" t="s">
        <v>32</v>
      </c>
      <c r="E312" t="s">
        <v>147</v>
      </c>
      <c r="F312">
        <v>0</v>
      </c>
      <c r="G312">
        <v>0</v>
      </c>
      <c r="H312">
        <v>4789</v>
      </c>
      <c r="I312">
        <v>0</v>
      </c>
      <c r="J312">
        <v>0</v>
      </c>
      <c r="K312">
        <v>241</v>
      </c>
      <c r="L312">
        <v>0</v>
      </c>
      <c r="M312">
        <v>0</v>
      </c>
      <c r="N312">
        <v>92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f>NHS_AE_2024_2025[[#This Row],[A&amp;E attendances Type 1]]+
NHS_AE_2024_2025[[#This Row],[A&amp;E attendances Type 2]]+
NHS_AE_2024_2025[[#This Row],[A&amp;E attendances Other A&amp;E Department]]</f>
        <v>4789</v>
      </c>
      <c r="Y312">
        <f t="shared" si="8"/>
        <v>92</v>
      </c>
      <c r="Z312">
        <f t="shared" si="9"/>
        <v>0</v>
      </c>
    </row>
    <row r="313" spans="1:26" x14ac:dyDescent="0.2">
      <c r="A313" t="s">
        <v>427</v>
      </c>
      <c r="B313" t="s">
        <v>428</v>
      </c>
      <c r="C313" t="s">
        <v>148</v>
      </c>
      <c r="D313" t="s">
        <v>32</v>
      </c>
      <c r="E313" t="s">
        <v>149</v>
      </c>
      <c r="F313">
        <v>0</v>
      </c>
      <c r="G313">
        <v>0</v>
      </c>
      <c r="H313">
        <v>3262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f>NHS_AE_2024_2025[[#This Row],[A&amp;E attendances Type 1]]+
NHS_AE_2024_2025[[#This Row],[A&amp;E attendances Type 2]]+
NHS_AE_2024_2025[[#This Row],[A&amp;E attendances Other A&amp;E Department]]</f>
        <v>3262</v>
      </c>
      <c r="Y313">
        <f t="shared" si="8"/>
        <v>3</v>
      </c>
      <c r="Z313">
        <f t="shared" si="9"/>
        <v>0</v>
      </c>
    </row>
    <row r="314" spans="1:26" x14ac:dyDescent="0.2">
      <c r="A314" t="s">
        <v>427</v>
      </c>
      <c r="B314" t="s">
        <v>428</v>
      </c>
      <c r="C314" t="s">
        <v>286</v>
      </c>
      <c r="D314" t="s">
        <v>37</v>
      </c>
      <c r="E314" t="s">
        <v>287</v>
      </c>
      <c r="F314">
        <v>4455</v>
      </c>
      <c r="G314">
        <v>282</v>
      </c>
      <c r="H314">
        <v>1791</v>
      </c>
      <c r="I314">
        <v>20</v>
      </c>
      <c r="J314">
        <v>0</v>
      </c>
      <c r="K314">
        <v>22</v>
      </c>
      <c r="L314">
        <v>1900</v>
      </c>
      <c r="M314">
        <v>0</v>
      </c>
      <c r="N314">
        <v>0</v>
      </c>
      <c r="O314">
        <v>5</v>
      </c>
      <c r="P314">
        <v>0</v>
      </c>
      <c r="Q314">
        <v>0</v>
      </c>
      <c r="R314">
        <v>171</v>
      </c>
      <c r="S314">
        <v>34</v>
      </c>
      <c r="T314">
        <v>1144</v>
      </c>
      <c r="U314">
        <v>0</v>
      </c>
      <c r="V314">
        <v>0</v>
      </c>
      <c r="W314">
        <v>308</v>
      </c>
      <c r="X314">
        <f>NHS_AE_2024_2025[[#This Row],[A&amp;E attendances Type 1]]+
NHS_AE_2024_2025[[#This Row],[A&amp;E attendances Type 2]]+
NHS_AE_2024_2025[[#This Row],[A&amp;E attendances Other A&amp;E Department]]</f>
        <v>6528</v>
      </c>
      <c r="Y314">
        <f t="shared" si="8"/>
        <v>1900</v>
      </c>
      <c r="Z314">
        <f t="shared" si="9"/>
        <v>1452</v>
      </c>
    </row>
    <row r="315" spans="1:26" x14ac:dyDescent="0.2">
      <c r="A315" t="s">
        <v>427</v>
      </c>
      <c r="B315" t="s">
        <v>428</v>
      </c>
      <c r="C315" t="s">
        <v>190</v>
      </c>
      <c r="D315" t="s">
        <v>50</v>
      </c>
      <c r="E315" t="s">
        <v>191</v>
      </c>
      <c r="F315">
        <v>8798</v>
      </c>
      <c r="G315">
        <v>1061</v>
      </c>
      <c r="H315">
        <v>2757</v>
      </c>
      <c r="I315">
        <v>0</v>
      </c>
      <c r="J315">
        <v>0</v>
      </c>
      <c r="K315">
        <v>0</v>
      </c>
      <c r="L315">
        <v>2109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643</v>
      </c>
      <c r="S315">
        <v>64</v>
      </c>
      <c r="T315">
        <v>2459</v>
      </c>
      <c r="U315">
        <v>0</v>
      </c>
      <c r="V315">
        <v>28</v>
      </c>
      <c r="W315">
        <v>1356</v>
      </c>
      <c r="X315">
        <f>NHS_AE_2024_2025[[#This Row],[A&amp;E attendances Type 1]]+
NHS_AE_2024_2025[[#This Row],[A&amp;E attendances Type 2]]+
NHS_AE_2024_2025[[#This Row],[A&amp;E attendances Other A&amp;E Department]]</f>
        <v>12616</v>
      </c>
      <c r="Y315">
        <f t="shared" si="8"/>
        <v>2109</v>
      </c>
      <c r="Z315">
        <f t="shared" si="9"/>
        <v>3843</v>
      </c>
    </row>
    <row r="316" spans="1:26" x14ac:dyDescent="0.2">
      <c r="A316" t="s">
        <v>427</v>
      </c>
      <c r="B316" t="s">
        <v>428</v>
      </c>
      <c r="C316" t="s">
        <v>192</v>
      </c>
      <c r="D316" t="s">
        <v>55</v>
      </c>
      <c r="E316" t="s">
        <v>193</v>
      </c>
      <c r="F316">
        <v>3843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290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693</v>
      </c>
      <c r="U316">
        <v>0</v>
      </c>
      <c r="V316">
        <v>0</v>
      </c>
      <c r="W316">
        <v>268</v>
      </c>
      <c r="X316">
        <f>NHS_AE_2024_2025[[#This Row],[A&amp;E attendances Type 1]]+
NHS_AE_2024_2025[[#This Row],[A&amp;E attendances Type 2]]+
NHS_AE_2024_2025[[#This Row],[A&amp;E attendances Other A&amp;E Department]]</f>
        <v>3843</v>
      </c>
      <c r="Y316">
        <f t="shared" si="8"/>
        <v>290</v>
      </c>
      <c r="Z316">
        <f t="shared" si="9"/>
        <v>961</v>
      </c>
    </row>
    <row r="317" spans="1:26" x14ac:dyDescent="0.2">
      <c r="A317" t="s">
        <v>427</v>
      </c>
      <c r="B317" t="s">
        <v>428</v>
      </c>
      <c r="C317" t="s">
        <v>294</v>
      </c>
      <c r="D317" t="s">
        <v>70</v>
      </c>
      <c r="E317" t="s">
        <v>295</v>
      </c>
      <c r="F317">
        <v>15388</v>
      </c>
      <c r="G317">
        <v>0</v>
      </c>
      <c r="H317">
        <v>6452</v>
      </c>
      <c r="I317">
        <v>0</v>
      </c>
      <c r="J317">
        <v>0</v>
      </c>
      <c r="K317">
        <v>959</v>
      </c>
      <c r="L317">
        <v>5874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82</v>
      </c>
      <c r="S317">
        <v>3</v>
      </c>
      <c r="T317">
        <v>4343</v>
      </c>
      <c r="U317">
        <v>0</v>
      </c>
      <c r="V317">
        <v>0</v>
      </c>
      <c r="W317">
        <v>2235</v>
      </c>
      <c r="X317">
        <f>NHS_AE_2024_2025[[#This Row],[A&amp;E attendances Type 1]]+
NHS_AE_2024_2025[[#This Row],[A&amp;E attendances Type 2]]+
NHS_AE_2024_2025[[#This Row],[A&amp;E attendances Other A&amp;E Department]]</f>
        <v>21840</v>
      </c>
      <c r="Y317">
        <f t="shared" si="8"/>
        <v>5874</v>
      </c>
      <c r="Z317">
        <f t="shared" si="9"/>
        <v>6578</v>
      </c>
    </row>
    <row r="318" spans="1:26" x14ac:dyDescent="0.2">
      <c r="A318" t="s">
        <v>427</v>
      </c>
      <c r="B318" t="s">
        <v>428</v>
      </c>
      <c r="C318" t="s">
        <v>240</v>
      </c>
      <c r="D318" t="s">
        <v>50</v>
      </c>
      <c r="E318" t="s">
        <v>241</v>
      </c>
      <c r="F318">
        <v>5712</v>
      </c>
      <c r="G318">
        <v>250</v>
      </c>
      <c r="H318">
        <v>0</v>
      </c>
      <c r="I318">
        <v>466</v>
      </c>
      <c r="J318">
        <v>0</v>
      </c>
      <c r="K318">
        <v>0</v>
      </c>
      <c r="L318">
        <v>2335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419</v>
      </c>
      <c r="S318">
        <v>101</v>
      </c>
      <c r="T318">
        <v>1463</v>
      </c>
      <c r="U318">
        <v>0</v>
      </c>
      <c r="V318">
        <v>0</v>
      </c>
      <c r="W318">
        <v>504</v>
      </c>
      <c r="X318">
        <f>NHS_AE_2024_2025[[#This Row],[A&amp;E attendances Type 1]]+
NHS_AE_2024_2025[[#This Row],[A&amp;E attendances Type 2]]+
NHS_AE_2024_2025[[#This Row],[A&amp;E attendances Other A&amp;E Department]]</f>
        <v>5962</v>
      </c>
      <c r="Y318">
        <f t="shared" si="8"/>
        <v>2335</v>
      </c>
      <c r="Z318">
        <f t="shared" si="9"/>
        <v>1967</v>
      </c>
    </row>
    <row r="319" spans="1:26" x14ac:dyDescent="0.2">
      <c r="A319" t="s">
        <v>427</v>
      </c>
      <c r="B319" t="s">
        <v>428</v>
      </c>
      <c r="C319" t="s">
        <v>242</v>
      </c>
      <c r="D319" t="s">
        <v>70</v>
      </c>
      <c r="E319" t="s">
        <v>243</v>
      </c>
      <c r="F319">
        <v>7730</v>
      </c>
      <c r="G319">
        <v>0</v>
      </c>
      <c r="H319">
        <v>4619</v>
      </c>
      <c r="I319">
        <v>535</v>
      </c>
      <c r="J319">
        <v>0</v>
      </c>
      <c r="K319">
        <v>173</v>
      </c>
      <c r="L319">
        <v>2694</v>
      </c>
      <c r="M319">
        <v>0</v>
      </c>
      <c r="N319">
        <v>50</v>
      </c>
      <c r="O319">
        <v>169</v>
      </c>
      <c r="P319">
        <v>0</v>
      </c>
      <c r="Q319">
        <v>0</v>
      </c>
      <c r="R319">
        <v>384</v>
      </c>
      <c r="S319">
        <v>0</v>
      </c>
      <c r="T319">
        <v>2146</v>
      </c>
      <c r="U319">
        <v>0</v>
      </c>
      <c r="V319">
        <v>0</v>
      </c>
      <c r="W319">
        <v>406</v>
      </c>
      <c r="X319">
        <f>NHS_AE_2024_2025[[#This Row],[A&amp;E attendances Type 1]]+
NHS_AE_2024_2025[[#This Row],[A&amp;E attendances Type 2]]+
NHS_AE_2024_2025[[#This Row],[A&amp;E attendances Other A&amp;E Department]]</f>
        <v>12349</v>
      </c>
      <c r="Y319">
        <f t="shared" si="8"/>
        <v>2744</v>
      </c>
      <c r="Z319">
        <f t="shared" si="9"/>
        <v>2552</v>
      </c>
    </row>
    <row r="320" spans="1:26" x14ac:dyDescent="0.2">
      <c r="A320" t="s">
        <v>427</v>
      </c>
      <c r="B320" t="s">
        <v>428</v>
      </c>
      <c r="C320" t="s">
        <v>152</v>
      </c>
      <c r="D320" t="s">
        <v>26</v>
      </c>
      <c r="E320" t="s">
        <v>153</v>
      </c>
      <c r="F320">
        <v>6978</v>
      </c>
      <c r="G320">
        <v>0</v>
      </c>
      <c r="H320">
        <v>13933</v>
      </c>
      <c r="I320">
        <v>0</v>
      </c>
      <c r="J320">
        <v>0</v>
      </c>
      <c r="K320">
        <v>0</v>
      </c>
      <c r="L320">
        <v>4106</v>
      </c>
      <c r="M320">
        <v>0</v>
      </c>
      <c r="N320">
        <v>1106</v>
      </c>
      <c r="O320">
        <v>0</v>
      </c>
      <c r="P320">
        <v>0</v>
      </c>
      <c r="Q320">
        <v>0</v>
      </c>
      <c r="R320">
        <v>691</v>
      </c>
      <c r="S320">
        <v>375</v>
      </c>
      <c r="T320">
        <v>2357</v>
      </c>
      <c r="U320">
        <v>0</v>
      </c>
      <c r="V320">
        <v>85</v>
      </c>
      <c r="W320">
        <v>1365</v>
      </c>
      <c r="X320">
        <f>NHS_AE_2024_2025[[#This Row],[A&amp;E attendances Type 1]]+
NHS_AE_2024_2025[[#This Row],[A&amp;E attendances Type 2]]+
NHS_AE_2024_2025[[#This Row],[A&amp;E attendances Other A&amp;E Department]]</f>
        <v>20911</v>
      </c>
      <c r="Y320">
        <f t="shared" si="8"/>
        <v>5212</v>
      </c>
      <c r="Z320">
        <f t="shared" si="9"/>
        <v>3807</v>
      </c>
    </row>
    <row r="321" spans="1:26" x14ac:dyDescent="0.2">
      <c r="A321" t="s">
        <v>427</v>
      </c>
      <c r="B321" t="s">
        <v>428</v>
      </c>
      <c r="C321" t="s">
        <v>154</v>
      </c>
      <c r="D321" t="s">
        <v>70</v>
      </c>
      <c r="E321" t="s">
        <v>155</v>
      </c>
      <c r="F321">
        <v>7757</v>
      </c>
      <c r="G321">
        <v>0</v>
      </c>
      <c r="H321">
        <v>1390</v>
      </c>
      <c r="I321">
        <v>0</v>
      </c>
      <c r="J321">
        <v>0</v>
      </c>
      <c r="K321">
        <v>0</v>
      </c>
      <c r="L321">
        <v>3175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622</v>
      </c>
      <c r="S321">
        <v>269</v>
      </c>
      <c r="T321">
        <v>1697</v>
      </c>
      <c r="U321">
        <v>0</v>
      </c>
      <c r="V321">
        <v>0</v>
      </c>
      <c r="W321">
        <v>364</v>
      </c>
      <c r="X321">
        <f>NHS_AE_2024_2025[[#This Row],[A&amp;E attendances Type 1]]+
NHS_AE_2024_2025[[#This Row],[A&amp;E attendances Type 2]]+
NHS_AE_2024_2025[[#This Row],[A&amp;E attendances Other A&amp;E Department]]</f>
        <v>9147</v>
      </c>
      <c r="Y321">
        <f t="shared" si="8"/>
        <v>3175</v>
      </c>
      <c r="Z321">
        <f t="shared" si="9"/>
        <v>2061</v>
      </c>
    </row>
    <row r="322" spans="1:26" x14ac:dyDescent="0.2">
      <c r="A322" t="s">
        <v>427</v>
      </c>
      <c r="B322" t="s">
        <v>428</v>
      </c>
      <c r="C322" t="s">
        <v>404</v>
      </c>
      <c r="D322" t="s">
        <v>26</v>
      </c>
      <c r="E322" t="s">
        <v>405</v>
      </c>
      <c r="F322">
        <v>12797</v>
      </c>
      <c r="G322">
        <v>0</v>
      </c>
      <c r="H322">
        <v>4349</v>
      </c>
      <c r="I322">
        <v>1256</v>
      </c>
      <c r="J322">
        <v>0</v>
      </c>
      <c r="K322">
        <v>88</v>
      </c>
      <c r="L322">
        <v>4835</v>
      </c>
      <c r="M322">
        <v>0</v>
      </c>
      <c r="N322">
        <v>38</v>
      </c>
      <c r="O322">
        <v>417</v>
      </c>
      <c r="P322">
        <v>0</v>
      </c>
      <c r="Q322">
        <v>3</v>
      </c>
      <c r="R322">
        <v>923</v>
      </c>
      <c r="S322">
        <v>18</v>
      </c>
      <c r="T322">
        <v>3964</v>
      </c>
      <c r="U322">
        <v>0</v>
      </c>
      <c r="V322">
        <v>0</v>
      </c>
      <c r="W322">
        <v>2052</v>
      </c>
      <c r="X322">
        <f>NHS_AE_2024_2025[[#This Row],[A&amp;E attendances Type 1]]+
NHS_AE_2024_2025[[#This Row],[A&amp;E attendances Type 2]]+
NHS_AE_2024_2025[[#This Row],[A&amp;E attendances Other A&amp;E Department]]</f>
        <v>17146</v>
      </c>
      <c r="Y322">
        <f t="shared" ref="Y322:Y385" si="10">L322+M322+N322</f>
        <v>4873</v>
      </c>
      <c r="Z322">
        <f t="shared" ref="Z322:Z385" si="11">T322+U322+V322+W322</f>
        <v>6016</v>
      </c>
    </row>
    <row r="323" spans="1:26" x14ac:dyDescent="0.2">
      <c r="A323" t="s">
        <v>427</v>
      </c>
      <c r="B323" t="s">
        <v>428</v>
      </c>
      <c r="C323" t="s">
        <v>370</v>
      </c>
      <c r="D323" t="s">
        <v>29</v>
      </c>
      <c r="E323" t="s">
        <v>371</v>
      </c>
      <c r="F323">
        <v>13116</v>
      </c>
      <c r="G323">
        <v>0</v>
      </c>
      <c r="H323">
        <v>9639</v>
      </c>
      <c r="I323">
        <v>0</v>
      </c>
      <c r="J323">
        <v>0</v>
      </c>
      <c r="K323">
        <v>0</v>
      </c>
      <c r="L323">
        <v>6100</v>
      </c>
      <c r="M323">
        <v>0</v>
      </c>
      <c r="N323">
        <v>963</v>
      </c>
      <c r="O323">
        <v>0</v>
      </c>
      <c r="P323">
        <v>0</v>
      </c>
      <c r="Q323">
        <v>0</v>
      </c>
      <c r="R323">
        <v>909</v>
      </c>
      <c r="S323">
        <v>317</v>
      </c>
      <c r="T323">
        <v>4035</v>
      </c>
      <c r="U323">
        <v>0</v>
      </c>
      <c r="V323">
        <v>0</v>
      </c>
      <c r="W323">
        <v>1440</v>
      </c>
      <c r="X323">
        <f>NHS_AE_2024_2025[[#This Row],[A&amp;E attendances Type 1]]+
NHS_AE_2024_2025[[#This Row],[A&amp;E attendances Type 2]]+
NHS_AE_2024_2025[[#This Row],[A&amp;E attendances Other A&amp;E Department]]</f>
        <v>22755</v>
      </c>
      <c r="Y323">
        <f t="shared" si="10"/>
        <v>7063</v>
      </c>
      <c r="Z323">
        <f t="shared" si="11"/>
        <v>5475</v>
      </c>
    </row>
    <row r="324" spans="1:26" x14ac:dyDescent="0.2">
      <c r="A324" t="s">
        <v>427</v>
      </c>
      <c r="B324" t="s">
        <v>428</v>
      </c>
      <c r="C324" t="s">
        <v>306</v>
      </c>
      <c r="D324" t="s">
        <v>29</v>
      </c>
      <c r="E324" t="s">
        <v>307</v>
      </c>
      <c r="F324">
        <v>7874</v>
      </c>
      <c r="G324">
        <v>0</v>
      </c>
      <c r="H324">
        <v>3433</v>
      </c>
      <c r="I324">
        <v>430</v>
      </c>
      <c r="J324">
        <v>0</v>
      </c>
      <c r="K324">
        <v>0</v>
      </c>
      <c r="L324">
        <v>2229</v>
      </c>
      <c r="M324">
        <v>0</v>
      </c>
      <c r="N324">
        <v>0</v>
      </c>
      <c r="O324">
        <v>56</v>
      </c>
      <c r="P324">
        <v>0</v>
      </c>
      <c r="Q324">
        <v>0</v>
      </c>
      <c r="R324">
        <v>516</v>
      </c>
      <c r="S324">
        <v>643</v>
      </c>
      <c r="T324">
        <v>2501</v>
      </c>
      <c r="U324">
        <v>0</v>
      </c>
      <c r="V324">
        <v>0</v>
      </c>
      <c r="W324">
        <v>757</v>
      </c>
      <c r="X324">
        <f>NHS_AE_2024_2025[[#This Row],[A&amp;E attendances Type 1]]+
NHS_AE_2024_2025[[#This Row],[A&amp;E attendances Type 2]]+
NHS_AE_2024_2025[[#This Row],[A&amp;E attendances Other A&amp;E Department]]</f>
        <v>11307</v>
      </c>
      <c r="Y324">
        <f t="shared" si="10"/>
        <v>2229</v>
      </c>
      <c r="Z324">
        <f t="shared" si="11"/>
        <v>3258</v>
      </c>
    </row>
    <row r="325" spans="1:26" x14ac:dyDescent="0.2">
      <c r="A325" t="s">
        <v>427</v>
      </c>
      <c r="B325" t="s">
        <v>428</v>
      </c>
      <c r="C325" t="s">
        <v>308</v>
      </c>
      <c r="D325" t="s">
        <v>32</v>
      </c>
      <c r="E325" t="s">
        <v>309</v>
      </c>
      <c r="F325">
        <v>7904</v>
      </c>
      <c r="G325">
        <v>0</v>
      </c>
      <c r="H325">
        <v>387</v>
      </c>
      <c r="I325">
        <v>0</v>
      </c>
      <c r="J325">
        <v>0</v>
      </c>
      <c r="K325">
        <v>0</v>
      </c>
      <c r="L325">
        <v>2064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227</v>
      </c>
      <c r="S325">
        <v>3</v>
      </c>
      <c r="T325">
        <v>2159</v>
      </c>
      <c r="U325">
        <v>0</v>
      </c>
      <c r="V325">
        <v>0</v>
      </c>
      <c r="W325">
        <v>829</v>
      </c>
      <c r="X325">
        <f>NHS_AE_2024_2025[[#This Row],[A&amp;E attendances Type 1]]+
NHS_AE_2024_2025[[#This Row],[A&amp;E attendances Type 2]]+
NHS_AE_2024_2025[[#This Row],[A&amp;E attendances Other A&amp;E Department]]</f>
        <v>8291</v>
      </c>
      <c r="Y325">
        <f t="shared" si="10"/>
        <v>2064</v>
      </c>
      <c r="Z325">
        <f t="shared" si="11"/>
        <v>2988</v>
      </c>
    </row>
    <row r="326" spans="1:26" x14ac:dyDescent="0.2">
      <c r="A326" t="s">
        <v>427</v>
      </c>
      <c r="B326" t="s">
        <v>428</v>
      </c>
      <c r="C326" t="s">
        <v>250</v>
      </c>
      <c r="D326" t="s">
        <v>32</v>
      </c>
      <c r="E326" t="s">
        <v>251</v>
      </c>
      <c r="F326">
        <v>10030</v>
      </c>
      <c r="G326">
        <v>0</v>
      </c>
      <c r="H326">
        <v>5073</v>
      </c>
      <c r="I326">
        <v>342</v>
      </c>
      <c r="J326">
        <v>0</v>
      </c>
      <c r="K326">
        <v>125</v>
      </c>
      <c r="L326">
        <v>2611</v>
      </c>
      <c r="M326">
        <v>0</v>
      </c>
      <c r="N326">
        <v>83</v>
      </c>
      <c r="O326">
        <v>101</v>
      </c>
      <c r="P326">
        <v>0</v>
      </c>
      <c r="Q326">
        <v>5</v>
      </c>
      <c r="R326">
        <v>219</v>
      </c>
      <c r="S326">
        <v>27</v>
      </c>
      <c r="T326">
        <v>3583</v>
      </c>
      <c r="U326">
        <v>0</v>
      </c>
      <c r="V326">
        <v>0</v>
      </c>
      <c r="W326">
        <v>286</v>
      </c>
      <c r="X326">
        <f>NHS_AE_2024_2025[[#This Row],[A&amp;E attendances Type 1]]+
NHS_AE_2024_2025[[#This Row],[A&amp;E attendances Type 2]]+
NHS_AE_2024_2025[[#This Row],[A&amp;E attendances Other A&amp;E Department]]</f>
        <v>15103</v>
      </c>
      <c r="Y326">
        <f t="shared" si="10"/>
        <v>2694</v>
      </c>
      <c r="Z326">
        <f t="shared" si="11"/>
        <v>3869</v>
      </c>
    </row>
    <row r="327" spans="1:26" x14ac:dyDescent="0.2">
      <c r="A327" t="s">
        <v>427</v>
      </c>
      <c r="B327" t="s">
        <v>428</v>
      </c>
      <c r="C327" t="s">
        <v>202</v>
      </c>
      <c r="D327" t="s">
        <v>32</v>
      </c>
      <c r="E327" t="s">
        <v>203</v>
      </c>
      <c r="F327">
        <v>12199</v>
      </c>
      <c r="G327">
        <v>0</v>
      </c>
      <c r="H327">
        <v>6590</v>
      </c>
      <c r="I327">
        <v>70</v>
      </c>
      <c r="J327">
        <v>0</v>
      </c>
      <c r="K327">
        <v>791</v>
      </c>
      <c r="L327">
        <v>3643</v>
      </c>
      <c r="M327">
        <v>0</v>
      </c>
      <c r="N327">
        <v>23</v>
      </c>
      <c r="O327">
        <v>9</v>
      </c>
      <c r="P327">
        <v>0</v>
      </c>
      <c r="Q327">
        <v>0</v>
      </c>
      <c r="R327">
        <v>1004</v>
      </c>
      <c r="S327">
        <v>182</v>
      </c>
      <c r="T327">
        <v>5672</v>
      </c>
      <c r="U327">
        <v>0</v>
      </c>
      <c r="V327">
        <v>0</v>
      </c>
      <c r="W327">
        <v>892</v>
      </c>
      <c r="X327">
        <f>NHS_AE_2024_2025[[#This Row],[A&amp;E attendances Type 1]]+
NHS_AE_2024_2025[[#This Row],[A&amp;E attendances Type 2]]+
NHS_AE_2024_2025[[#This Row],[A&amp;E attendances Other A&amp;E Department]]</f>
        <v>18789</v>
      </c>
      <c r="Y327">
        <f t="shared" si="10"/>
        <v>3666</v>
      </c>
      <c r="Z327">
        <f t="shared" si="11"/>
        <v>6564</v>
      </c>
    </row>
    <row r="328" spans="1:26" x14ac:dyDescent="0.2">
      <c r="A328" t="s">
        <v>427</v>
      </c>
      <c r="B328" t="s">
        <v>428</v>
      </c>
      <c r="C328" t="s">
        <v>314</v>
      </c>
      <c r="D328" t="s">
        <v>32</v>
      </c>
      <c r="E328" t="s">
        <v>315</v>
      </c>
      <c r="F328">
        <v>6068</v>
      </c>
      <c r="G328">
        <v>0</v>
      </c>
      <c r="H328">
        <v>1727</v>
      </c>
      <c r="I328">
        <v>0</v>
      </c>
      <c r="J328">
        <v>0</v>
      </c>
      <c r="K328">
        <v>0</v>
      </c>
      <c r="L328">
        <v>2011</v>
      </c>
      <c r="M328">
        <v>0</v>
      </c>
      <c r="N328">
        <v>16</v>
      </c>
      <c r="O328">
        <v>0</v>
      </c>
      <c r="P328">
        <v>0</v>
      </c>
      <c r="Q328">
        <v>0</v>
      </c>
      <c r="R328">
        <v>505</v>
      </c>
      <c r="S328">
        <v>56</v>
      </c>
      <c r="T328">
        <v>1119</v>
      </c>
      <c r="U328">
        <v>0</v>
      </c>
      <c r="V328">
        <v>0</v>
      </c>
      <c r="W328">
        <v>30</v>
      </c>
      <c r="X328">
        <f>NHS_AE_2024_2025[[#This Row],[A&amp;E attendances Type 1]]+
NHS_AE_2024_2025[[#This Row],[A&amp;E attendances Type 2]]+
NHS_AE_2024_2025[[#This Row],[A&amp;E attendances Other A&amp;E Department]]</f>
        <v>7795</v>
      </c>
      <c r="Y328">
        <f t="shared" si="10"/>
        <v>2027</v>
      </c>
      <c r="Z328">
        <f t="shared" si="11"/>
        <v>1149</v>
      </c>
    </row>
    <row r="329" spans="1:26" x14ac:dyDescent="0.2">
      <c r="A329" t="s">
        <v>427</v>
      </c>
      <c r="B329" t="s">
        <v>428</v>
      </c>
      <c r="C329" t="s">
        <v>158</v>
      </c>
      <c r="D329" t="s">
        <v>32</v>
      </c>
      <c r="E329" t="s">
        <v>159</v>
      </c>
      <c r="F329">
        <v>8675</v>
      </c>
      <c r="G329">
        <v>0</v>
      </c>
      <c r="H329">
        <v>3924</v>
      </c>
      <c r="I329">
        <v>0</v>
      </c>
      <c r="J329">
        <v>0</v>
      </c>
      <c r="K329">
        <v>713</v>
      </c>
      <c r="L329">
        <v>2155</v>
      </c>
      <c r="M329">
        <v>0</v>
      </c>
      <c r="N329">
        <v>30</v>
      </c>
      <c r="O329">
        <v>0</v>
      </c>
      <c r="P329">
        <v>0</v>
      </c>
      <c r="Q329">
        <v>0</v>
      </c>
      <c r="R329">
        <v>1944</v>
      </c>
      <c r="S329">
        <v>11</v>
      </c>
      <c r="T329">
        <v>3596</v>
      </c>
      <c r="U329">
        <v>0</v>
      </c>
      <c r="V329">
        <v>0</v>
      </c>
      <c r="W329">
        <v>2091</v>
      </c>
      <c r="X329">
        <f>NHS_AE_2024_2025[[#This Row],[A&amp;E attendances Type 1]]+
NHS_AE_2024_2025[[#This Row],[A&amp;E attendances Type 2]]+
NHS_AE_2024_2025[[#This Row],[A&amp;E attendances Other A&amp;E Department]]</f>
        <v>12599</v>
      </c>
      <c r="Y329">
        <f t="shared" si="10"/>
        <v>2185</v>
      </c>
      <c r="Z329">
        <f t="shared" si="11"/>
        <v>5687</v>
      </c>
    </row>
    <row r="330" spans="1:26" x14ac:dyDescent="0.2">
      <c r="A330" t="s">
        <v>427</v>
      </c>
      <c r="B330" t="s">
        <v>428</v>
      </c>
      <c r="C330" t="s">
        <v>254</v>
      </c>
      <c r="D330" t="s">
        <v>50</v>
      </c>
      <c r="E330" t="s">
        <v>255</v>
      </c>
      <c r="F330">
        <v>8417</v>
      </c>
      <c r="G330">
        <v>0</v>
      </c>
      <c r="H330">
        <v>1977</v>
      </c>
      <c r="I330">
        <v>389</v>
      </c>
      <c r="J330">
        <v>0</v>
      </c>
      <c r="K330">
        <v>39</v>
      </c>
      <c r="L330">
        <v>3254</v>
      </c>
      <c r="M330">
        <v>0</v>
      </c>
      <c r="N330">
        <v>52</v>
      </c>
      <c r="O330">
        <v>80</v>
      </c>
      <c r="P330">
        <v>0</v>
      </c>
      <c r="Q330">
        <v>3</v>
      </c>
      <c r="R330">
        <v>570</v>
      </c>
      <c r="S330">
        <v>379</v>
      </c>
      <c r="T330">
        <v>2330</v>
      </c>
      <c r="U330">
        <v>0</v>
      </c>
      <c r="V330">
        <v>0</v>
      </c>
      <c r="W330">
        <v>683</v>
      </c>
      <c r="X330">
        <f>NHS_AE_2024_2025[[#This Row],[A&amp;E attendances Type 1]]+
NHS_AE_2024_2025[[#This Row],[A&amp;E attendances Type 2]]+
NHS_AE_2024_2025[[#This Row],[A&amp;E attendances Other A&amp;E Department]]</f>
        <v>10394</v>
      </c>
      <c r="Y330">
        <f t="shared" si="10"/>
        <v>3306</v>
      </c>
      <c r="Z330">
        <f t="shared" si="11"/>
        <v>3013</v>
      </c>
    </row>
    <row r="331" spans="1:26" x14ac:dyDescent="0.2">
      <c r="A331" t="s">
        <v>427</v>
      </c>
      <c r="B331" t="s">
        <v>428</v>
      </c>
      <c r="C331" t="s">
        <v>114</v>
      </c>
      <c r="D331" t="s">
        <v>32</v>
      </c>
      <c r="E331" t="s">
        <v>115</v>
      </c>
      <c r="F331">
        <v>9338</v>
      </c>
      <c r="G331">
        <v>584</v>
      </c>
      <c r="H331">
        <v>1949</v>
      </c>
      <c r="I331">
        <v>1322</v>
      </c>
      <c r="J331">
        <v>0</v>
      </c>
      <c r="K331">
        <v>69</v>
      </c>
      <c r="L331">
        <v>3165</v>
      </c>
      <c r="M331">
        <v>13</v>
      </c>
      <c r="N331">
        <v>21</v>
      </c>
      <c r="O331">
        <v>374</v>
      </c>
      <c r="P331">
        <v>0</v>
      </c>
      <c r="Q331">
        <v>2</v>
      </c>
      <c r="R331">
        <v>526</v>
      </c>
      <c r="S331">
        <v>721</v>
      </c>
      <c r="T331">
        <v>1925</v>
      </c>
      <c r="U331">
        <v>0</v>
      </c>
      <c r="V331">
        <v>0</v>
      </c>
      <c r="W331">
        <v>1155</v>
      </c>
      <c r="X331">
        <f>NHS_AE_2024_2025[[#This Row],[A&amp;E attendances Type 1]]+
NHS_AE_2024_2025[[#This Row],[A&amp;E attendances Type 2]]+
NHS_AE_2024_2025[[#This Row],[A&amp;E attendances Other A&amp;E Department]]</f>
        <v>11871</v>
      </c>
      <c r="Y331">
        <f t="shared" si="10"/>
        <v>3199</v>
      </c>
      <c r="Z331">
        <f t="shared" si="11"/>
        <v>3080</v>
      </c>
    </row>
    <row r="332" spans="1:26" x14ac:dyDescent="0.2">
      <c r="A332" t="s">
        <v>427</v>
      </c>
      <c r="B332" t="s">
        <v>428</v>
      </c>
      <c r="C332" t="s">
        <v>322</v>
      </c>
      <c r="D332" t="s">
        <v>50</v>
      </c>
      <c r="E332" t="s">
        <v>323</v>
      </c>
      <c r="F332">
        <v>12903</v>
      </c>
      <c r="G332">
        <v>0</v>
      </c>
      <c r="H332">
        <v>3593</v>
      </c>
      <c r="I332">
        <v>0</v>
      </c>
      <c r="J332">
        <v>0</v>
      </c>
      <c r="K332">
        <v>0</v>
      </c>
      <c r="L332">
        <v>4532</v>
      </c>
      <c r="M332">
        <v>0</v>
      </c>
      <c r="N332">
        <v>4</v>
      </c>
      <c r="O332">
        <v>0</v>
      </c>
      <c r="P332">
        <v>0</v>
      </c>
      <c r="Q332">
        <v>0</v>
      </c>
      <c r="R332">
        <v>984</v>
      </c>
      <c r="S332">
        <v>82</v>
      </c>
      <c r="T332">
        <v>4240</v>
      </c>
      <c r="U332">
        <v>0</v>
      </c>
      <c r="V332">
        <v>416</v>
      </c>
      <c r="W332">
        <v>921</v>
      </c>
      <c r="X332">
        <f>NHS_AE_2024_2025[[#This Row],[A&amp;E attendances Type 1]]+
NHS_AE_2024_2025[[#This Row],[A&amp;E attendances Type 2]]+
NHS_AE_2024_2025[[#This Row],[A&amp;E attendances Other A&amp;E Department]]</f>
        <v>16496</v>
      </c>
      <c r="Y332">
        <f t="shared" si="10"/>
        <v>4536</v>
      </c>
      <c r="Z332">
        <f t="shared" si="11"/>
        <v>5577</v>
      </c>
    </row>
    <row r="333" spans="1:26" x14ac:dyDescent="0.2">
      <c r="A333" t="s">
        <v>427</v>
      </c>
      <c r="B333" t="s">
        <v>428</v>
      </c>
      <c r="C333" t="s">
        <v>162</v>
      </c>
      <c r="D333" t="s">
        <v>29</v>
      </c>
      <c r="E333" t="s">
        <v>163</v>
      </c>
      <c r="F333">
        <v>0</v>
      </c>
      <c r="G333">
        <v>5681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106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235</v>
      </c>
      <c r="X333">
        <f>NHS_AE_2024_2025[[#This Row],[A&amp;E attendances Type 1]]+
NHS_AE_2024_2025[[#This Row],[A&amp;E attendances Type 2]]+
NHS_AE_2024_2025[[#This Row],[A&amp;E attendances Other A&amp;E Department]]</f>
        <v>5681</v>
      </c>
      <c r="Y333">
        <f t="shared" si="10"/>
        <v>106</v>
      </c>
      <c r="Z333">
        <f t="shared" si="11"/>
        <v>236</v>
      </c>
    </row>
    <row r="334" spans="1:26" x14ac:dyDescent="0.2">
      <c r="A334" t="s">
        <v>427</v>
      </c>
      <c r="B334" t="s">
        <v>428</v>
      </c>
      <c r="C334" t="s">
        <v>326</v>
      </c>
      <c r="D334" t="s">
        <v>29</v>
      </c>
      <c r="E334" t="s">
        <v>327</v>
      </c>
      <c r="F334">
        <v>17554</v>
      </c>
      <c r="G334">
        <v>0</v>
      </c>
      <c r="H334">
        <v>5324</v>
      </c>
      <c r="I334">
        <v>578</v>
      </c>
      <c r="J334">
        <v>0</v>
      </c>
      <c r="K334">
        <v>0</v>
      </c>
      <c r="L334">
        <v>4169</v>
      </c>
      <c r="M334">
        <v>0</v>
      </c>
      <c r="N334">
        <v>23</v>
      </c>
      <c r="O334">
        <v>0</v>
      </c>
      <c r="P334">
        <v>0</v>
      </c>
      <c r="Q334">
        <v>0</v>
      </c>
      <c r="R334">
        <v>321</v>
      </c>
      <c r="S334">
        <v>37</v>
      </c>
      <c r="T334">
        <v>2560</v>
      </c>
      <c r="U334">
        <v>0</v>
      </c>
      <c r="V334">
        <v>0</v>
      </c>
      <c r="W334">
        <v>366</v>
      </c>
      <c r="X334">
        <f>NHS_AE_2024_2025[[#This Row],[A&amp;E attendances Type 1]]+
NHS_AE_2024_2025[[#This Row],[A&amp;E attendances Type 2]]+
NHS_AE_2024_2025[[#This Row],[A&amp;E attendances Other A&amp;E Department]]</f>
        <v>22878</v>
      </c>
      <c r="Y334">
        <f t="shared" si="10"/>
        <v>4192</v>
      </c>
      <c r="Z334">
        <f t="shared" si="11"/>
        <v>2926</v>
      </c>
    </row>
    <row r="335" spans="1:26" x14ac:dyDescent="0.2">
      <c r="A335" t="s">
        <v>427</v>
      </c>
      <c r="B335" t="s">
        <v>428</v>
      </c>
      <c r="C335" t="s">
        <v>392</v>
      </c>
      <c r="D335" t="s">
        <v>50</v>
      </c>
      <c r="E335" t="s">
        <v>393</v>
      </c>
      <c r="F335">
        <v>11019</v>
      </c>
      <c r="G335">
        <v>1533</v>
      </c>
      <c r="H335">
        <v>4532</v>
      </c>
      <c r="I335">
        <v>0</v>
      </c>
      <c r="J335">
        <v>0</v>
      </c>
      <c r="K335">
        <v>741</v>
      </c>
      <c r="L335">
        <v>4134</v>
      </c>
      <c r="M335">
        <v>57</v>
      </c>
      <c r="N335">
        <v>0</v>
      </c>
      <c r="O335">
        <v>0</v>
      </c>
      <c r="P335">
        <v>0</v>
      </c>
      <c r="Q335">
        <v>0</v>
      </c>
      <c r="R335">
        <v>280</v>
      </c>
      <c r="S335">
        <v>3</v>
      </c>
      <c r="T335">
        <v>3250</v>
      </c>
      <c r="U335">
        <v>24</v>
      </c>
      <c r="V335">
        <v>0</v>
      </c>
      <c r="W335">
        <v>2712</v>
      </c>
      <c r="X335">
        <f>NHS_AE_2024_2025[[#This Row],[A&amp;E attendances Type 1]]+
NHS_AE_2024_2025[[#This Row],[A&amp;E attendances Type 2]]+
NHS_AE_2024_2025[[#This Row],[A&amp;E attendances Other A&amp;E Department]]</f>
        <v>17084</v>
      </c>
      <c r="Y335">
        <f t="shared" si="10"/>
        <v>4191</v>
      </c>
      <c r="Z335">
        <f t="shared" si="11"/>
        <v>5986</v>
      </c>
    </row>
    <row r="336" spans="1:26" x14ac:dyDescent="0.2">
      <c r="A336" t="s">
        <v>427</v>
      </c>
      <c r="B336" t="s">
        <v>428</v>
      </c>
      <c r="C336" t="s">
        <v>260</v>
      </c>
      <c r="D336" t="s">
        <v>37</v>
      </c>
      <c r="E336" t="s">
        <v>261</v>
      </c>
      <c r="F336">
        <v>9097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2779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455</v>
      </c>
      <c r="S336">
        <v>137</v>
      </c>
      <c r="T336">
        <v>2698</v>
      </c>
      <c r="U336">
        <v>0</v>
      </c>
      <c r="V336">
        <v>0</v>
      </c>
      <c r="W336">
        <v>555</v>
      </c>
      <c r="X336">
        <f>NHS_AE_2024_2025[[#This Row],[A&amp;E attendances Type 1]]+
NHS_AE_2024_2025[[#This Row],[A&amp;E attendances Type 2]]+
NHS_AE_2024_2025[[#This Row],[A&amp;E attendances Other A&amp;E Department]]</f>
        <v>9097</v>
      </c>
      <c r="Y336">
        <f t="shared" si="10"/>
        <v>2779</v>
      </c>
      <c r="Z336">
        <f t="shared" si="11"/>
        <v>3253</v>
      </c>
    </row>
    <row r="337" spans="1:26" x14ac:dyDescent="0.2">
      <c r="A337" t="s">
        <v>427</v>
      </c>
      <c r="B337" t="s">
        <v>428</v>
      </c>
      <c r="C337" t="s">
        <v>338</v>
      </c>
      <c r="D337" t="s">
        <v>50</v>
      </c>
      <c r="E337" t="s">
        <v>339</v>
      </c>
      <c r="F337">
        <v>7068</v>
      </c>
      <c r="G337">
        <v>0</v>
      </c>
      <c r="H337">
        <v>8661</v>
      </c>
      <c r="I337">
        <v>0</v>
      </c>
      <c r="J337">
        <v>0</v>
      </c>
      <c r="K337">
        <v>1660</v>
      </c>
      <c r="L337">
        <v>3345</v>
      </c>
      <c r="M337">
        <v>0</v>
      </c>
      <c r="N337">
        <v>323</v>
      </c>
      <c r="O337">
        <v>0</v>
      </c>
      <c r="P337">
        <v>0</v>
      </c>
      <c r="Q337">
        <v>42</v>
      </c>
      <c r="R337">
        <v>224</v>
      </c>
      <c r="S337">
        <v>3</v>
      </c>
      <c r="T337">
        <v>2539</v>
      </c>
      <c r="U337">
        <v>0</v>
      </c>
      <c r="V337">
        <v>128</v>
      </c>
      <c r="W337">
        <v>2107</v>
      </c>
      <c r="X337">
        <f>NHS_AE_2024_2025[[#This Row],[A&amp;E attendances Type 1]]+
NHS_AE_2024_2025[[#This Row],[A&amp;E attendances Type 2]]+
NHS_AE_2024_2025[[#This Row],[A&amp;E attendances Other A&amp;E Department]]</f>
        <v>15729</v>
      </c>
      <c r="Y337">
        <f t="shared" si="10"/>
        <v>3668</v>
      </c>
      <c r="Z337">
        <f t="shared" si="11"/>
        <v>4774</v>
      </c>
    </row>
    <row r="338" spans="1:26" x14ac:dyDescent="0.2">
      <c r="A338" t="s">
        <v>427</v>
      </c>
      <c r="B338" t="s">
        <v>428</v>
      </c>
      <c r="C338" t="s">
        <v>342</v>
      </c>
      <c r="D338" t="s">
        <v>37</v>
      </c>
      <c r="E338" t="s">
        <v>343</v>
      </c>
      <c r="F338">
        <v>12131</v>
      </c>
      <c r="G338">
        <v>0</v>
      </c>
      <c r="H338">
        <v>12066</v>
      </c>
      <c r="I338">
        <v>0</v>
      </c>
      <c r="J338">
        <v>0</v>
      </c>
      <c r="K338">
        <v>0</v>
      </c>
      <c r="L338">
        <v>5313</v>
      </c>
      <c r="M338">
        <v>0</v>
      </c>
      <c r="N338">
        <v>152</v>
      </c>
      <c r="O338">
        <v>0</v>
      </c>
      <c r="P338">
        <v>0</v>
      </c>
      <c r="Q338">
        <v>0</v>
      </c>
      <c r="R338">
        <v>581</v>
      </c>
      <c r="S338">
        <v>1033</v>
      </c>
      <c r="T338">
        <v>2971</v>
      </c>
      <c r="U338">
        <v>0</v>
      </c>
      <c r="V338">
        <v>637</v>
      </c>
      <c r="W338">
        <v>481</v>
      </c>
      <c r="X338">
        <f>NHS_AE_2024_2025[[#This Row],[A&amp;E attendances Type 1]]+
NHS_AE_2024_2025[[#This Row],[A&amp;E attendances Type 2]]+
NHS_AE_2024_2025[[#This Row],[A&amp;E attendances Other A&amp;E Department]]</f>
        <v>24197</v>
      </c>
      <c r="Y338">
        <f t="shared" si="10"/>
        <v>5465</v>
      </c>
      <c r="Z338">
        <f t="shared" si="11"/>
        <v>4089</v>
      </c>
    </row>
    <row r="339" spans="1:26" x14ac:dyDescent="0.2">
      <c r="A339" t="s">
        <v>427</v>
      </c>
      <c r="B339" t="s">
        <v>428</v>
      </c>
      <c r="C339" t="s">
        <v>264</v>
      </c>
      <c r="D339" t="s">
        <v>50</v>
      </c>
      <c r="E339" t="s">
        <v>265</v>
      </c>
      <c r="F339">
        <v>8912</v>
      </c>
      <c r="G339">
        <v>0</v>
      </c>
      <c r="H339">
        <v>4121</v>
      </c>
      <c r="I339">
        <v>0</v>
      </c>
      <c r="J339">
        <v>0</v>
      </c>
      <c r="K339">
        <v>0</v>
      </c>
      <c r="L339">
        <v>4513</v>
      </c>
      <c r="M339">
        <v>0</v>
      </c>
      <c r="N339">
        <v>128</v>
      </c>
      <c r="O339">
        <v>0</v>
      </c>
      <c r="P339">
        <v>0</v>
      </c>
      <c r="Q339">
        <v>0</v>
      </c>
      <c r="R339">
        <v>1046</v>
      </c>
      <c r="S339">
        <v>221</v>
      </c>
      <c r="T339">
        <v>3476</v>
      </c>
      <c r="U339">
        <v>0</v>
      </c>
      <c r="V339">
        <v>0</v>
      </c>
      <c r="W339">
        <v>1974</v>
      </c>
      <c r="X339">
        <f>NHS_AE_2024_2025[[#This Row],[A&amp;E attendances Type 1]]+
NHS_AE_2024_2025[[#This Row],[A&amp;E attendances Type 2]]+
NHS_AE_2024_2025[[#This Row],[A&amp;E attendances Other A&amp;E Department]]</f>
        <v>13033</v>
      </c>
      <c r="Y339">
        <f t="shared" si="10"/>
        <v>4641</v>
      </c>
      <c r="Z339">
        <f t="shared" si="11"/>
        <v>5450</v>
      </c>
    </row>
    <row r="340" spans="1:26" x14ac:dyDescent="0.2">
      <c r="A340" t="s">
        <v>427</v>
      </c>
      <c r="B340" t="s">
        <v>428</v>
      </c>
      <c r="C340" t="s">
        <v>170</v>
      </c>
      <c r="D340" t="s">
        <v>32</v>
      </c>
      <c r="E340" t="s">
        <v>171</v>
      </c>
      <c r="F340">
        <v>14080</v>
      </c>
      <c r="G340">
        <v>1762</v>
      </c>
      <c r="H340">
        <v>331</v>
      </c>
      <c r="I340">
        <v>588</v>
      </c>
      <c r="J340">
        <v>0</v>
      </c>
      <c r="K340">
        <v>0</v>
      </c>
      <c r="L340">
        <v>6415</v>
      </c>
      <c r="M340">
        <v>74</v>
      </c>
      <c r="N340">
        <v>1</v>
      </c>
      <c r="O340">
        <v>243</v>
      </c>
      <c r="P340">
        <v>0</v>
      </c>
      <c r="Q340">
        <v>0</v>
      </c>
      <c r="R340">
        <v>702</v>
      </c>
      <c r="S340">
        <v>230</v>
      </c>
      <c r="T340">
        <v>4180</v>
      </c>
      <c r="U340">
        <v>0</v>
      </c>
      <c r="V340">
        <v>0</v>
      </c>
      <c r="W340">
        <v>3716</v>
      </c>
      <c r="X340">
        <f>NHS_AE_2024_2025[[#This Row],[A&amp;E attendances Type 1]]+
NHS_AE_2024_2025[[#This Row],[A&amp;E attendances Type 2]]+
NHS_AE_2024_2025[[#This Row],[A&amp;E attendances Other A&amp;E Department]]</f>
        <v>16173</v>
      </c>
      <c r="Y340">
        <f t="shared" si="10"/>
        <v>6490</v>
      </c>
      <c r="Z340">
        <f t="shared" si="11"/>
        <v>7896</v>
      </c>
    </row>
    <row r="341" spans="1:26" x14ac:dyDescent="0.2">
      <c r="A341" t="s">
        <v>427</v>
      </c>
      <c r="B341" t="s">
        <v>428</v>
      </c>
      <c r="C341" t="s">
        <v>172</v>
      </c>
      <c r="D341" t="s">
        <v>37</v>
      </c>
      <c r="E341" t="s">
        <v>173</v>
      </c>
      <c r="F341">
        <v>8411</v>
      </c>
      <c r="G341">
        <v>0</v>
      </c>
      <c r="H341">
        <v>2403</v>
      </c>
      <c r="I341">
        <v>1913</v>
      </c>
      <c r="J341">
        <v>0</v>
      </c>
      <c r="K341">
        <v>1162</v>
      </c>
      <c r="L341">
        <v>2960</v>
      </c>
      <c r="M341">
        <v>0</v>
      </c>
      <c r="N341">
        <v>13</v>
      </c>
      <c r="O341">
        <v>0</v>
      </c>
      <c r="P341">
        <v>0</v>
      </c>
      <c r="Q341">
        <v>0</v>
      </c>
      <c r="R341">
        <v>239</v>
      </c>
      <c r="S341">
        <v>4</v>
      </c>
      <c r="T341">
        <v>2971</v>
      </c>
      <c r="U341">
        <v>0</v>
      </c>
      <c r="V341">
        <v>0</v>
      </c>
      <c r="W341">
        <v>596</v>
      </c>
      <c r="X341">
        <f>NHS_AE_2024_2025[[#This Row],[A&amp;E attendances Type 1]]+
NHS_AE_2024_2025[[#This Row],[A&amp;E attendances Type 2]]+
NHS_AE_2024_2025[[#This Row],[A&amp;E attendances Other A&amp;E Department]]</f>
        <v>10814</v>
      </c>
      <c r="Y341">
        <f t="shared" si="10"/>
        <v>2973</v>
      </c>
      <c r="Z341">
        <f t="shared" si="11"/>
        <v>3567</v>
      </c>
    </row>
    <row r="342" spans="1:26" x14ac:dyDescent="0.2">
      <c r="A342" t="s">
        <v>427</v>
      </c>
      <c r="B342" t="s">
        <v>428</v>
      </c>
      <c r="C342" t="s">
        <v>214</v>
      </c>
      <c r="D342" t="s">
        <v>55</v>
      </c>
      <c r="E342" t="s">
        <v>215</v>
      </c>
      <c r="F342">
        <v>11392</v>
      </c>
      <c r="G342">
        <v>0</v>
      </c>
      <c r="H342">
        <v>3432</v>
      </c>
      <c r="I342">
        <v>140</v>
      </c>
      <c r="J342">
        <v>0</v>
      </c>
      <c r="K342">
        <v>35</v>
      </c>
      <c r="L342">
        <v>4112</v>
      </c>
      <c r="M342">
        <v>0</v>
      </c>
      <c r="N342">
        <v>67</v>
      </c>
      <c r="O342">
        <v>21</v>
      </c>
      <c r="P342">
        <v>0</v>
      </c>
      <c r="Q342">
        <v>0</v>
      </c>
      <c r="R342">
        <v>1029</v>
      </c>
      <c r="S342">
        <v>299</v>
      </c>
      <c r="T342">
        <v>3076</v>
      </c>
      <c r="U342">
        <v>0</v>
      </c>
      <c r="V342">
        <v>80</v>
      </c>
      <c r="W342">
        <v>1095</v>
      </c>
      <c r="X342">
        <f>NHS_AE_2024_2025[[#This Row],[A&amp;E attendances Type 1]]+
NHS_AE_2024_2025[[#This Row],[A&amp;E attendances Type 2]]+
NHS_AE_2024_2025[[#This Row],[A&amp;E attendances Other A&amp;E Department]]</f>
        <v>14824</v>
      </c>
      <c r="Y342">
        <f t="shared" si="10"/>
        <v>4179</v>
      </c>
      <c r="Z342">
        <f t="shared" si="11"/>
        <v>4251</v>
      </c>
    </row>
    <row r="343" spans="1:26" x14ac:dyDescent="0.2">
      <c r="A343" t="s">
        <v>427</v>
      </c>
      <c r="B343" t="s">
        <v>428</v>
      </c>
      <c r="C343" t="s">
        <v>216</v>
      </c>
      <c r="D343" t="s">
        <v>55</v>
      </c>
      <c r="E343" t="s">
        <v>217</v>
      </c>
      <c r="F343">
        <v>12519</v>
      </c>
      <c r="G343">
        <v>0</v>
      </c>
      <c r="H343">
        <v>9583</v>
      </c>
      <c r="I343">
        <v>0</v>
      </c>
      <c r="J343">
        <v>0</v>
      </c>
      <c r="K343">
        <v>0</v>
      </c>
      <c r="L343">
        <v>4131</v>
      </c>
      <c r="M343">
        <v>0</v>
      </c>
      <c r="N343">
        <v>385</v>
      </c>
      <c r="O343">
        <v>0</v>
      </c>
      <c r="P343">
        <v>0</v>
      </c>
      <c r="Q343">
        <v>0</v>
      </c>
      <c r="R343">
        <v>767</v>
      </c>
      <c r="S343">
        <v>713</v>
      </c>
      <c r="T343">
        <v>4075</v>
      </c>
      <c r="U343">
        <v>0</v>
      </c>
      <c r="V343">
        <v>92</v>
      </c>
      <c r="W343">
        <v>1386</v>
      </c>
      <c r="X343">
        <f>NHS_AE_2024_2025[[#This Row],[A&amp;E attendances Type 1]]+
NHS_AE_2024_2025[[#This Row],[A&amp;E attendances Type 2]]+
NHS_AE_2024_2025[[#This Row],[A&amp;E attendances Other A&amp;E Department]]</f>
        <v>22102</v>
      </c>
      <c r="Y343">
        <f t="shared" si="10"/>
        <v>4516</v>
      </c>
      <c r="Z343">
        <f t="shared" si="11"/>
        <v>5553</v>
      </c>
    </row>
    <row r="344" spans="1:26" x14ac:dyDescent="0.2">
      <c r="A344" t="s">
        <v>427</v>
      </c>
      <c r="B344" t="s">
        <v>428</v>
      </c>
      <c r="C344" t="s">
        <v>54</v>
      </c>
      <c r="D344" t="s">
        <v>55</v>
      </c>
      <c r="E344" t="s">
        <v>56</v>
      </c>
      <c r="F344">
        <v>0</v>
      </c>
      <c r="G344">
        <v>0</v>
      </c>
      <c r="H344">
        <v>4431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92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f>NHS_AE_2024_2025[[#This Row],[A&amp;E attendances Type 1]]+
NHS_AE_2024_2025[[#This Row],[A&amp;E attendances Type 2]]+
NHS_AE_2024_2025[[#This Row],[A&amp;E attendances Other A&amp;E Department]]</f>
        <v>4431</v>
      </c>
      <c r="Y344">
        <f t="shared" si="10"/>
        <v>92</v>
      </c>
      <c r="Z344">
        <f t="shared" si="11"/>
        <v>0</v>
      </c>
    </row>
    <row r="345" spans="1:26" x14ac:dyDescent="0.2">
      <c r="A345" t="s">
        <v>427</v>
      </c>
      <c r="B345" t="s">
        <v>428</v>
      </c>
      <c r="C345" t="s">
        <v>356</v>
      </c>
      <c r="D345" t="s">
        <v>32</v>
      </c>
      <c r="E345" t="s">
        <v>357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8</v>
      </c>
      <c r="W345">
        <v>70</v>
      </c>
      <c r="X345">
        <f>NHS_AE_2024_2025[[#This Row],[A&amp;E attendances Type 1]]+
NHS_AE_2024_2025[[#This Row],[A&amp;E attendances Type 2]]+
NHS_AE_2024_2025[[#This Row],[A&amp;E attendances Other A&amp;E Department]]</f>
        <v>0</v>
      </c>
      <c r="Y345">
        <f t="shared" si="10"/>
        <v>0</v>
      </c>
      <c r="Z345">
        <f t="shared" si="11"/>
        <v>78</v>
      </c>
    </row>
    <row r="346" spans="1:26" x14ac:dyDescent="0.2">
      <c r="A346" t="s">
        <v>427</v>
      </c>
      <c r="B346" t="s">
        <v>428</v>
      </c>
      <c r="C346" t="s">
        <v>276</v>
      </c>
      <c r="D346" t="s">
        <v>37</v>
      </c>
      <c r="E346" t="s">
        <v>277</v>
      </c>
      <c r="F346">
        <v>21299</v>
      </c>
      <c r="G346">
        <v>1537</v>
      </c>
      <c r="H346">
        <v>5156</v>
      </c>
      <c r="I346">
        <v>1364</v>
      </c>
      <c r="J346">
        <v>0</v>
      </c>
      <c r="K346">
        <v>1168</v>
      </c>
      <c r="L346">
        <v>8909</v>
      </c>
      <c r="M346">
        <v>26</v>
      </c>
      <c r="N346">
        <v>583</v>
      </c>
      <c r="O346">
        <v>443</v>
      </c>
      <c r="P346">
        <v>0</v>
      </c>
      <c r="Q346">
        <v>26</v>
      </c>
      <c r="R346">
        <v>1561</v>
      </c>
      <c r="S346">
        <v>1108</v>
      </c>
      <c r="T346">
        <v>8163</v>
      </c>
      <c r="U346">
        <v>35</v>
      </c>
      <c r="V346">
        <v>43</v>
      </c>
      <c r="W346">
        <v>1373</v>
      </c>
      <c r="X346">
        <f>NHS_AE_2024_2025[[#This Row],[A&amp;E attendances Type 1]]+
NHS_AE_2024_2025[[#This Row],[A&amp;E attendances Type 2]]+
NHS_AE_2024_2025[[#This Row],[A&amp;E attendances Other A&amp;E Department]]</f>
        <v>27992</v>
      </c>
      <c r="Y346">
        <f t="shared" si="10"/>
        <v>9518</v>
      </c>
      <c r="Z346">
        <f t="shared" si="11"/>
        <v>9614</v>
      </c>
    </row>
    <row r="347" spans="1:26" x14ac:dyDescent="0.2">
      <c r="A347" t="s">
        <v>427</v>
      </c>
      <c r="B347" t="s">
        <v>428</v>
      </c>
      <c r="C347" t="s">
        <v>186</v>
      </c>
      <c r="D347" t="s">
        <v>26</v>
      </c>
      <c r="E347" t="s">
        <v>187</v>
      </c>
      <c r="F347">
        <v>13227</v>
      </c>
      <c r="G347">
        <v>0</v>
      </c>
      <c r="H347">
        <v>5108</v>
      </c>
      <c r="I347">
        <v>0</v>
      </c>
      <c r="J347">
        <v>0</v>
      </c>
      <c r="K347">
        <v>0</v>
      </c>
      <c r="L347">
        <v>4636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520</v>
      </c>
      <c r="S347">
        <v>34</v>
      </c>
      <c r="T347">
        <v>4203</v>
      </c>
      <c r="U347">
        <v>6</v>
      </c>
      <c r="V347">
        <v>0</v>
      </c>
      <c r="W347">
        <v>2250</v>
      </c>
      <c r="X347">
        <f>NHS_AE_2024_2025[[#This Row],[A&amp;E attendances Type 1]]+
NHS_AE_2024_2025[[#This Row],[A&amp;E attendances Type 2]]+
NHS_AE_2024_2025[[#This Row],[A&amp;E attendances Other A&amp;E Department]]</f>
        <v>18335</v>
      </c>
      <c r="Y347">
        <f t="shared" si="10"/>
        <v>4636</v>
      </c>
      <c r="Z347">
        <f t="shared" si="11"/>
        <v>6459</v>
      </c>
    </row>
    <row r="348" spans="1:26" x14ac:dyDescent="0.2">
      <c r="A348" t="s">
        <v>427</v>
      </c>
      <c r="B348" t="s">
        <v>428</v>
      </c>
      <c r="C348" t="s">
        <v>396</v>
      </c>
      <c r="D348" t="s">
        <v>29</v>
      </c>
      <c r="E348" t="s">
        <v>397</v>
      </c>
      <c r="F348">
        <v>5660</v>
      </c>
      <c r="G348">
        <v>0</v>
      </c>
      <c r="H348">
        <v>6238</v>
      </c>
      <c r="I348">
        <v>0</v>
      </c>
      <c r="J348">
        <v>0</v>
      </c>
      <c r="K348">
        <v>0</v>
      </c>
      <c r="L348">
        <v>3220</v>
      </c>
      <c r="M348">
        <v>0</v>
      </c>
      <c r="N348">
        <v>124</v>
      </c>
      <c r="O348">
        <v>0</v>
      </c>
      <c r="P348">
        <v>0</v>
      </c>
      <c r="Q348">
        <v>0</v>
      </c>
      <c r="R348">
        <v>280</v>
      </c>
      <c r="S348">
        <v>10</v>
      </c>
      <c r="T348">
        <v>2589</v>
      </c>
      <c r="U348">
        <v>0</v>
      </c>
      <c r="V348">
        <v>0</v>
      </c>
      <c r="W348">
        <v>207</v>
      </c>
      <c r="X348">
        <f>NHS_AE_2024_2025[[#This Row],[A&amp;E attendances Type 1]]+
NHS_AE_2024_2025[[#This Row],[A&amp;E attendances Type 2]]+
NHS_AE_2024_2025[[#This Row],[A&amp;E attendances Other A&amp;E Department]]</f>
        <v>11898</v>
      </c>
      <c r="Y348">
        <f t="shared" si="10"/>
        <v>3344</v>
      </c>
      <c r="Z348">
        <f t="shared" si="11"/>
        <v>2796</v>
      </c>
    </row>
    <row r="349" spans="1:26" x14ac:dyDescent="0.2">
      <c r="A349" t="s">
        <v>427</v>
      </c>
      <c r="B349" t="s">
        <v>428</v>
      </c>
      <c r="C349" t="s">
        <v>380</v>
      </c>
      <c r="D349" t="s">
        <v>55</v>
      </c>
      <c r="E349" t="s">
        <v>381</v>
      </c>
      <c r="F349">
        <v>15686</v>
      </c>
      <c r="G349">
        <v>0</v>
      </c>
      <c r="H349">
        <v>6746</v>
      </c>
      <c r="I349">
        <v>426</v>
      </c>
      <c r="J349">
        <v>0</v>
      </c>
      <c r="K349">
        <v>0</v>
      </c>
      <c r="L349">
        <v>5312</v>
      </c>
      <c r="M349">
        <v>0</v>
      </c>
      <c r="N349">
        <v>41</v>
      </c>
      <c r="O349">
        <v>46</v>
      </c>
      <c r="P349">
        <v>0</v>
      </c>
      <c r="Q349">
        <v>0</v>
      </c>
      <c r="R349">
        <v>718</v>
      </c>
      <c r="S349">
        <v>298</v>
      </c>
      <c r="T349">
        <v>6935</v>
      </c>
      <c r="U349">
        <v>0</v>
      </c>
      <c r="V349">
        <v>0</v>
      </c>
      <c r="W349">
        <v>587</v>
      </c>
      <c r="X349">
        <f>NHS_AE_2024_2025[[#This Row],[A&amp;E attendances Type 1]]+
NHS_AE_2024_2025[[#This Row],[A&amp;E attendances Type 2]]+
NHS_AE_2024_2025[[#This Row],[A&amp;E attendances Other A&amp;E Department]]</f>
        <v>22432</v>
      </c>
      <c r="Y349">
        <f t="shared" si="10"/>
        <v>5353</v>
      </c>
      <c r="Z349">
        <f t="shared" si="11"/>
        <v>7522</v>
      </c>
    </row>
    <row r="350" spans="1:26" x14ac:dyDescent="0.2">
      <c r="A350" t="s">
        <v>427</v>
      </c>
      <c r="B350" t="s">
        <v>428</v>
      </c>
      <c r="C350" t="s">
        <v>150</v>
      </c>
      <c r="D350" t="s">
        <v>55</v>
      </c>
      <c r="E350" t="s">
        <v>151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767</v>
      </c>
      <c r="X350">
        <f>NHS_AE_2024_2025[[#This Row],[A&amp;E attendances Type 1]]+
NHS_AE_2024_2025[[#This Row],[A&amp;E attendances Type 2]]+
NHS_AE_2024_2025[[#This Row],[A&amp;E attendances Other A&amp;E Department]]</f>
        <v>0</v>
      </c>
      <c r="Y350">
        <f t="shared" si="10"/>
        <v>0</v>
      </c>
      <c r="Z350">
        <f t="shared" si="11"/>
        <v>767</v>
      </c>
    </row>
    <row r="351" spans="1:26" x14ac:dyDescent="0.2">
      <c r="A351" t="s">
        <v>427</v>
      </c>
      <c r="B351" t="s">
        <v>428</v>
      </c>
      <c r="C351" t="s">
        <v>238</v>
      </c>
      <c r="D351" t="s">
        <v>50</v>
      </c>
      <c r="E351" t="s">
        <v>239</v>
      </c>
      <c r="F351">
        <v>10260</v>
      </c>
      <c r="G351">
        <v>359</v>
      </c>
      <c r="H351">
        <v>6792</v>
      </c>
      <c r="I351">
        <v>0</v>
      </c>
      <c r="J351">
        <v>0</v>
      </c>
      <c r="K351">
        <v>0</v>
      </c>
      <c r="L351">
        <v>5736</v>
      </c>
      <c r="M351">
        <v>0</v>
      </c>
      <c r="N351">
        <v>221</v>
      </c>
      <c r="O351">
        <v>0</v>
      </c>
      <c r="P351">
        <v>0</v>
      </c>
      <c r="Q351">
        <v>0</v>
      </c>
      <c r="R351">
        <v>830</v>
      </c>
      <c r="S351">
        <v>388</v>
      </c>
      <c r="T351">
        <v>4485</v>
      </c>
      <c r="U351">
        <v>0</v>
      </c>
      <c r="V351">
        <v>0</v>
      </c>
      <c r="W351">
        <v>1351</v>
      </c>
      <c r="X351">
        <f>NHS_AE_2024_2025[[#This Row],[A&amp;E attendances Type 1]]+
NHS_AE_2024_2025[[#This Row],[A&amp;E attendances Type 2]]+
NHS_AE_2024_2025[[#This Row],[A&amp;E attendances Other A&amp;E Department]]</f>
        <v>17411</v>
      </c>
      <c r="Y351">
        <f t="shared" si="10"/>
        <v>5957</v>
      </c>
      <c r="Z351">
        <f t="shared" si="11"/>
        <v>5836</v>
      </c>
    </row>
    <row r="352" spans="1:26" x14ac:dyDescent="0.2">
      <c r="A352" t="s">
        <v>427</v>
      </c>
      <c r="B352" t="s">
        <v>428</v>
      </c>
      <c r="C352" t="s">
        <v>400</v>
      </c>
      <c r="D352" t="s">
        <v>50</v>
      </c>
      <c r="E352" t="s">
        <v>401</v>
      </c>
      <c r="F352">
        <v>4834</v>
      </c>
      <c r="G352">
        <v>0</v>
      </c>
      <c r="H352">
        <v>1047</v>
      </c>
      <c r="I352">
        <v>294</v>
      </c>
      <c r="J352">
        <v>0</v>
      </c>
      <c r="K352">
        <v>32</v>
      </c>
      <c r="L352">
        <v>1229</v>
      </c>
      <c r="M352">
        <v>0</v>
      </c>
      <c r="N352">
        <v>0</v>
      </c>
      <c r="O352">
        <v>40</v>
      </c>
      <c r="P352">
        <v>0</v>
      </c>
      <c r="Q352">
        <v>0</v>
      </c>
      <c r="R352">
        <v>212</v>
      </c>
      <c r="S352">
        <v>4</v>
      </c>
      <c r="T352">
        <v>1055</v>
      </c>
      <c r="U352">
        <v>0</v>
      </c>
      <c r="V352">
        <v>0</v>
      </c>
      <c r="W352">
        <v>240</v>
      </c>
      <c r="X352">
        <f>NHS_AE_2024_2025[[#This Row],[A&amp;E attendances Type 1]]+
NHS_AE_2024_2025[[#This Row],[A&amp;E attendances Type 2]]+
NHS_AE_2024_2025[[#This Row],[A&amp;E attendances Other A&amp;E Department]]</f>
        <v>5881</v>
      </c>
      <c r="Y352">
        <f t="shared" si="10"/>
        <v>1229</v>
      </c>
      <c r="Z352">
        <f t="shared" si="11"/>
        <v>1295</v>
      </c>
    </row>
    <row r="353" spans="1:26" x14ac:dyDescent="0.2">
      <c r="A353" t="s">
        <v>427</v>
      </c>
      <c r="B353" t="s">
        <v>428</v>
      </c>
      <c r="C353" t="s">
        <v>296</v>
      </c>
      <c r="D353" t="s">
        <v>70</v>
      </c>
      <c r="E353" t="s">
        <v>297</v>
      </c>
      <c r="F353">
        <v>14589</v>
      </c>
      <c r="G353">
        <v>0</v>
      </c>
      <c r="H353">
        <v>11577</v>
      </c>
      <c r="I353">
        <v>768</v>
      </c>
      <c r="J353">
        <v>0</v>
      </c>
      <c r="K353">
        <v>282</v>
      </c>
      <c r="L353">
        <v>6004</v>
      </c>
      <c r="M353">
        <v>0</v>
      </c>
      <c r="N353">
        <v>90</v>
      </c>
      <c r="O353">
        <v>0</v>
      </c>
      <c r="P353">
        <v>0</v>
      </c>
      <c r="Q353">
        <v>0</v>
      </c>
      <c r="R353">
        <v>931</v>
      </c>
      <c r="S353">
        <v>120</v>
      </c>
      <c r="T353">
        <v>6315</v>
      </c>
      <c r="U353">
        <v>0</v>
      </c>
      <c r="V353">
        <v>333</v>
      </c>
      <c r="W353">
        <v>891</v>
      </c>
      <c r="X353">
        <f>NHS_AE_2024_2025[[#This Row],[A&amp;E attendances Type 1]]+
NHS_AE_2024_2025[[#This Row],[A&amp;E attendances Type 2]]+
NHS_AE_2024_2025[[#This Row],[A&amp;E attendances Other A&amp;E Department]]</f>
        <v>26166</v>
      </c>
      <c r="Y353">
        <f t="shared" si="10"/>
        <v>6094</v>
      </c>
      <c r="Z353">
        <f t="shared" si="11"/>
        <v>7539</v>
      </c>
    </row>
    <row r="354" spans="1:26" x14ac:dyDescent="0.2">
      <c r="A354" t="s">
        <v>427</v>
      </c>
      <c r="B354" t="s">
        <v>428</v>
      </c>
      <c r="C354" t="s">
        <v>122</v>
      </c>
      <c r="D354" t="s">
        <v>50</v>
      </c>
      <c r="E354" t="s">
        <v>123</v>
      </c>
      <c r="F354">
        <v>8118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2552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337</v>
      </c>
      <c r="S354">
        <v>0</v>
      </c>
      <c r="T354">
        <v>1904</v>
      </c>
      <c r="U354">
        <v>0</v>
      </c>
      <c r="V354">
        <v>0</v>
      </c>
      <c r="W354">
        <v>344</v>
      </c>
      <c r="X354">
        <f>NHS_AE_2024_2025[[#This Row],[A&amp;E attendances Type 1]]+
NHS_AE_2024_2025[[#This Row],[A&amp;E attendances Type 2]]+
NHS_AE_2024_2025[[#This Row],[A&amp;E attendances Other A&amp;E Department]]</f>
        <v>8118</v>
      </c>
      <c r="Y354">
        <f t="shared" si="10"/>
        <v>2552</v>
      </c>
      <c r="Z354">
        <f t="shared" si="11"/>
        <v>2248</v>
      </c>
    </row>
    <row r="355" spans="1:26" x14ac:dyDescent="0.2">
      <c r="A355" t="s">
        <v>427</v>
      </c>
      <c r="B355" t="s">
        <v>428</v>
      </c>
      <c r="C355" t="s">
        <v>298</v>
      </c>
      <c r="D355" t="s">
        <v>32</v>
      </c>
      <c r="E355" t="s">
        <v>299</v>
      </c>
      <c r="F355">
        <v>7088</v>
      </c>
      <c r="G355">
        <v>0</v>
      </c>
      <c r="H355">
        <v>1456</v>
      </c>
      <c r="I355">
        <v>185</v>
      </c>
      <c r="J355">
        <v>0</v>
      </c>
      <c r="K355">
        <v>90</v>
      </c>
      <c r="L355">
        <v>3150</v>
      </c>
      <c r="M355">
        <v>0</v>
      </c>
      <c r="N355">
        <v>126</v>
      </c>
      <c r="O355">
        <v>71</v>
      </c>
      <c r="P355">
        <v>0</v>
      </c>
      <c r="Q355">
        <v>9</v>
      </c>
      <c r="R355">
        <v>756</v>
      </c>
      <c r="S355">
        <v>57</v>
      </c>
      <c r="T355">
        <v>2644</v>
      </c>
      <c r="U355">
        <v>0</v>
      </c>
      <c r="V355">
        <v>275</v>
      </c>
      <c r="W355">
        <v>563</v>
      </c>
      <c r="X355">
        <f>NHS_AE_2024_2025[[#This Row],[A&amp;E attendances Type 1]]+
NHS_AE_2024_2025[[#This Row],[A&amp;E attendances Type 2]]+
NHS_AE_2024_2025[[#This Row],[A&amp;E attendances Other A&amp;E Department]]</f>
        <v>8544</v>
      </c>
      <c r="Y355">
        <f t="shared" si="10"/>
        <v>3276</v>
      </c>
      <c r="Z355">
        <f t="shared" si="11"/>
        <v>3482</v>
      </c>
    </row>
    <row r="356" spans="1:26" x14ac:dyDescent="0.2">
      <c r="A356" t="s">
        <v>427</v>
      </c>
      <c r="B356" t="s">
        <v>428</v>
      </c>
      <c r="C356" t="s">
        <v>244</v>
      </c>
      <c r="D356" t="s">
        <v>70</v>
      </c>
      <c r="E356" t="s">
        <v>245</v>
      </c>
      <c r="F356">
        <v>13526</v>
      </c>
      <c r="G356">
        <v>0</v>
      </c>
      <c r="H356">
        <v>4324</v>
      </c>
      <c r="I356">
        <v>250</v>
      </c>
      <c r="J356">
        <v>0</v>
      </c>
      <c r="K356">
        <v>466</v>
      </c>
      <c r="L356">
        <v>4683</v>
      </c>
      <c r="M356">
        <v>0</v>
      </c>
      <c r="N356">
        <v>98</v>
      </c>
      <c r="O356">
        <v>73</v>
      </c>
      <c r="P356">
        <v>0</v>
      </c>
      <c r="Q356">
        <v>6</v>
      </c>
      <c r="R356">
        <v>604</v>
      </c>
      <c r="S356">
        <v>559</v>
      </c>
      <c r="T356">
        <v>3517</v>
      </c>
      <c r="U356">
        <v>0</v>
      </c>
      <c r="V356">
        <v>54</v>
      </c>
      <c r="W356">
        <v>1252</v>
      </c>
      <c r="X356">
        <f>NHS_AE_2024_2025[[#This Row],[A&amp;E attendances Type 1]]+
NHS_AE_2024_2025[[#This Row],[A&amp;E attendances Type 2]]+
NHS_AE_2024_2025[[#This Row],[A&amp;E attendances Other A&amp;E Department]]</f>
        <v>17850</v>
      </c>
      <c r="Y356">
        <f t="shared" si="10"/>
        <v>4781</v>
      </c>
      <c r="Z356">
        <f t="shared" si="11"/>
        <v>4823</v>
      </c>
    </row>
    <row r="357" spans="1:26" x14ac:dyDescent="0.2">
      <c r="A357" t="s">
        <v>427</v>
      </c>
      <c r="B357" t="s">
        <v>428</v>
      </c>
      <c r="C357" t="s">
        <v>246</v>
      </c>
      <c r="D357" t="s">
        <v>70</v>
      </c>
      <c r="E357" t="s">
        <v>247</v>
      </c>
      <c r="F357">
        <v>10138</v>
      </c>
      <c r="G357">
        <v>0</v>
      </c>
      <c r="H357">
        <v>5640</v>
      </c>
      <c r="I357">
        <v>283</v>
      </c>
      <c r="J357">
        <v>0</v>
      </c>
      <c r="K357">
        <v>337</v>
      </c>
      <c r="L357">
        <v>4471</v>
      </c>
      <c r="M357">
        <v>0</v>
      </c>
      <c r="N357">
        <v>61</v>
      </c>
      <c r="O357">
        <v>83</v>
      </c>
      <c r="P357">
        <v>0</v>
      </c>
      <c r="Q357">
        <v>5</v>
      </c>
      <c r="R357">
        <v>595</v>
      </c>
      <c r="S357">
        <v>245</v>
      </c>
      <c r="T357">
        <v>2740</v>
      </c>
      <c r="U357">
        <v>0</v>
      </c>
      <c r="V357">
        <v>34</v>
      </c>
      <c r="W357">
        <v>451</v>
      </c>
      <c r="X357">
        <f>NHS_AE_2024_2025[[#This Row],[A&amp;E attendances Type 1]]+
NHS_AE_2024_2025[[#This Row],[A&amp;E attendances Type 2]]+
NHS_AE_2024_2025[[#This Row],[A&amp;E attendances Other A&amp;E Department]]</f>
        <v>15778</v>
      </c>
      <c r="Y357">
        <f t="shared" si="10"/>
        <v>4532</v>
      </c>
      <c r="Z357">
        <f t="shared" si="11"/>
        <v>3225</v>
      </c>
    </row>
    <row r="358" spans="1:26" x14ac:dyDescent="0.2">
      <c r="A358" t="s">
        <v>427</v>
      </c>
      <c r="B358" t="s">
        <v>428</v>
      </c>
      <c r="C358" t="s">
        <v>382</v>
      </c>
      <c r="D358" t="s">
        <v>26</v>
      </c>
      <c r="E358" t="s">
        <v>383</v>
      </c>
      <c r="F358">
        <v>12836</v>
      </c>
      <c r="G358">
        <v>0</v>
      </c>
      <c r="H358">
        <v>9360</v>
      </c>
      <c r="I358">
        <v>0</v>
      </c>
      <c r="J358">
        <v>0</v>
      </c>
      <c r="K358">
        <v>1</v>
      </c>
      <c r="L358">
        <v>4814</v>
      </c>
      <c r="M358">
        <v>0</v>
      </c>
      <c r="N358">
        <v>141</v>
      </c>
      <c r="O358">
        <v>0</v>
      </c>
      <c r="P358">
        <v>0</v>
      </c>
      <c r="Q358">
        <v>0</v>
      </c>
      <c r="R358">
        <v>322</v>
      </c>
      <c r="S358">
        <v>38</v>
      </c>
      <c r="T358">
        <v>3088</v>
      </c>
      <c r="U358">
        <v>0</v>
      </c>
      <c r="V358">
        <v>0</v>
      </c>
      <c r="W358">
        <v>2011</v>
      </c>
      <c r="X358">
        <f>NHS_AE_2024_2025[[#This Row],[A&amp;E attendances Type 1]]+
NHS_AE_2024_2025[[#This Row],[A&amp;E attendances Type 2]]+
NHS_AE_2024_2025[[#This Row],[A&amp;E attendances Other A&amp;E Department]]</f>
        <v>22196</v>
      </c>
      <c r="Y358">
        <f t="shared" si="10"/>
        <v>4955</v>
      </c>
      <c r="Z358">
        <f t="shared" si="11"/>
        <v>5099</v>
      </c>
    </row>
    <row r="359" spans="1:26" x14ac:dyDescent="0.2">
      <c r="A359" t="s">
        <v>427</v>
      </c>
      <c r="B359" t="s">
        <v>428</v>
      </c>
      <c r="C359" t="s">
        <v>368</v>
      </c>
      <c r="D359" t="s">
        <v>50</v>
      </c>
      <c r="E359" t="s">
        <v>369</v>
      </c>
      <c r="F359">
        <v>8861</v>
      </c>
      <c r="G359">
        <v>1132</v>
      </c>
      <c r="H359">
        <v>6642</v>
      </c>
      <c r="I359">
        <v>370</v>
      </c>
      <c r="J359">
        <v>1</v>
      </c>
      <c r="K359">
        <v>985</v>
      </c>
      <c r="L359">
        <v>4351</v>
      </c>
      <c r="M359">
        <v>0</v>
      </c>
      <c r="N359">
        <v>88</v>
      </c>
      <c r="O359">
        <v>151</v>
      </c>
      <c r="P359">
        <v>0</v>
      </c>
      <c r="Q359">
        <v>4</v>
      </c>
      <c r="R359">
        <v>1097</v>
      </c>
      <c r="S359">
        <v>13</v>
      </c>
      <c r="T359">
        <v>3514</v>
      </c>
      <c r="U359">
        <v>0</v>
      </c>
      <c r="V359">
        <v>0</v>
      </c>
      <c r="W359">
        <v>2968</v>
      </c>
      <c r="X359">
        <f>NHS_AE_2024_2025[[#This Row],[A&amp;E attendances Type 1]]+
NHS_AE_2024_2025[[#This Row],[A&amp;E attendances Type 2]]+
NHS_AE_2024_2025[[#This Row],[A&amp;E attendances Other A&amp;E Department]]</f>
        <v>16635</v>
      </c>
      <c r="Y359">
        <f t="shared" si="10"/>
        <v>4439</v>
      </c>
      <c r="Z359">
        <f t="shared" si="11"/>
        <v>6482</v>
      </c>
    </row>
    <row r="360" spans="1:26" x14ac:dyDescent="0.2">
      <c r="A360" t="s">
        <v>427</v>
      </c>
      <c r="B360" t="s">
        <v>428</v>
      </c>
      <c r="C360" t="s">
        <v>200</v>
      </c>
      <c r="D360" t="s">
        <v>32</v>
      </c>
      <c r="E360" t="s">
        <v>201</v>
      </c>
      <c r="F360">
        <v>12919</v>
      </c>
      <c r="G360">
        <v>433</v>
      </c>
      <c r="H360">
        <v>7598</v>
      </c>
      <c r="I360">
        <v>613</v>
      </c>
      <c r="J360">
        <v>0</v>
      </c>
      <c r="K360">
        <v>515</v>
      </c>
      <c r="L360">
        <v>5675</v>
      </c>
      <c r="M360">
        <v>0</v>
      </c>
      <c r="N360">
        <v>60</v>
      </c>
      <c r="O360">
        <v>219</v>
      </c>
      <c r="P360">
        <v>0</v>
      </c>
      <c r="Q360">
        <v>8</v>
      </c>
      <c r="R360">
        <v>1133</v>
      </c>
      <c r="S360">
        <v>247</v>
      </c>
      <c r="T360">
        <v>4994</v>
      </c>
      <c r="U360">
        <v>0</v>
      </c>
      <c r="V360">
        <v>0</v>
      </c>
      <c r="W360">
        <v>3714</v>
      </c>
      <c r="X360">
        <f>NHS_AE_2024_2025[[#This Row],[A&amp;E attendances Type 1]]+
NHS_AE_2024_2025[[#This Row],[A&amp;E attendances Type 2]]+
NHS_AE_2024_2025[[#This Row],[A&amp;E attendances Other A&amp;E Department]]</f>
        <v>20950</v>
      </c>
      <c r="Y360">
        <f t="shared" si="10"/>
        <v>5735</v>
      </c>
      <c r="Z360">
        <f t="shared" si="11"/>
        <v>8708</v>
      </c>
    </row>
    <row r="361" spans="1:26" x14ac:dyDescent="0.2">
      <c r="A361" t="s">
        <v>427</v>
      </c>
      <c r="B361" t="s">
        <v>428</v>
      </c>
      <c r="C361" t="s">
        <v>312</v>
      </c>
      <c r="D361" t="s">
        <v>32</v>
      </c>
      <c r="E361" t="s">
        <v>313</v>
      </c>
      <c r="F361">
        <v>10799</v>
      </c>
      <c r="G361">
        <v>816</v>
      </c>
      <c r="H361">
        <v>5748</v>
      </c>
      <c r="I361">
        <v>0</v>
      </c>
      <c r="J361">
        <v>0</v>
      </c>
      <c r="K361">
        <v>0</v>
      </c>
      <c r="L361">
        <v>5613</v>
      </c>
      <c r="M361">
        <v>168</v>
      </c>
      <c r="N361">
        <v>146</v>
      </c>
      <c r="O361">
        <v>0</v>
      </c>
      <c r="P361">
        <v>0</v>
      </c>
      <c r="Q361">
        <v>0</v>
      </c>
      <c r="R361">
        <v>108</v>
      </c>
      <c r="S361">
        <v>26</v>
      </c>
      <c r="T361">
        <v>1669</v>
      </c>
      <c r="U361">
        <v>30</v>
      </c>
      <c r="V361">
        <v>150</v>
      </c>
      <c r="W361">
        <v>598</v>
      </c>
      <c r="X361">
        <f>NHS_AE_2024_2025[[#This Row],[A&amp;E attendances Type 1]]+
NHS_AE_2024_2025[[#This Row],[A&amp;E attendances Type 2]]+
NHS_AE_2024_2025[[#This Row],[A&amp;E attendances Other A&amp;E Department]]</f>
        <v>17363</v>
      </c>
      <c r="Y361">
        <f t="shared" si="10"/>
        <v>5927</v>
      </c>
      <c r="Z361">
        <f t="shared" si="11"/>
        <v>2447</v>
      </c>
    </row>
    <row r="362" spans="1:26" x14ac:dyDescent="0.2">
      <c r="A362" t="s">
        <v>427</v>
      </c>
      <c r="B362" t="s">
        <v>428</v>
      </c>
      <c r="C362" t="s">
        <v>372</v>
      </c>
      <c r="D362" t="s">
        <v>29</v>
      </c>
      <c r="E362" t="s">
        <v>373</v>
      </c>
      <c r="F362">
        <v>8979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2440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302</v>
      </c>
      <c r="S362">
        <v>113</v>
      </c>
      <c r="T362">
        <v>983</v>
      </c>
      <c r="U362">
        <v>0</v>
      </c>
      <c r="V362">
        <v>0</v>
      </c>
      <c r="W362">
        <v>38</v>
      </c>
      <c r="X362">
        <f>NHS_AE_2024_2025[[#This Row],[A&amp;E attendances Type 1]]+
NHS_AE_2024_2025[[#This Row],[A&amp;E attendances Type 2]]+
NHS_AE_2024_2025[[#This Row],[A&amp;E attendances Other A&amp;E Department]]</f>
        <v>8979</v>
      </c>
      <c r="Y362">
        <f t="shared" si="10"/>
        <v>2440</v>
      </c>
      <c r="Z362">
        <f t="shared" si="11"/>
        <v>1021</v>
      </c>
    </row>
    <row r="363" spans="1:26" x14ac:dyDescent="0.2">
      <c r="A363" t="s">
        <v>427</v>
      </c>
      <c r="B363" t="s">
        <v>428</v>
      </c>
      <c r="C363" t="s">
        <v>386</v>
      </c>
      <c r="D363" t="s">
        <v>32</v>
      </c>
      <c r="E363" t="s">
        <v>387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22</v>
      </c>
      <c r="X363">
        <f>NHS_AE_2024_2025[[#This Row],[A&amp;E attendances Type 1]]+
NHS_AE_2024_2025[[#This Row],[A&amp;E attendances Type 2]]+
NHS_AE_2024_2025[[#This Row],[A&amp;E attendances Other A&amp;E Department]]</f>
        <v>0</v>
      </c>
      <c r="Y363">
        <f t="shared" si="10"/>
        <v>0</v>
      </c>
      <c r="Z363">
        <f t="shared" si="11"/>
        <v>22</v>
      </c>
    </row>
    <row r="364" spans="1:26" x14ac:dyDescent="0.2">
      <c r="A364" t="s">
        <v>427</v>
      </c>
      <c r="B364" t="s">
        <v>428</v>
      </c>
      <c r="C364" t="s">
        <v>316</v>
      </c>
      <c r="D364" t="s">
        <v>70</v>
      </c>
      <c r="E364" t="s">
        <v>317</v>
      </c>
      <c r="F364">
        <v>12009</v>
      </c>
      <c r="G364">
        <v>0</v>
      </c>
      <c r="H364">
        <v>8937</v>
      </c>
      <c r="I364">
        <v>0</v>
      </c>
      <c r="J364">
        <v>0</v>
      </c>
      <c r="K364">
        <v>0</v>
      </c>
      <c r="L364">
        <v>3719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594</v>
      </c>
      <c r="S364">
        <v>69</v>
      </c>
      <c r="T364">
        <v>2697</v>
      </c>
      <c r="U364">
        <v>0</v>
      </c>
      <c r="V364">
        <v>0</v>
      </c>
      <c r="W364">
        <v>1524</v>
      </c>
      <c r="X364">
        <f>NHS_AE_2024_2025[[#This Row],[A&amp;E attendances Type 1]]+
NHS_AE_2024_2025[[#This Row],[A&amp;E attendances Type 2]]+
NHS_AE_2024_2025[[#This Row],[A&amp;E attendances Other A&amp;E Department]]</f>
        <v>20946</v>
      </c>
      <c r="Y364">
        <f t="shared" si="10"/>
        <v>3720</v>
      </c>
      <c r="Z364">
        <f t="shared" si="11"/>
        <v>4221</v>
      </c>
    </row>
    <row r="365" spans="1:26" x14ac:dyDescent="0.2">
      <c r="A365" t="s">
        <v>427</v>
      </c>
      <c r="B365" t="s">
        <v>428</v>
      </c>
      <c r="C365" t="s">
        <v>318</v>
      </c>
      <c r="D365" t="s">
        <v>55</v>
      </c>
      <c r="E365" t="s">
        <v>319</v>
      </c>
      <c r="F365">
        <v>7648</v>
      </c>
      <c r="G365">
        <v>0</v>
      </c>
      <c r="H365">
        <v>2203</v>
      </c>
      <c r="I365">
        <v>378</v>
      </c>
      <c r="J365">
        <v>0</v>
      </c>
      <c r="K365">
        <v>211</v>
      </c>
      <c r="L365">
        <v>3013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629</v>
      </c>
      <c r="S365">
        <v>97</v>
      </c>
      <c r="T365">
        <v>1721</v>
      </c>
      <c r="U365">
        <v>0</v>
      </c>
      <c r="V365">
        <v>0</v>
      </c>
      <c r="W365">
        <v>326</v>
      </c>
      <c r="X365">
        <f>NHS_AE_2024_2025[[#This Row],[A&amp;E attendances Type 1]]+
NHS_AE_2024_2025[[#This Row],[A&amp;E attendances Type 2]]+
NHS_AE_2024_2025[[#This Row],[A&amp;E attendances Other A&amp;E Department]]</f>
        <v>9851</v>
      </c>
      <c r="Y365">
        <f t="shared" si="10"/>
        <v>3013</v>
      </c>
      <c r="Z365">
        <f t="shared" si="11"/>
        <v>2047</v>
      </c>
    </row>
    <row r="366" spans="1:26" x14ac:dyDescent="0.2">
      <c r="A366" t="s">
        <v>427</v>
      </c>
      <c r="B366" t="s">
        <v>428</v>
      </c>
      <c r="C366" t="s">
        <v>252</v>
      </c>
      <c r="D366" t="s">
        <v>37</v>
      </c>
      <c r="E366" t="s">
        <v>253</v>
      </c>
      <c r="F366">
        <v>11978</v>
      </c>
      <c r="G366">
        <v>104</v>
      </c>
      <c r="H366">
        <v>476</v>
      </c>
      <c r="I366">
        <v>0</v>
      </c>
      <c r="J366">
        <v>0</v>
      </c>
      <c r="K366">
        <v>161</v>
      </c>
      <c r="L366">
        <v>5150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283</v>
      </c>
      <c r="S366">
        <v>20</v>
      </c>
      <c r="T366">
        <v>4148</v>
      </c>
      <c r="U366">
        <v>10</v>
      </c>
      <c r="V366">
        <v>37</v>
      </c>
      <c r="W366">
        <v>1158</v>
      </c>
      <c r="X366">
        <f>NHS_AE_2024_2025[[#This Row],[A&amp;E attendances Type 1]]+
NHS_AE_2024_2025[[#This Row],[A&amp;E attendances Type 2]]+
NHS_AE_2024_2025[[#This Row],[A&amp;E attendances Other A&amp;E Department]]</f>
        <v>12558</v>
      </c>
      <c r="Y366">
        <f t="shared" si="10"/>
        <v>5150</v>
      </c>
      <c r="Z366">
        <f t="shared" si="11"/>
        <v>5353</v>
      </c>
    </row>
    <row r="367" spans="1:26" x14ac:dyDescent="0.2">
      <c r="A367" t="s">
        <v>427</v>
      </c>
      <c r="B367" t="s">
        <v>428</v>
      </c>
      <c r="C367" t="s">
        <v>374</v>
      </c>
      <c r="D367" t="s">
        <v>37</v>
      </c>
      <c r="E367" t="s">
        <v>375</v>
      </c>
      <c r="F367">
        <v>10046</v>
      </c>
      <c r="G367">
        <v>0</v>
      </c>
      <c r="H367">
        <v>3539</v>
      </c>
      <c r="I367">
        <v>0</v>
      </c>
      <c r="J367">
        <v>0</v>
      </c>
      <c r="K367">
        <v>0</v>
      </c>
      <c r="L367">
        <v>2955</v>
      </c>
      <c r="M367">
        <v>0</v>
      </c>
      <c r="N367">
        <v>16</v>
      </c>
      <c r="O367">
        <v>0</v>
      </c>
      <c r="P367">
        <v>0</v>
      </c>
      <c r="Q367">
        <v>0</v>
      </c>
      <c r="R367">
        <v>578</v>
      </c>
      <c r="S367">
        <v>50</v>
      </c>
      <c r="T367">
        <v>2806</v>
      </c>
      <c r="U367">
        <v>0</v>
      </c>
      <c r="V367">
        <v>0</v>
      </c>
      <c r="W367">
        <v>400</v>
      </c>
      <c r="X367">
        <f>NHS_AE_2024_2025[[#This Row],[A&amp;E attendances Type 1]]+
NHS_AE_2024_2025[[#This Row],[A&amp;E attendances Type 2]]+
NHS_AE_2024_2025[[#This Row],[A&amp;E attendances Other A&amp;E Department]]</f>
        <v>13585</v>
      </c>
      <c r="Y367">
        <f t="shared" si="10"/>
        <v>2971</v>
      </c>
      <c r="Z367">
        <f t="shared" si="11"/>
        <v>3206</v>
      </c>
    </row>
    <row r="368" spans="1:26" x14ac:dyDescent="0.2">
      <c r="A368" t="s">
        <v>427</v>
      </c>
      <c r="B368" t="s">
        <v>428</v>
      </c>
      <c r="C368" t="s">
        <v>320</v>
      </c>
      <c r="D368" t="s">
        <v>26</v>
      </c>
      <c r="E368" t="s">
        <v>321</v>
      </c>
      <c r="F368">
        <v>4489</v>
      </c>
      <c r="G368">
        <v>334</v>
      </c>
      <c r="H368">
        <v>1814</v>
      </c>
      <c r="I368">
        <v>176</v>
      </c>
      <c r="J368">
        <v>0</v>
      </c>
      <c r="K368">
        <v>0</v>
      </c>
      <c r="L368">
        <v>1846</v>
      </c>
      <c r="M368">
        <v>0</v>
      </c>
      <c r="N368">
        <v>0</v>
      </c>
      <c r="O368">
        <v>75</v>
      </c>
      <c r="P368">
        <v>0</v>
      </c>
      <c r="Q368">
        <v>0</v>
      </c>
      <c r="R368">
        <v>379</v>
      </c>
      <c r="S368">
        <v>2</v>
      </c>
      <c r="T368">
        <v>1309</v>
      </c>
      <c r="U368">
        <v>0</v>
      </c>
      <c r="V368">
        <v>0</v>
      </c>
      <c r="W368">
        <v>862</v>
      </c>
      <c r="X368">
        <f>NHS_AE_2024_2025[[#This Row],[A&amp;E attendances Type 1]]+
NHS_AE_2024_2025[[#This Row],[A&amp;E attendances Type 2]]+
NHS_AE_2024_2025[[#This Row],[A&amp;E attendances Other A&amp;E Department]]</f>
        <v>6637</v>
      </c>
      <c r="Y368">
        <f t="shared" si="10"/>
        <v>1846</v>
      </c>
      <c r="Z368">
        <f t="shared" si="11"/>
        <v>2171</v>
      </c>
    </row>
    <row r="369" spans="1:26" x14ac:dyDescent="0.2">
      <c r="A369" t="s">
        <v>427</v>
      </c>
      <c r="B369" t="s">
        <v>428</v>
      </c>
      <c r="C369" t="s">
        <v>334</v>
      </c>
      <c r="D369" t="s">
        <v>26</v>
      </c>
      <c r="E369" t="s">
        <v>335</v>
      </c>
      <c r="F369">
        <v>12375</v>
      </c>
      <c r="G369">
        <v>0</v>
      </c>
      <c r="H369">
        <v>0</v>
      </c>
      <c r="I369">
        <v>220</v>
      </c>
      <c r="J369">
        <v>0</v>
      </c>
      <c r="K369">
        <v>0</v>
      </c>
      <c r="L369">
        <v>4612</v>
      </c>
      <c r="M369">
        <v>0</v>
      </c>
      <c r="N369">
        <v>0</v>
      </c>
      <c r="O369">
        <v>61</v>
      </c>
      <c r="P369">
        <v>0</v>
      </c>
      <c r="Q369">
        <v>0</v>
      </c>
      <c r="R369">
        <v>586</v>
      </c>
      <c r="S369">
        <v>394</v>
      </c>
      <c r="T369">
        <v>2569</v>
      </c>
      <c r="U369">
        <v>0</v>
      </c>
      <c r="V369">
        <v>0</v>
      </c>
      <c r="W369">
        <v>1970</v>
      </c>
      <c r="X369">
        <f>NHS_AE_2024_2025[[#This Row],[A&amp;E attendances Type 1]]+
NHS_AE_2024_2025[[#This Row],[A&amp;E attendances Type 2]]+
NHS_AE_2024_2025[[#This Row],[A&amp;E attendances Other A&amp;E Department]]</f>
        <v>12375</v>
      </c>
      <c r="Y369">
        <f t="shared" si="10"/>
        <v>4612</v>
      </c>
      <c r="Z369">
        <f t="shared" si="11"/>
        <v>4539</v>
      </c>
    </row>
    <row r="370" spans="1:26" x14ac:dyDescent="0.2">
      <c r="A370" t="s">
        <v>427</v>
      </c>
      <c r="B370" t="s">
        <v>428</v>
      </c>
      <c r="C370" t="s">
        <v>336</v>
      </c>
      <c r="D370" t="s">
        <v>50</v>
      </c>
      <c r="E370" t="s">
        <v>337</v>
      </c>
      <c r="F370">
        <v>8979</v>
      </c>
      <c r="G370">
        <v>0</v>
      </c>
      <c r="H370">
        <v>12194</v>
      </c>
      <c r="I370">
        <v>0</v>
      </c>
      <c r="J370">
        <v>0</v>
      </c>
      <c r="K370">
        <v>0</v>
      </c>
      <c r="L370">
        <v>1587</v>
      </c>
      <c r="M370">
        <v>0</v>
      </c>
      <c r="N370">
        <v>7</v>
      </c>
      <c r="O370">
        <v>0</v>
      </c>
      <c r="P370">
        <v>0</v>
      </c>
      <c r="Q370">
        <v>0</v>
      </c>
      <c r="R370">
        <v>8</v>
      </c>
      <c r="S370">
        <v>0</v>
      </c>
      <c r="T370">
        <v>4196</v>
      </c>
      <c r="U370">
        <v>0</v>
      </c>
      <c r="V370">
        <v>63</v>
      </c>
      <c r="W370">
        <v>417</v>
      </c>
      <c r="X370">
        <f>NHS_AE_2024_2025[[#This Row],[A&amp;E attendances Type 1]]+
NHS_AE_2024_2025[[#This Row],[A&amp;E attendances Type 2]]+
NHS_AE_2024_2025[[#This Row],[A&amp;E attendances Other A&amp;E Department]]</f>
        <v>21173</v>
      </c>
      <c r="Y370">
        <f t="shared" si="10"/>
        <v>1594</v>
      </c>
      <c r="Z370">
        <f t="shared" si="11"/>
        <v>4676</v>
      </c>
    </row>
    <row r="371" spans="1:26" x14ac:dyDescent="0.2">
      <c r="A371" t="s">
        <v>427</v>
      </c>
      <c r="B371" t="s">
        <v>428</v>
      </c>
      <c r="C371" t="s">
        <v>346</v>
      </c>
      <c r="D371" t="s">
        <v>70</v>
      </c>
      <c r="E371" t="s">
        <v>347</v>
      </c>
      <c r="F371">
        <v>8325</v>
      </c>
      <c r="G371">
        <v>0</v>
      </c>
      <c r="H371">
        <v>6787</v>
      </c>
      <c r="I371">
        <v>0</v>
      </c>
      <c r="J371">
        <v>0</v>
      </c>
      <c r="K371">
        <v>0</v>
      </c>
      <c r="L371">
        <v>3977</v>
      </c>
      <c r="M371">
        <v>0</v>
      </c>
      <c r="N371">
        <v>55</v>
      </c>
      <c r="O371">
        <v>0</v>
      </c>
      <c r="P371">
        <v>0</v>
      </c>
      <c r="Q371">
        <v>0</v>
      </c>
      <c r="R371">
        <v>180</v>
      </c>
      <c r="S371">
        <v>10</v>
      </c>
      <c r="T371">
        <v>3300</v>
      </c>
      <c r="U371">
        <v>0</v>
      </c>
      <c r="V371">
        <v>99</v>
      </c>
      <c r="W371">
        <v>264</v>
      </c>
      <c r="X371">
        <f>NHS_AE_2024_2025[[#This Row],[A&amp;E attendances Type 1]]+
NHS_AE_2024_2025[[#This Row],[A&amp;E attendances Type 2]]+
NHS_AE_2024_2025[[#This Row],[A&amp;E attendances Other A&amp;E Department]]</f>
        <v>15112</v>
      </c>
      <c r="Y371">
        <f t="shared" si="10"/>
        <v>4032</v>
      </c>
      <c r="Z371">
        <f t="shared" si="11"/>
        <v>3663</v>
      </c>
    </row>
    <row r="372" spans="1:26" x14ac:dyDescent="0.2">
      <c r="A372" t="s">
        <v>427</v>
      </c>
      <c r="B372" t="s">
        <v>428</v>
      </c>
      <c r="C372" t="s">
        <v>168</v>
      </c>
      <c r="D372" t="s">
        <v>32</v>
      </c>
      <c r="E372" t="s">
        <v>169</v>
      </c>
      <c r="F372">
        <v>12435</v>
      </c>
      <c r="G372">
        <v>0</v>
      </c>
      <c r="H372">
        <v>6018</v>
      </c>
      <c r="I372">
        <v>193</v>
      </c>
      <c r="J372">
        <v>0</v>
      </c>
      <c r="K372">
        <v>17</v>
      </c>
      <c r="L372">
        <v>5940</v>
      </c>
      <c r="M372">
        <v>0</v>
      </c>
      <c r="N372">
        <v>4</v>
      </c>
      <c r="O372">
        <v>74</v>
      </c>
      <c r="P372">
        <v>0</v>
      </c>
      <c r="Q372">
        <v>0</v>
      </c>
      <c r="R372">
        <v>780</v>
      </c>
      <c r="S372">
        <v>335</v>
      </c>
      <c r="T372">
        <v>3307</v>
      </c>
      <c r="U372">
        <v>0</v>
      </c>
      <c r="V372">
        <v>0</v>
      </c>
      <c r="W372">
        <v>922</v>
      </c>
      <c r="X372">
        <f>NHS_AE_2024_2025[[#This Row],[A&amp;E attendances Type 1]]+
NHS_AE_2024_2025[[#This Row],[A&amp;E attendances Type 2]]+
NHS_AE_2024_2025[[#This Row],[A&amp;E attendances Other A&amp;E Department]]</f>
        <v>18453</v>
      </c>
      <c r="Y372">
        <f t="shared" si="10"/>
        <v>5944</v>
      </c>
      <c r="Z372">
        <f t="shared" si="11"/>
        <v>4229</v>
      </c>
    </row>
    <row r="373" spans="1:26" x14ac:dyDescent="0.2">
      <c r="A373" t="s">
        <v>427</v>
      </c>
      <c r="B373" t="s">
        <v>428</v>
      </c>
      <c r="C373" t="s">
        <v>178</v>
      </c>
      <c r="D373" t="s">
        <v>55</v>
      </c>
      <c r="E373" t="s">
        <v>179</v>
      </c>
      <c r="F373">
        <v>0</v>
      </c>
      <c r="G373">
        <v>0</v>
      </c>
      <c r="H373">
        <v>2856</v>
      </c>
      <c r="I373">
        <v>0</v>
      </c>
      <c r="J373">
        <v>0</v>
      </c>
      <c r="K373">
        <v>160</v>
      </c>
      <c r="L373">
        <v>0</v>
      </c>
      <c r="M373">
        <v>0</v>
      </c>
      <c r="N373">
        <v>35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f>NHS_AE_2024_2025[[#This Row],[A&amp;E attendances Type 1]]+
NHS_AE_2024_2025[[#This Row],[A&amp;E attendances Type 2]]+
NHS_AE_2024_2025[[#This Row],[A&amp;E attendances Other A&amp;E Department]]</f>
        <v>2856</v>
      </c>
      <c r="Y373">
        <f t="shared" si="10"/>
        <v>35</v>
      </c>
      <c r="Z373">
        <f t="shared" si="11"/>
        <v>0</v>
      </c>
    </row>
    <row r="374" spans="1:26" x14ac:dyDescent="0.2">
      <c r="A374" t="s">
        <v>427</v>
      </c>
      <c r="B374" t="s">
        <v>428</v>
      </c>
      <c r="C374" t="s">
        <v>290</v>
      </c>
      <c r="D374" t="s">
        <v>29</v>
      </c>
      <c r="E374" t="s">
        <v>291</v>
      </c>
      <c r="F374">
        <v>7497</v>
      </c>
      <c r="G374">
        <v>446</v>
      </c>
      <c r="H374">
        <v>5804</v>
      </c>
      <c r="I374">
        <v>97</v>
      </c>
      <c r="J374">
        <v>1</v>
      </c>
      <c r="K374">
        <v>120</v>
      </c>
      <c r="L374">
        <v>3764</v>
      </c>
      <c r="M374">
        <v>1</v>
      </c>
      <c r="N374">
        <v>449</v>
      </c>
      <c r="O374">
        <v>39</v>
      </c>
      <c r="P374">
        <v>0</v>
      </c>
      <c r="Q374">
        <v>16</v>
      </c>
      <c r="R374">
        <v>340</v>
      </c>
      <c r="S374">
        <v>742</v>
      </c>
      <c r="T374">
        <v>1373</v>
      </c>
      <c r="U374">
        <v>0</v>
      </c>
      <c r="V374">
        <v>148</v>
      </c>
      <c r="W374">
        <v>73</v>
      </c>
      <c r="X374">
        <f>NHS_AE_2024_2025[[#This Row],[A&amp;E attendances Type 1]]+
NHS_AE_2024_2025[[#This Row],[A&amp;E attendances Type 2]]+
NHS_AE_2024_2025[[#This Row],[A&amp;E attendances Other A&amp;E Department]]</f>
        <v>13747</v>
      </c>
      <c r="Y374">
        <f t="shared" si="10"/>
        <v>4214</v>
      </c>
      <c r="Z374">
        <f t="shared" si="11"/>
        <v>1594</v>
      </c>
    </row>
    <row r="375" spans="1:26" x14ac:dyDescent="0.2">
      <c r="A375" t="s">
        <v>427</v>
      </c>
      <c r="B375" t="s">
        <v>428</v>
      </c>
      <c r="C375" t="s">
        <v>232</v>
      </c>
      <c r="D375" t="s">
        <v>29</v>
      </c>
      <c r="E375" t="s">
        <v>233</v>
      </c>
      <c r="F375">
        <v>6465</v>
      </c>
      <c r="G375">
        <v>0</v>
      </c>
      <c r="H375">
        <v>7507</v>
      </c>
      <c r="I375">
        <v>0</v>
      </c>
      <c r="J375">
        <v>0</v>
      </c>
      <c r="K375">
        <v>0</v>
      </c>
      <c r="L375">
        <v>2705</v>
      </c>
      <c r="M375">
        <v>0</v>
      </c>
      <c r="N375">
        <v>171</v>
      </c>
      <c r="O375">
        <v>0</v>
      </c>
      <c r="P375">
        <v>0</v>
      </c>
      <c r="Q375">
        <v>0</v>
      </c>
      <c r="R375">
        <v>214</v>
      </c>
      <c r="S375">
        <v>343</v>
      </c>
      <c r="T375">
        <v>1935</v>
      </c>
      <c r="U375">
        <v>0</v>
      </c>
      <c r="V375">
        <v>152</v>
      </c>
      <c r="W375">
        <v>469</v>
      </c>
      <c r="X375">
        <f>NHS_AE_2024_2025[[#This Row],[A&amp;E attendances Type 1]]+
NHS_AE_2024_2025[[#This Row],[A&amp;E attendances Type 2]]+
NHS_AE_2024_2025[[#This Row],[A&amp;E attendances Other A&amp;E Department]]</f>
        <v>13972</v>
      </c>
      <c r="Y375">
        <f t="shared" si="10"/>
        <v>2876</v>
      </c>
      <c r="Z375">
        <f t="shared" si="11"/>
        <v>2556</v>
      </c>
    </row>
    <row r="376" spans="1:26" x14ac:dyDescent="0.2">
      <c r="A376" t="s">
        <v>427</v>
      </c>
      <c r="B376" t="s">
        <v>428</v>
      </c>
      <c r="C376" t="s">
        <v>362</v>
      </c>
      <c r="D376" t="s">
        <v>26</v>
      </c>
      <c r="E376" t="s">
        <v>363</v>
      </c>
      <c r="F376">
        <v>8167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3025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560</v>
      </c>
      <c r="S376">
        <v>15</v>
      </c>
      <c r="T376">
        <v>2434</v>
      </c>
      <c r="U376">
        <v>0</v>
      </c>
      <c r="V376">
        <v>7</v>
      </c>
      <c r="W376">
        <v>1471</v>
      </c>
      <c r="X376">
        <f>NHS_AE_2024_2025[[#This Row],[A&amp;E attendances Type 1]]+
NHS_AE_2024_2025[[#This Row],[A&amp;E attendances Type 2]]+
NHS_AE_2024_2025[[#This Row],[A&amp;E attendances Other A&amp;E Department]]</f>
        <v>8167</v>
      </c>
      <c r="Y376">
        <f t="shared" si="10"/>
        <v>3025</v>
      </c>
      <c r="Z376">
        <f t="shared" si="11"/>
        <v>3912</v>
      </c>
    </row>
    <row r="377" spans="1:26" x14ac:dyDescent="0.2">
      <c r="A377" t="s">
        <v>427</v>
      </c>
      <c r="B377" t="s">
        <v>428</v>
      </c>
      <c r="C377" t="s">
        <v>300</v>
      </c>
      <c r="D377" t="s">
        <v>37</v>
      </c>
      <c r="E377" t="s">
        <v>301</v>
      </c>
      <c r="F377">
        <v>11011</v>
      </c>
      <c r="G377">
        <v>1283</v>
      </c>
      <c r="H377">
        <v>0</v>
      </c>
      <c r="I377">
        <v>225</v>
      </c>
      <c r="J377">
        <v>0</v>
      </c>
      <c r="K377">
        <v>0</v>
      </c>
      <c r="L377">
        <v>3616</v>
      </c>
      <c r="M377">
        <v>112</v>
      </c>
      <c r="N377">
        <v>0</v>
      </c>
      <c r="O377">
        <v>42</v>
      </c>
      <c r="P377">
        <v>0</v>
      </c>
      <c r="Q377">
        <v>0</v>
      </c>
      <c r="R377">
        <v>241</v>
      </c>
      <c r="S377">
        <v>6</v>
      </c>
      <c r="T377">
        <v>3770</v>
      </c>
      <c r="U377">
        <v>8</v>
      </c>
      <c r="V377">
        <v>0</v>
      </c>
      <c r="W377">
        <v>1541</v>
      </c>
      <c r="X377">
        <f>NHS_AE_2024_2025[[#This Row],[A&amp;E attendances Type 1]]+
NHS_AE_2024_2025[[#This Row],[A&amp;E attendances Type 2]]+
NHS_AE_2024_2025[[#This Row],[A&amp;E attendances Other A&amp;E Department]]</f>
        <v>12294</v>
      </c>
      <c r="Y377">
        <f t="shared" si="10"/>
        <v>3728</v>
      </c>
      <c r="Z377">
        <f t="shared" si="11"/>
        <v>5319</v>
      </c>
    </row>
    <row r="378" spans="1:26" x14ac:dyDescent="0.2">
      <c r="A378" t="s">
        <v>427</v>
      </c>
      <c r="B378" t="s">
        <v>428</v>
      </c>
      <c r="C378" t="s">
        <v>302</v>
      </c>
      <c r="D378" t="s">
        <v>29</v>
      </c>
      <c r="E378" t="s">
        <v>303</v>
      </c>
      <c r="F378">
        <v>9600</v>
      </c>
      <c r="G378">
        <v>755</v>
      </c>
      <c r="H378">
        <v>6306</v>
      </c>
      <c r="I378">
        <v>0</v>
      </c>
      <c r="J378">
        <v>0</v>
      </c>
      <c r="K378">
        <v>0</v>
      </c>
      <c r="L378">
        <v>3894</v>
      </c>
      <c r="M378">
        <v>29</v>
      </c>
      <c r="N378">
        <v>284</v>
      </c>
      <c r="O378">
        <v>0</v>
      </c>
      <c r="P378">
        <v>0</v>
      </c>
      <c r="Q378">
        <v>0</v>
      </c>
      <c r="R378">
        <v>128</v>
      </c>
      <c r="S378">
        <v>18</v>
      </c>
      <c r="T378">
        <v>2073</v>
      </c>
      <c r="U378">
        <v>0</v>
      </c>
      <c r="V378">
        <v>0</v>
      </c>
      <c r="W378">
        <v>231</v>
      </c>
      <c r="X378">
        <f>NHS_AE_2024_2025[[#This Row],[A&amp;E attendances Type 1]]+
NHS_AE_2024_2025[[#This Row],[A&amp;E attendances Type 2]]+
NHS_AE_2024_2025[[#This Row],[A&amp;E attendances Other A&amp;E Department]]</f>
        <v>16661</v>
      </c>
      <c r="Y378">
        <f t="shared" si="10"/>
        <v>4207</v>
      </c>
      <c r="Z378">
        <f t="shared" si="11"/>
        <v>2304</v>
      </c>
    </row>
    <row r="379" spans="1:26" x14ac:dyDescent="0.2">
      <c r="A379" t="s">
        <v>427</v>
      </c>
      <c r="B379" t="s">
        <v>428</v>
      </c>
      <c r="C379" t="s">
        <v>408</v>
      </c>
      <c r="D379" t="s">
        <v>50</v>
      </c>
      <c r="E379" t="s">
        <v>409</v>
      </c>
      <c r="F379">
        <v>8901</v>
      </c>
      <c r="G379">
        <v>0</v>
      </c>
      <c r="H379">
        <v>6001</v>
      </c>
      <c r="I379">
        <v>0</v>
      </c>
      <c r="J379">
        <v>0</v>
      </c>
      <c r="K379">
        <v>391</v>
      </c>
      <c r="L379">
        <v>4401</v>
      </c>
      <c r="M379">
        <v>0</v>
      </c>
      <c r="N379">
        <v>49</v>
      </c>
      <c r="O379">
        <v>0</v>
      </c>
      <c r="P379">
        <v>0</v>
      </c>
      <c r="Q379">
        <v>2</v>
      </c>
      <c r="R379">
        <v>761</v>
      </c>
      <c r="S379">
        <v>652</v>
      </c>
      <c r="T379">
        <v>5038</v>
      </c>
      <c r="U379">
        <v>0</v>
      </c>
      <c r="V379">
        <v>0</v>
      </c>
      <c r="W379">
        <v>326</v>
      </c>
      <c r="X379">
        <f>NHS_AE_2024_2025[[#This Row],[A&amp;E attendances Type 1]]+
NHS_AE_2024_2025[[#This Row],[A&amp;E attendances Type 2]]+
NHS_AE_2024_2025[[#This Row],[A&amp;E attendances Other A&amp;E Department]]</f>
        <v>14902</v>
      </c>
      <c r="Y379">
        <f t="shared" si="10"/>
        <v>4450</v>
      </c>
      <c r="Z379">
        <f t="shared" si="11"/>
        <v>5364</v>
      </c>
    </row>
    <row r="380" spans="1:26" x14ac:dyDescent="0.2">
      <c r="A380" t="s">
        <v>427</v>
      </c>
      <c r="B380" t="s">
        <v>428</v>
      </c>
      <c r="C380" t="s">
        <v>340</v>
      </c>
      <c r="D380" t="s">
        <v>29</v>
      </c>
      <c r="E380" t="s">
        <v>341</v>
      </c>
      <c r="F380">
        <v>10029</v>
      </c>
      <c r="G380">
        <v>301</v>
      </c>
      <c r="H380">
        <v>1507</v>
      </c>
      <c r="I380">
        <v>321</v>
      </c>
      <c r="J380">
        <v>0</v>
      </c>
      <c r="K380">
        <v>24</v>
      </c>
      <c r="L380">
        <v>2603</v>
      </c>
      <c r="M380">
        <v>0</v>
      </c>
      <c r="N380">
        <v>92</v>
      </c>
      <c r="O380">
        <v>41</v>
      </c>
      <c r="P380">
        <v>0</v>
      </c>
      <c r="Q380">
        <v>1</v>
      </c>
      <c r="R380">
        <v>346</v>
      </c>
      <c r="S380">
        <v>498</v>
      </c>
      <c r="T380">
        <v>1789</v>
      </c>
      <c r="U380">
        <v>2</v>
      </c>
      <c r="V380">
        <v>0</v>
      </c>
      <c r="W380">
        <v>135</v>
      </c>
      <c r="X380">
        <f>NHS_AE_2024_2025[[#This Row],[A&amp;E attendances Type 1]]+
NHS_AE_2024_2025[[#This Row],[A&amp;E attendances Type 2]]+
NHS_AE_2024_2025[[#This Row],[A&amp;E attendances Other A&amp;E Department]]</f>
        <v>11837</v>
      </c>
      <c r="Y380">
        <f t="shared" si="10"/>
        <v>2695</v>
      </c>
      <c r="Z380">
        <f t="shared" si="11"/>
        <v>1926</v>
      </c>
    </row>
    <row r="381" spans="1:26" x14ac:dyDescent="0.2">
      <c r="A381" t="s">
        <v>427</v>
      </c>
      <c r="B381" t="s">
        <v>428</v>
      </c>
      <c r="C381" t="s">
        <v>270</v>
      </c>
      <c r="D381" t="s">
        <v>32</v>
      </c>
      <c r="E381" t="s">
        <v>271</v>
      </c>
      <c r="F381">
        <v>13740</v>
      </c>
      <c r="G381">
        <v>1292</v>
      </c>
      <c r="H381">
        <v>6652</v>
      </c>
      <c r="I381">
        <v>921</v>
      </c>
      <c r="J381">
        <v>0</v>
      </c>
      <c r="K381">
        <v>0</v>
      </c>
      <c r="L381">
        <v>6199</v>
      </c>
      <c r="M381">
        <v>209</v>
      </c>
      <c r="N381">
        <v>12</v>
      </c>
      <c r="O381">
        <v>142</v>
      </c>
      <c r="P381">
        <v>0</v>
      </c>
      <c r="Q381">
        <v>0</v>
      </c>
      <c r="R381">
        <v>1526</v>
      </c>
      <c r="S381">
        <v>406</v>
      </c>
      <c r="T381">
        <v>2635</v>
      </c>
      <c r="U381">
        <v>0</v>
      </c>
      <c r="V381">
        <v>0</v>
      </c>
      <c r="W381">
        <v>452</v>
      </c>
      <c r="X381">
        <f>NHS_AE_2024_2025[[#This Row],[A&amp;E attendances Type 1]]+
NHS_AE_2024_2025[[#This Row],[A&amp;E attendances Type 2]]+
NHS_AE_2024_2025[[#This Row],[A&amp;E attendances Other A&amp;E Department]]</f>
        <v>21684</v>
      </c>
      <c r="Y381">
        <f t="shared" si="10"/>
        <v>6420</v>
      </c>
      <c r="Z381">
        <f t="shared" si="11"/>
        <v>3087</v>
      </c>
    </row>
    <row r="382" spans="1:26" x14ac:dyDescent="0.2">
      <c r="A382" t="s">
        <v>427</v>
      </c>
      <c r="B382" t="s">
        <v>428</v>
      </c>
      <c r="C382" t="s">
        <v>412</v>
      </c>
      <c r="D382" t="s">
        <v>32</v>
      </c>
      <c r="E382" t="s">
        <v>413</v>
      </c>
      <c r="F382">
        <v>0</v>
      </c>
      <c r="G382">
        <v>0</v>
      </c>
      <c r="H382">
        <v>520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10</v>
      </c>
      <c r="X382">
        <f>NHS_AE_2024_2025[[#This Row],[A&amp;E attendances Type 1]]+
NHS_AE_2024_2025[[#This Row],[A&amp;E attendances Type 2]]+
NHS_AE_2024_2025[[#This Row],[A&amp;E attendances Other A&amp;E Department]]</f>
        <v>520</v>
      </c>
      <c r="Y382">
        <f t="shared" si="10"/>
        <v>0</v>
      </c>
      <c r="Z382">
        <f t="shared" si="11"/>
        <v>10</v>
      </c>
    </row>
    <row r="383" spans="1:26" x14ac:dyDescent="0.2">
      <c r="A383" t="s">
        <v>427</v>
      </c>
      <c r="B383" t="s">
        <v>428</v>
      </c>
      <c r="C383" t="s">
        <v>384</v>
      </c>
      <c r="D383" t="s">
        <v>55</v>
      </c>
      <c r="E383" t="s">
        <v>385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168</v>
      </c>
      <c r="X383">
        <f>NHS_AE_2024_2025[[#This Row],[A&amp;E attendances Type 1]]+
NHS_AE_2024_2025[[#This Row],[A&amp;E attendances Type 2]]+
NHS_AE_2024_2025[[#This Row],[A&amp;E attendances Other A&amp;E Department]]</f>
        <v>0</v>
      </c>
      <c r="Y383">
        <f t="shared" si="10"/>
        <v>0</v>
      </c>
      <c r="Z383">
        <f t="shared" si="11"/>
        <v>168</v>
      </c>
    </row>
    <row r="384" spans="1:26" x14ac:dyDescent="0.2">
      <c r="A384" t="s">
        <v>427</v>
      </c>
      <c r="B384" t="s">
        <v>428</v>
      </c>
      <c r="C384" t="s">
        <v>354</v>
      </c>
      <c r="D384" t="s">
        <v>50</v>
      </c>
      <c r="E384" t="s">
        <v>355</v>
      </c>
      <c r="F384">
        <v>12196</v>
      </c>
      <c r="G384">
        <v>0</v>
      </c>
      <c r="H384">
        <v>4102</v>
      </c>
      <c r="I384">
        <v>0</v>
      </c>
      <c r="J384">
        <v>0</v>
      </c>
      <c r="K384">
        <v>6940</v>
      </c>
      <c r="L384">
        <v>5277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1767</v>
      </c>
      <c r="S384">
        <v>19</v>
      </c>
      <c r="T384">
        <v>3974</v>
      </c>
      <c r="U384">
        <v>0</v>
      </c>
      <c r="V384">
        <v>0</v>
      </c>
      <c r="W384">
        <v>701</v>
      </c>
      <c r="X384">
        <f>NHS_AE_2024_2025[[#This Row],[A&amp;E attendances Type 1]]+
NHS_AE_2024_2025[[#This Row],[A&amp;E attendances Type 2]]+
NHS_AE_2024_2025[[#This Row],[A&amp;E attendances Other A&amp;E Department]]</f>
        <v>16298</v>
      </c>
      <c r="Y384">
        <f t="shared" si="10"/>
        <v>5277</v>
      </c>
      <c r="Z384">
        <f t="shared" si="11"/>
        <v>4675</v>
      </c>
    </row>
    <row r="385" spans="1:26" x14ac:dyDescent="0.2">
      <c r="A385" t="s">
        <v>427</v>
      </c>
      <c r="B385" t="s">
        <v>428</v>
      </c>
      <c r="C385" t="s">
        <v>182</v>
      </c>
      <c r="D385" t="s">
        <v>29</v>
      </c>
      <c r="E385" t="s">
        <v>183</v>
      </c>
      <c r="F385">
        <v>0</v>
      </c>
      <c r="G385">
        <v>0</v>
      </c>
      <c r="H385">
        <v>10103</v>
      </c>
      <c r="I385">
        <v>0</v>
      </c>
      <c r="J385">
        <v>0</v>
      </c>
      <c r="K385">
        <v>400</v>
      </c>
      <c r="L385">
        <v>0</v>
      </c>
      <c r="M385">
        <v>0</v>
      </c>
      <c r="N385">
        <v>76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f>NHS_AE_2024_2025[[#This Row],[A&amp;E attendances Type 1]]+
NHS_AE_2024_2025[[#This Row],[A&amp;E attendances Type 2]]+
NHS_AE_2024_2025[[#This Row],[A&amp;E attendances Other A&amp;E Department]]</f>
        <v>10103</v>
      </c>
      <c r="Y385">
        <f t="shared" si="10"/>
        <v>76</v>
      </c>
      <c r="Z385">
        <f t="shared" si="11"/>
        <v>0</v>
      </c>
    </row>
    <row r="386" spans="1:26" x14ac:dyDescent="0.2">
      <c r="A386" t="s">
        <v>427</v>
      </c>
      <c r="B386" t="s">
        <v>428</v>
      </c>
      <c r="C386" t="s">
        <v>224</v>
      </c>
      <c r="D386" t="s">
        <v>29</v>
      </c>
      <c r="E386" t="s">
        <v>225</v>
      </c>
      <c r="F386">
        <v>23072</v>
      </c>
      <c r="G386">
        <v>900</v>
      </c>
      <c r="H386">
        <v>15461</v>
      </c>
      <c r="I386">
        <v>0</v>
      </c>
      <c r="J386">
        <v>0</v>
      </c>
      <c r="K386">
        <v>0</v>
      </c>
      <c r="L386">
        <v>10843</v>
      </c>
      <c r="M386">
        <v>32</v>
      </c>
      <c r="N386">
        <v>1024</v>
      </c>
      <c r="O386">
        <v>0</v>
      </c>
      <c r="P386">
        <v>0</v>
      </c>
      <c r="Q386">
        <v>0</v>
      </c>
      <c r="R386">
        <v>1259</v>
      </c>
      <c r="S386">
        <v>923</v>
      </c>
      <c r="T386">
        <v>4736</v>
      </c>
      <c r="U386">
        <v>0</v>
      </c>
      <c r="V386">
        <v>0</v>
      </c>
      <c r="W386">
        <v>1177</v>
      </c>
      <c r="X386">
        <f>NHS_AE_2024_2025[[#This Row],[A&amp;E attendances Type 1]]+
NHS_AE_2024_2025[[#This Row],[A&amp;E attendances Type 2]]+
NHS_AE_2024_2025[[#This Row],[A&amp;E attendances Other A&amp;E Department]]</f>
        <v>39433</v>
      </c>
      <c r="Y386">
        <f t="shared" ref="Y386:Y449" si="12">L386+M386+N386</f>
        <v>11899</v>
      </c>
      <c r="Z386">
        <f t="shared" ref="Z386:Z449" si="13">T386+U386+V386+W386</f>
        <v>5913</v>
      </c>
    </row>
    <row r="387" spans="1:26" x14ac:dyDescent="0.2">
      <c r="A387" t="s">
        <v>427</v>
      </c>
      <c r="B387" t="s">
        <v>428</v>
      </c>
      <c r="C387" t="s">
        <v>364</v>
      </c>
      <c r="D387" t="s">
        <v>37</v>
      </c>
      <c r="E387" t="s">
        <v>365</v>
      </c>
      <c r="F387">
        <v>0</v>
      </c>
      <c r="G387">
        <v>0</v>
      </c>
      <c r="H387">
        <v>11466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129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f>NHS_AE_2024_2025[[#This Row],[A&amp;E attendances Type 1]]+
NHS_AE_2024_2025[[#This Row],[A&amp;E attendances Type 2]]+
NHS_AE_2024_2025[[#This Row],[A&amp;E attendances Other A&amp;E Department]]</f>
        <v>11466</v>
      </c>
      <c r="Y387">
        <f t="shared" si="12"/>
        <v>129</v>
      </c>
      <c r="Z387">
        <f t="shared" si="13"/>
        <v>0</v>
      </c>
    </row>
    <row r="388" spans="1:26" x14ac:dyDescent="0.2">
      <c r="A388" t="s">
        <v>427</v>
      </c>
      <c r="B388" t="s">
        <v>428</v>
      </c>
      <c r="C388" t="s">
        <v>230</v>
      </c>
      <c r="D388" t="s">
        <v>29</v>
      </c>
      <c r="E388" t="s">
        <v>231</v>
      </c>
      <c r="F388">
        <v>16221</v>
      </c>
      <c r="G388">
        <v>0</v>
      </c>
      <c r="H388">
        <v>7472</v>
      </c>
      <c r="I388">
        <v>0</v>
      </c>
      <c r="J388">
        <v>0</v>
      </c>
      <c r="K388">
        <v>0</v>
      </c>
      <c r="L388">
        <v>5507</v>
      </c>
      <c r="M388">
        <v>0</v>
      </c>
      <c r="N388">
        <v>35</v>
      </c>
      <c r="O388">
        <v>0</v>
      </c>
      <c r="P388">
        <v>0</v>
      </c>
      <c r="Q388">
        <v>0</v>
      </c>
      <c r="R388">
        <v>983</v>
      </c>
      <c r="S388">
        <v>517</v>
      </c>
      <c r="T388">
        <v>3828</v>
      </c>
      <c r="U388">
        <v>0</v>
      </c>
      <c r="V388">
        <v>0</v>
      </c>
      <c r="W388">
        <v>562</v>
      </c>
      <c r="X388">
        <f>NHS_AE_2024_2025[[#This Row],[A&amp;E attendances Type 1]]+
NHS_AE_2024_2025[[#This Row],[A&amp;E attendances Type 2]]+
NHS_AE_2024_2025[[#This Row],[A&amp;E attendances Other A&amp;E Department]]</f>
        <v>23693</v>
      </c>
      <c r="Y388">
        <f t="shared" si="12"/>
        <v>5542</v>
      </c>
      <c r="Z388">
        <f t="shared" si="13"/>
        <v>4390</v>
      </c>
    </row>
    <row r="389" spans="1:26" x14ac:dyDescent="0.2">
      <c r="A389" t="s">
        <v>427</v>
      </c>
      <c r="B389" t="s">
        <v>428</v>
      </c>
      <c r="C389" t="s">
        <v>398</v>
      </c>
      <c r="D389" t="s">
        <v>55</v>
      </c>
      <c r="E389" t="s">
        <v>399</v>
      </c>
      <c r="F389">
        <v>7488</v>
      </c>
      <c r="G389">
        <v>0</v>
      </c>
      <c r="H389">
        <v>2445</v>
      </c>
      <c r="I389">
        <v>0</v>
      </c>
      <c r="J389">
        <v>0</v>
      </c>
      <c r="K389">
        <v>189</v>
      </c>
      <c r="L389">
        <v>4206</v>
      </c>
      <c r="M389">
        <v>0</v>
      </c>
      <c r="N389">
        <v>6</v>
      </c>
      <c r="O389">
        <v>0</v>
      </c>
      <c r="P389">
        <v>0</v>
      </c>
      <c r="Q389">
        <v>1</v>
      </c>
      <c r="R389">
        <v>668</v>
      </c>
      <c r="S389">
        <v>628</v>
      </c>
      <c r="T389">
        <v>2151</v>
      </c>
      <c r="U389">
        <v>0</v>
      </c>
      <c r="V389">
        <v>0</v>
      </c>
      <c r="W389">
        <v>1647</v>
      </c>
      <c r="X389">
        <f>NHS_AE_2024_2025[[#This Row],[A&amp;E attendances Type 1]]+
NHS_AE_2024_2025[[#This Row],[A&amp;E attendances Type 2]]+
NHS_AE_2024_2025[[#This Row],[A&amp;E attendances Other A&amp;E Department]]</f>
        <v>9933</v>
      </c>
      <c r="Y389">
        <f t="shared" si="12"/>
        <v>4212</v>
      </c>
      <c r="Z389">
        <f t="shared" si="13"/>
        <v>3798</v>
      </c>
    </row>
    <row r="390" spans="1:26" x14ac:dyDescent="0.2">
      <c r="A390" t="s">
        <v>427</v>
      </c>
      <c r="B390" t="s">
        <v>428</v>
      </c>
      <c r="C390" t="s">
        <v>292</v>
      </c>
      <c r="D390" t="s">
        <v>55</v>
      </c>
      <c r="E390" t="s">
        <v>293</v>
      </c>
      <c r="F390">
        <v>6652</v>
      </c>
      <c r="G390">
        <v>0</v>
      </c>
      <c r="H390">
        <v>2720</v>
      </c>
      <c r="I390">
        <v>4</v>
      </c>
      <c r="J390">
        <v>0</v>
      </c>
      <c r="K390">
        <v>48</v>
      </c>
      <c r="L390">
        <v>3586</v>
      </c>
      <c r="M390">
        <v>0</v>
      </c>
      <c r="N390">
        <v>39</v>
      </c>
      <c r="O390">
        <v>0</v>
      </c>
      <c r="P390">
        <v>0</v>
      </c>
      <c r="Q390">
        <v>2</v>
      </c>
      <c r="R390">
        <v>596</v>
      </c>
      <c r="S390">
        <v>539</v>
      </c>
      <c r="T390">
        <v>2223</v>
      </c>
      <c r="U390">
        <v>0</v>
      </c>
      <c r="V390">
        <v>0</v>
      </c>
      <c r="W390">
        <v>926</v>
      </c>
      <c r="X390">
        <f>NHS_AE_2024_2025[[#This Row],[A&amp;E attendances Type 1]]+
NHS_AE_2024_2025[[#This Row],[A&amp;E attendances Type 2]]+
NHS_AE_2024_2025[[#This Row],[A&amp;E attendances Other A&amp;E Department]]</f>
        <v>9372</v>
      </c>
      <c r="Y390">
        <f t="shared" si="12"/>
        <v>3625</v>
      </c>
      <c r="Z390">
        <f t="shared" si="13"/>
        <v>3149</v>
      </c>
    </row>
    <row r="391" spans="1:26" x14ac:dyDescent="0.2">
      <c r="A391" t="s">
        <v>427</v>
      </c>
      <c r="B391" t="s">
        <v>428</v>
      </c>
      <c r="C391" t="s">
        <v>406</v>
      </c>
      <c r="D391" t="s">
        <v>37</v>
      </c>
      <c r="E391" t="s">
        <v>407</v>
      </c>
      <c r="F391">
        <v>11028</v>
      </c>
      <c r="G391">
        <v>2275</v>
      </c>
      <c r="H391">
        <v>0</v>
      </c>
      <c r="I391">
        <v>713</v>
      </c>
      <c r="J391">
        <v>14</v>
      </c>
      <c r="K391">
        <v>0</v>
      </c>
      <c r="L391">
        <v>3195</v>
      </c>
      <c r="M391">
        <v>11</v>
      </c>
      <c r="N391">
        <v>0</v>
      </c>
      <c r="O391">
        <v>174</v>
      </c>
      <c r="P391">
        <v>2</v>
      </c>
      <c r="Q391">
        <v>0</v>
      </c>
      <c r="R391">
        <v>297</v>
      </c>
      <c r="S391">
        <v>0</v>
      </c>
      <c r="T391">
        <v>2392</v>
      </c>
      <c r="U391">
        <v>2</v>
      </c>
      <c r="V391">
        <v>0</v>
      </c>
      <c r="W391">
        <v>540</v>
      </c>
      <c r="X391">
        <f>NHS_AE_2024_2025[[#This Row],[A&amp;E attendances Type 1]]+
NHS_AE_2024_2025[[#This Row],[A&amp;E attendances Type 2]]+
NHS_AE_2024_2025[[#This Row],[A&amp;E attendances Other A&amp;E Department]]</f>
        <v>13303</v>
      </c>
      <c r="Y391">
        <f t="shared" si="12"/>
        <v>3206</v>
      </c>
      <c r="Z391">
        <f t="shared" si="13"/>
        <v>2934</v>
      </c>
    </row>
    <row r="392" spans="1:26" x14ac:dyDescent="0.2">
      <c r="A392" t="s">
        <v>427</v>
      </c>
      <c r="B392" t="s">
        <v>428</v>
      </c>
      <c r="C392" t="s">
        <v>86</v>
      </c>
      <c r="D392" t="s">
        <v>37</v>
      </c>
      <c r="E392" t="s">
        <v>87</v>
      </c>
      <c r="F392">
        <v>0</v>
      </c>
      <c r="G392">
        <v>0</v>
      </c>
      <c r="H392">
        <v>1586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583</v>
      </c>
      <c r="X392">
        <f>NHS_AE_2024_2025[[#This Row],[A&amp;E attendances Type 1]]+
NHS_AE_2024_2025[[#This Row],[A&amp;E attendances Type 2]]+
NHS_AE_2024_2025[[#This Row],[A&amp;E attendances Other A&amp;E Department]]</f>
        <v>1586</v>
      </c>
      <c r="Y392">
        <f t="shared" si="12"/>
        <v>0</v>
      </c>
      <c r="Z392">
        <f t="shared" si="13"/>
        <v>586</v>
      </c>
    </row>
    <row r="393" spans="1:26" x14ac:dyDescent="0.2">
      <c r="A393" t="s">
        <v>427</v>
      </c>
      <c r="B393" t="s">
        <v>428</v>
      </c>
      <c r="C393" t="s">
        <v>424</v>
      </c>
      <c r="D393" t="s">
        <v>37</v>
      </c>
      <c r="E393" t="s">
        <v>425</v>
      </c>
      <c r="F393">
        <v>11262</v>
      </c>
      <c r="G393">
        <v>1807</v>
      </c>
      <c r="H393">
        <v>1778</v>
      </c>
      <c r="I393">
        <v>1328</v>
      </c>
      <c r="J393">
        <v>0</v>
      </c>
      <c r="K393">
        <v>105</v>
      </c>
      <c r="L393">
        <v>3596</v>
      </c>
      <c r="M393">
        <v>0</v>
      </c>
      <c r="N393">
        <v>3</v>
      </c>
      <c r="O393">
        <v>296</v>
      </c>
      <c r="P393">
        <v>0</v>
      </c>
      <c r="Q393">
        <v>1</v>
      </c>
      <c r="R393">
        <v>782</v>
      </c>
      <c r="S393">
        <v>0</v>
      </c>
      <c r="T393">
        <v>4247</v>
      </c>
      <c r="U393">
        <v>131</v>
      </c>
      <c r="V393">
        <v>14</v>
      </c>
      <c r="W393">
        <v>4350</v>
      </c>
      <c r="X393">
        <f>NHS_AE_2024_2025[[#This Row],[A&amp;E attendances Type 1]]+
NHS_AE_2024_2025[[#This Row],[A&amp;E attendances Type 2]]+
NHS_AE_2024_2025[[#This Row],[A&amp;E attendances Other A&amp;E Department]]</f>
        <v>14847</v>
      </c>
      <c r="Y393">
        <f t="shared" si="12"/>
        <v>3599</v>
      </c>
      <c r="Z393">
        <f t="shared" si="13"/>
        <v>8742</v>
      </c>
    </row>
    <row r="394" spans="1:26" x14ac:dyDescent="0.2">
      <c r="A394" t="s">
        <v>427</v>
      </c>
      <c r="B394" t="s">
        <v>428</v>
      </c>
      <c r="C394" t="s">
        <v>156</v>
      </c>
      <c r="D394" t="s">
        <v>29</v>
      </c>
      <c r="E394" t="s">
        <v>157</v>
      </c>
      <c r="F394">
        <v>14582</v>
      </c>
      <c r="G394">
        <v>0</v>
      </c>
      <c r="H394">
        <v>7961</v>
      </c>
      <c r="I394">
        <v>65</v>
      </c>
      <c r="J394">
        <v>0</v>
      </c>
      <c r="K394">
        <v>1149</v>
      </c>
      <c r="L394">
        <v>5850</v>
      </c>
      <c r="M394">
        <v>0</v>
      </c>
      <c r="N394">
        <v>256</v>
      </c>
      <c r="O394">
        <v>9</v>
      </c>
      <c r="P394">
        <v>0</v>
      </c>
      <c r="Q394">
        <v>3</v>
      </c>
      <c r="R394">
        <v>1374</v>
      </c>
      <c r="S394">
        <v>452</v>
      </c>
      <c r="T394">
        <v>2793</v>
      </c>
      <c r="U394">
        <v>0</v>
      </c>
      <c r="V394">
        <v>0</v>
      </c>
      <c r="W394">
        <v>413</v>
      </c>
      <c r="X394">
        <f>NHS_AE_2024_2025[[#This Row],[A&amp;E attendances Type 1]]+
NHS_AE_2024_2025[[#This Row],[A&amp;E attendances Type 2]]+
NHS_AE_2024_2025[[#This Row],[A&amp;E attendances Other A&amp;E Department]]</f>
        <v>22543</v>
      </c>
      <c r="Y394">
        <f t="shared" si="12"/>
        <v>6106</v>
      </c>
      <c r="Z394">
        <f t="shared" si="13"/>
        <v>3206</v>
      </c>
    </row>
    <row r="395" spans="1:26" x14ac:dyDescent="0.2">
      <c r="A395" t="s">
        <v>427</v>
      </c>
      <c r="B395" t="s">
        <v>428</v>
      </c>
      <c r="C395" t="s">
        <v>126</v>
      </c>
      <c r="D395" t="s">
        <v>70</v>
      </c>
      <c r="E395" t="s">
        <v>127</v>
      </c>
      <c r="F395">
        <v>7704</v>
      </c>
      <c r="G395">
        <v>0</v>
      </c>
      <c r="H395">
        <v>7134</v>
      </c>
      <c r="I395">
        <v>0</v>
      </c>
      <c r="J395">
        <v>0</v>
      </c>
      <c r="K395">
        <v>834</v>
      </c>
      <c r="L395">
        <v>2355</v>
      </c>
      <c r="M395">
        <v>0</v>
      </c>
      <c r="N395">
        <v>117</v>
      </c>
      <c r="O395">
        <v>0</v>
      </c>
      <c r="P395">
        <v>0</v>
      </c>
      <c r="Q395">
        <v>0</v>
      </c>
      <c r="R395">
        <v>557</v>
      </c>
      <c r="S395">
        <v>25</v>
      </c>
      <c r="T395">
        <v>3979</v>
      </c>
      <c r="U395">
        <v>0</v>
      </c>
      <c r="V395">
        <v>0</v>
      </c>
      <c r="W395">
        <v>549</v>
      </c>
      <c r="X395">
        <f>NHS_AE_2024_2025[[#This Row],[A&amp;E attendances Type 1]]+
NHS_AE_2024_2025[[#This Row],[A&amp;E attendances Type 2]]+
NHS_AE_2024_2025[[#This Row],[A&amp;E attendances Other A&amp;E Department]]</f>
        <v>14838</v>
      </c>
      <c r="Y395">
        <f t="shared" si="12"/>
        <v>2472</v>
      </c>
      <c r="Z395">
        <f t="shared" si="13"/>
        <v>4528</v>
      </c>
    </row>
    <row r="396" spans="1:26" x14ac:dyDescent="0.2">
      <c r="A396" t="s">
        <v>427</v>
      </c>
      <c r="B396" t="s">
        <v>428</v>
      </c>
      <c r="C396" t="s">
        <v>418</v>
      </c>
      <c r="D396" t="s">
        <v>55</v>
      </c>
      <c r="E396" t="s">
        <v>419</v>
      </c>
      <c r="F396">
        <v>23316</v>
      </c>
      <c r="G396">
        <v>0</v>
      </c>
      <c r="H396">
        <v>8184</v>
      </c>
      <c r="I396">
        <v>0</v>
      </c>
      <c r="J396">
        <v>0</v>
      </c>
      <c r="K396">
        <v>0</v>
      </c>
      <c r="L396">
        <v>10163</v>
      </c>
      <c r="M396">
        <v>0</v>
      </c>
      <c r="N396">
        <v>229</v>
      </c>
      <c r="O396">
        <v>0</v>
      </c>
      <c r="P396">
        <v>0</v>
      </c>
      <c r="Q396">
        <v>0</v>
      </c>
      <c r="R396">
        <v>3807</v>
      </c>
      <c r="S396">
        <v>496</v>
      </c>
      <c r="T396">
        <v>6691</v>
      </c>
      <c r="U396">
        <v>0</v>
      </c>
      <c r="V396">
        <v>298</v>
      </c>
      <c r="W396">
        <v>1727</v>
      </c>
      <c r="X396">
        <f>NHS_AE_2024_2025[[#This Row],[A&amp;E attendances Type 1]]+
NHS_AE_2024_2025[[#This Row],[A&amp;E attendances Type 2]]+
NHS_AE_2024_2025[[#This Row],[A&amp;E attendances Other A&amp;E Department]]</f>
        <v>31500</v>
      </c>
      <c r="Y396">
        <f t="shared" si="12"/>
        <v>10392</v>
      </c>
      <c r="Z396">
        <f t="shared" si="13"/>
        <v>8716</v>
      </c>
    </row>
    <row r="397" spans="1:26" x14ac:dyDescent="0.2">
      <c r="A397" t="s">
        <v>427</v>
      </c>
      <c r="B397" t="s">
        <v>428</v>
      </c>
      <c r="C397" t="s">
        <v>420</v>
      </c>
      <c r="D397" t="s">
        <v>37</v>
      </c>
      <c r="E397" t="s">
        <v>421</v>
      </c>
      <c r="F397">
        <v>9425</v>
      </c>
      <c r="G397">
        <v>762</v>
      </c>
      <c r="H397">
        <v>2991</v>
      </c>
      <c r="I397">
        <v>1367</v>
      </c>
      <c r="J397">
        <v>0</v>
      </c>
      <c r="K397">
        <v>783</v>
      </c>
      <c r="L397">
        <v>4560</v>
      </c>
      <c r="M397">
        <v>8</v>
      </c>
      <c r="N397">
        <v>20</v>
      </c>
      <c r="O397">
        <v>695</v>
      </c>
      <c r="P397">
        <v>0</v>
      </c>
      <c r="Q397">
        <v>5</v>
      </c>
      <c r="R397">
        <v>1503</v>
      </c>
      <c r="S397">
        <v>19</v>
      </c>
      <c r="T397">
        <v>3377</v>
      </c>
      <c r="U397">
        <v>0</v>
      </c>
      <c r="V397">
        <v>0</v>
      </c>
      <c r="W397">
        <v>2373</v>
      </c>
      <c r="X397">
        <f>NHS_AE_2024_2025[[#This Row],[A&amp;E attendances Type 1]]+
NHS_AE_2024_2025[[#This Row],[A&amp;E attendances Type 2]]+
NHS_AE_2024_2025[[#This Row],[A&amp;E attendances Other A&amp;E Department]]</f>
        <v>13178</v>
      </c>
      <c r="Y397">
        <f t="shared" si="12"/>
        <v>4588</v>
      </c>
      <c r="Z397">
        <f t="shared" si="13"/>
        <v>5750</v>
      </c>
    </row>
    <row r="398" spans="1:26" x14ac:dyDescent="0.2">
      <c r="A398" t="s">
        <v>427</v>
      </c>
      <c r="B398" t="s">
        <v>431</v>
      </c>
      <c r="C398" t="s">
        <v>431</v>
      </c>
      <c r="D398" t="s">
        <v>431</v>
      </c>
      <c r="E398" t="s">
        <v>431</v>
      </c>
      <c r="F398">
        <v>1292332</v>
      </c>
      <c r="G398">
        <v>47731</v>
      </c>
      <c r="H398">
        <v>746162</v>
      </c>
      <c r="I398">
        <v>27825</v>
      </c>
      <c r="J398">
        <v>656</v>
      </c>
      <c r="K398">
        <v>46085</v>
      </c>
      <c r="L398">
        <v>487960</v>
      </c>
      <c r="M398">
        <v>1553</v>
      </c>
      <c r="N398">
        <v>14934</v>
      </c>
      <c r="O398">
        <v>6539</v>
      </c>
      <c r="P398">
        <v>7</v>
      </c>
      <c r="Q398">
        <v>391</v>
      </c>
      <c r="R398">
        <v>87995</v>
      </c>
      <c r="S398">
        <v>28494</v>
      </c>
      <c r="T398">
        <v>390554</v>
      </c>
      <c r="U398">
        <v>1300</v>
      </c>
      <c r="V398">
        <v>4661</v>
      </c>
      <c r="W398">
        <v>129118</v>
      </c>
      <c r="X398">
        <f>NHS_AE_2024_2025[[#This Row],[A&amp;E attendances Type 1]]+
NHS_AE_2024_2025[[#This Row],[A&amp;E attendances Type 2]]+
NHS_AE_2024_2025[[#This Row],[A&amp;E attendances Other A&amp;E Department]]</f>
        <v>2086225</v>
      </c>
      <c r="Y398">
        <f t="shared" si="12"/>
        <v>504447</v>
      </c>
      <c r="Z398">
        <f t="shared" si="13"/>
        <v>525633</v>
      </c>
    </row>
    <row r="399" spans="1:26" x14ac:dyDescent="0.2">
      <c r="A399" t="s">
        <v>432</v>
      </c>
      <c r="B399" t="s">
        <v>433</v>
      </c>
      <c r="C399" t="s">
        <v>36</v>
      </c>
      <c r="D399" t="s">
        <v>37</v>
      </c>
      <c r="E399" t="s">
        <v>38</v>
      </c>
      <c r="F399">
        <v>0</v>
      </c>
      <c r="G399">
        <v>0</v>
      </c>
      <c r="H399">
        <v>2808</v>
      </c>
      <c r="I399">
        <v>0</v>
      </c>
      <c r="J399">
        <v>0</v>
      </c>
      <c r="K399">
        <v>13</v>
      </c>
      <c r="L399">
        <v>0</v>
      </c>
      <c r="M399">
        <v>0</v>
      </c>
      <c r="N399">
        <v>4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f>NHS_AE_2024_2025[[#This Row],[A&amp;E attendances Type 1]]+
NHS_AE_2024_2025[[#This Row],[A&amp;E attendances Type 2]]+
NHS_AE_2024_2025[[#This Row],[A&amp;E attendances Other A&amp;E Department]]</f>
        <v>2808</v>
      </c>
      <c r="Y399">
        <f t="shared" si="12"/>
        <v>4</v>
      </c>
      <c r="Z399">
        <f t="shared" si="13"/>
        <v>0</v>
      </c>
    </row>
    <row r="400" spans="1:26" x14ac:dyDescent="0.2">
      <c r="A400" t="s">
        <v>432</v>
      </c>
      <c r="B400" t="s">
        <v>433</v>
      </c>
      <c r="C400" t="s">
        <v>96</v>
      </c>
      <c r="D400" t="s">
        <v>29</v>
      </c>
      <c r="E400" t="s">
        <v>97</v>
      </c>
      <c r="F400">
        <v>0</v>
      </c>
      <c r="G400">
        <v>0</v>
      </c>
      <c r="H400">
        <v>2841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f>NHS_AE_2024_2025[[#This Row],[A&amp;E attendances Type 1]]+
NHS_AE_2024_2025[[#This Row],[A&amp;E attendances Type 2]]+
NHS_AE_2024_2025[[#This Row],[A&amp;E attendances Other A&amp;E Department]]</f>
        <v>2841</v>
      </c>
      <c r="Y400">
        <f t="shared" si="12"/>
        <v>35</v>
      </c>
      <c r="Z400">
        <f t="shared" si="13"/>
        <v>0</v>
      </c>
    </row>
    <row r="401" spans="1:26" x14ac:dyDescent="0.2">
      <c r="A401" t="s">
        <v>432</v>
      </c>
      <c r="B401" t="s">
        <v>433</v>
      </c>
      <c r="C401" t="s">
        <v>98</v>
      </c>
      <c r="D401" t="s">
        <v>29</v>
      </c>
      <c r="E401" t="s">
        <v>99</v>
      </c>
      <c r="F401">
        <v>0</v>
      </c>
      <c r="G401">
        <v>0</v>
      </c>
      <c r="H401">
        <v>2880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18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f>NHS_AE_2024_2025[[#This Row],[A&amp;E attendances Type 1]]+
NHS_AE_2024_2025[[#This Row],[A&amp;E attendances Type 2]]+
NHS_AE_2024_2025[[#This Row],[A&amp;E attendances Other A&amp;E Department]]</f>
        <v>2880</v>
      </c>
      <c r="Y401">
        <f t="shared" si="12"/>
        <v>18</v>
      </c>
      <c r="Z401">
        <f t="shared" si="13"/>
        <v>0</v>
      </c>
    </row>
    <row r="402" spans="1:26" x14ac:dyDescent="0.2">
      <c r="A402" t="s">
        <v>432</v>
      </c>
      <c r="B402" t="s">
        <v>433</v>
      </c>
      <c r="C402" t="s">
        <v>292</v>
      </c>
      <c r="D402" t="s">
        <v>55</v>
      </c>
      <c r="E402" t="s">
        <v>293</v>
      </c>
      <c r="F402">
        <v>7274</v>
      </c>
      <c r="G402">
        <v>0</v>
      </c>
      <c r="H402">
        <v>2684</v>
      </c>
      <c r="I402">
        <v>0</v>
      </c>
      <c r="J402">
        <v>0</v>
      </c>
      <c r="K402">
        <v>62</v>
      </c>
      <c r="L402">
        <v>4418</v>
      </c>
      <c r="M402">
        <v>0</v>
      </c>
      <c r="N402">
        <v>137</v>
      </c>
      <c r="O402">
        <v>0</v>
      </c>
      <c r="P402">
        <v>0</v>
      </c>
      <c r="Q402">
        <v>9</v>
      </c>
      <c r="R402">
        <v>683</v>
      </c>
      <c r="S402">
        <v>609</v>
      </c>
      <c r="T402">
        <v>2427</v>
      </c>
      <c r="U402">
        <v>0</v>
      </c>
      <c r="V402">
        <v>0</v>
      </c>
      <c r="W402">
        <v>1048</v>
      </c>
      <c r="X402">
        <f>NHS_AE_2024_2025[[#This Row],[A&amp;E attendances Type 1]]+
NHS_AE_2024_2025[[#This Row],[A&amp;E attendances Type 2]]+
NHS_AE_2024_2025[[#This Row],[A&amp;E attendances Other A&amp;E Department]]</f>
        <v>9958</v>
      </c>
      <c r="Y402">
        <f t="shared" si="12"/>
        <v>4555</v>
      </c>
      <c r="Z402">
        <f t="shared" si="13"/>
        <v>3475</v>
      </c>
    </row>
    <row r="403" spans="1:26" x14ac:dyDescent="0.2">
      <c r="A403" t="s">
        <v>432</v>
      </c>
      <c r="B403" t="s">
        <v>433</v>
      </c>
      <c r="C403" t="s">
        <v>47</v>
      </c>
      <c r="D403" t="s">
        <v>26</v>
      </c>
      <c r="E403" t="s">
        <v>48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</v>
      </c>
      <c r="W403">
        <v>74</v>
      </c>
      <c r="X403">
        <f>NHS_AE_2024_2025[[#This Row],[A&amp;E attendances Type 1]]+
NHS_AE_2024_2025[[#This Row],[A&amp;E attendances Type 2]]+
NHS_AE_2024_2025[[#This Row],[A&amp;E attendances Other A&amp;E Department]]</f>
        <v>0</v>
      </c>
      <c r="Y403">
        <f t="shared" si="12"/>
        <v>0</v>
      </c>
      <c r="Z403">
        <f t="shared" si="13"/>
        <v>78</v>
      </c>
    </row>
    <row r="404" spans="1:26" x14ac:dyDescent="0.2">
      <c r="A404" t="s">
        <v>432</v>
      </c>
      <c r="B404" t="s">
        <v>433</v>
      </c>
      <c r="C404" t="s">
        <v>164</v>
      </c>
      <c r="D404" t="s">
        <v>37</v>
      </c>
      <c r="E404" t="s">
        <v>165</v>
      </c>
      <c r="F404">
        <v>11305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5040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662</v>
      </c>
      <c r="S404">
        <v>525</v>
      </c>
      <c r="T404">
        <v>3137</v>
      </c>
      <c r="U404">
        <v>0</v>
      </c>
      <c r="V404">
        <v>0</v>
      </c>
      <c r="W404">
        <v>874</v>
      </c>
      <c r="X404">
        <f>NHS_AE_2024_2025[[#This Row],[A&amp;E attendances Type 1]]+
NHS_AE_2024_2025[[#This Row],[A&amp;E attendances Type 2]]+
NHS_AE_2024_2025[[#This Row],[A&amp;E attendances Other A&amp;E Department]]</f>
        <v>11305</v>
      </c>
      <c r="Y404">
        <f t="shared" si="12"/>
        <v>5040</v>
      </c>
      <c r="Z404">
        <f t="shared" si="13"/>
        <v>4011</v>
      </c>
    </row>
    <row r="405" spans="1:26" x14ac:dyDescent="0.2">
      <c r="A405" t="s">
        <v>432</v>
      </c>
      <c r="B405" t="s">
        <v>433</v>
      </c>
      <c r="C405" t="s">
        <v>124</v>
      </c>
      <c r="D405" t="s">
        <v>37</v>
      </c>
      <c r="E405" t="s">
        <v>434</v>
      </c>
      <c r="F405">
        <v>0</v>
      </c>
      <c r="G405">
        <v>0</v>
      </c>
      <c r="H405">
        <v>2915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51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121</v>
      </c>
      <c r="X405">
        <f>NHS_AE_2024_2025[[#This Row],[A&amp;E attendances Type 1]]+
NHS_AE_2024_2025[[#This Row],[A&amp;E attendances Type 2]]+
NHS_AE_2024_2025[[#This Row],[A&amp;E attendances Other A&amp;E Department]]</f>
        <v>2915</v>
      </c>
      <c r="Y405">
        <f t="shared" si="12"/>
        <v>51</v>
      </c>
      <c r="Z405">
        <f t="shared" si="13"/>
        <v>121</v>
      </c>
    </row>
    <row r="406" spans="1:26" x14ac:dyDescent="0.2">
      <c r="A406" t="s">
        <v>432</v>
      </c>
      <c r="B406" t="s">
        <v>433</v>
      </c>
      <c r="C406" t="s">
        <v>128</v>
      </c>
      <c r="D406" t="s">
        <v>37</v>
      </c>
      <c r="E406" t="s">
        <v>129</v>
      </c>
      <c r="F406">
        <v>0</v>
      </c>
      <c r="G406">
        <v>0</v>
      </c>
      <c r="H406">
        <v>9337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43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f>NHS_AE_2024_2025[[#This Row],[A&amp;E attendances Type 1]]+
NHS_AE_2024_2025[[#This Row],[A&amp;E attendances Type 2]]+
NHS_AE_2024_2025[[#This Row],[A&amp;E attendances Other A&amp;E Department]]</f>
        <v>9337</v>
      </c>
      <c r="Y406">
        <f t="shared" si="12"/>
        <v>43</v>
      </c>
      <c r="Z406">
        <f t="shared" si="13"/>
        <v>0</v>
      </c>
    </row>
    <row r="407" spans="1:26" x14ac:dyDescent="0.2">
      <c r="A407" t="s">
        <v>432</v>
      </c>
      <c r="B407" t="s">
        <v>433</v>
      </c>
      <c r="C407" t="s">
        <v>59</v>
      </c>
      <c r="D407" t="s">
        <v>37</v>
      </c>
      <c r="E407" t="s">
        <v>60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f>NHS_AE_2024_2025[[#This Row],[A&amp;E attendances Type 1]]+
NHS_AE_2024_2025[[#This Row],[A&amp;E attendances Type 2]]+
NHS_AE_2024_2025[[#This Row],[A&amp;E attendances Other A&amp;E Department]]</f>
        <v>0</v>
      </c>
      <c r="Y407">
        <f t="shared" si="12"/>
        <v>0</v>
      </c>
      <c r="Z407">
        <f t="shared" si="13"/>
        <v>0</v>
      </c>
    </row>
    <row r="408" spans="1:26" x14ac:dyDescent="0.2">
      <c r="A408" t="s">
        <v>432</v>
      </c>
      <c r="B408" t="s">
        <v>433</v>
      </c>
      <c r="C408" t="s">
        <v>25</v>
      </c>
      <c r="D408" t="s">
        <v>26</v>
      </c>
      <c r="E408" t="s">
        <v>27</v>
      </c>
      <c r="F408">
        <v>0</v>
      </c>
      <c r="G408">
        <v>0</v>
      </c>
      <c r="H408">
        <v>547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f>NHS_AE_2024_2025[[#This Row],[A&amp;E attendances Type 1]]+
NHS_AE_2024_2025[[#This Row],[A&amp;E attendances Type 2]]+
NHS_AE_2024_2025[[#This Row],[A&amp;E attendances Other A&amp;E Department]]</f>
        <v>547</v>
      </c>
      <c r="Y408">
        <f t="shared" si="12"/>
        <v>0</v>
      </c>
      <c r="Z408">
        <f t="shared" si="13"/>
        <v>0</v>
      </c>
    </row>
    <row r="409" spans="1:26" x14ac:dyDescent="0.2">
      <c r="A409" t="s">
        <v>432</v>
      </c>
      <c r="B409" t="s">
        <v>433</v>
      </c>
      <c r="C409" t="s">
        <v>94</v>
      </c>
      <c r="D409" t="s">
        <v>32</v>
      </c>
      <c r="E409" t="s">
        <v>95</v>
      </c>
      <c r="F409">
        <v>0</v>
      </c>
      <c r="G409">
        <v>0</v>
      </c>
      <c r="H409">
        <v>255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f>NHS_AE_2024_2025[[#This Row],[A&amp;E attendances Type 1]]+
NHS_AE_2024_2025[[#This Row],[A&amp;E attendances Type 2]]+
NHS_AE_2024_2025[[#This Row],[A&amp;E attendances Other A&amp;E Department]]</f>
        <v>255</v>
      </c>
      <c r="Y409">
        <f t="shared" si="12"/>
        <v>0</v>
      </c>
      <c r="Z409">
        <f t="shared" si="13"/>
        <v>0</v>
      </c>
    </row>
    <row r="410" spans="1:26" x14ac:dyDescent="0.2">
      <c r="A410" t="s">
        <v>432</v>
      </c>
      <c r="B410" t="s">
        <v>433</v>
      </c>
      <c r="C410" t="s">
        <v>412</v>
      </c>
      <c r="D410" t="s">
        <v>32</v>
      </c>
      <c r="E410" t="s">
        <v>413</v>
      </c>
      <c r="F410">
        <v>0</v>
      </c>
      <c r="G410">
        <v>0</v>
      </c>
      <c r="H410">
        <v>691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</v>
      </c>
      <c r="X410">
        <f>NHS_AE_2024_2025[[#This Row],[A&amp;E attendances Type 1]]+
NHS_AE_2024_2025[[#This Row],[A&amp;E attendances Type 2]]+
NHS_AE_2024_2025[[#This Row],[A&amp;E attendances Other A&amp;E Department]]</f>
        <v>691</v>
      </c>
      <c r="Y410">
        <f t="shared" si="12"/>
        <v>0</v>
      </c>
      <c r="Z410">
        <f t="shared" si="13"/>
        <v>2</v>
      </c>
    </row>
    <row r="411" spans="1:26" x14ac:dyDescent="0.2">
      <c r="A411" t="s">
        <v>432</v>
      </c>
      <c r="B411" t="s">
        <v>433</v>
      </c>
      <c r="C411" t="s">
        <v>39</v>
      </c>
      <c r="D411" t="s">
        <v>26</v>
      </c>
      <c r="E411" t="s">
        <v>40</v>
      </c>
      <c r="F411">
        <v>0</v>
      </c>
      <c r="G411">
        <v>0</v>
      </c>
      <c r="H411">
        <v>62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f>NHS_AE_2024_2025[[#This Row],[A&amp;E attendances Type 1]]+
NHS_AE_2024_2025[[#This Row],[A&amp;E attendances Type 2]]+
NHS_AE_2024_2025[[#This Row],[A&amp;E attendances Other A&amp;E Department]]</f>
        <v>62</v>
      </c>
      <c r="Y411">
        <f t="shared" si="12"/>
        <v>0</v>
      </c>
      <c r="Z411">
        <f t="shared" si="13"/>
        <v>0</v>
      </c>
    </row>
    <row r="412" spans="1:26" x14ac:dyDescent="0.2">
      <c r="A412" t="s">
        <v>432</v>
      </c>
      <c r="B412" t="s">
        <v>433</v>
      </c>
      <c r="C412" t="s">
        <v>134</v>
      </c>
      <c r="D412" t="s">
        <v>37</v>
      </c>
      <c r="E412" t="s">
        <v>135</v>
      </c>
      <c r="F412">
        <v>0</v>
      </c>
      <c r="G412">
        <v>0</v>
      </c>
      <c r="H412">
        <v>2047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f>NHS_AE_2024_2025[[#This Row],[A&amp;E attendances Type 1]]+
NHS_AE_2024_2025[[#This Row],[A&amp;E attendances Type 2]]+
NHS_AE_2024_2025[[#This Row],[A&amp;E attendances Other A&amp;E Department]]</f>
        <v>2047</v>
      </c>
      <c r="Y412">
        <f t="shared" si="12"/>
        <v>0</v>
      </c>
      <c r="Z412">
        <f t="shared" si="13"/>
        <v>0</v>
      </c>
    </row>
    <row r="413" spans="1:26" x14ac:dyDescent="0.2">
      <c r="A413" t="s">
        <v>432</v>
      </c>
      <c r="B413" t="s">
        <v>433</v>
      </c>
      <c r="C413" t="s">
        <v>72</v>
      </c>
      <c r="D413" t="s">
        <v>55</v>
      </c>
      <c r="E413" t="s">
        <v>73</v>
      </c>
      <c r="F413">
        <v>0</v>
      </c>
      <c r="G413">
        <v>0</v>
      </c>
      <c r="H413">
        <v>1855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f>NHS_AE_2024_2025[[#This Row],[A&amp;E attendances Type 1]]+
NHS_AE_2024_2025[[#This Row],[A&amp;E attendances Type 2]]+
NHS_AE_2024_2025[[#This Row],[A&amp;E attendances Other A&amp;E Department]]</f>
        <v>1855</v>
      </c>
      <c r="Y413">
        <f t="shared" si="12"/>
        <v>13</v>
      </c>
      <c r="Z413">
        <f t="shared" si="13"/>
        <v>0</v>
      </c>
    </row>
    <row r="414" spans="1:26" x14ac:dyDescent="0.2">
      <c r="A414" t="s">
        <v>432</v>
      </c>
      <c r="B414" t="s">
        <v>433</v>
      </c>
      <c r="C414" t="s">
        <v>74</v>
      </c>
      <c r="D414" t="s">
        <v>26</v>
      </c>
      <c r="E414" t="s">
        <v>75</v>
      </c>
      <c r="F414">
        <v>0</v>
      </c>
      <c r="G414">
        <v>0</v>
      </c>
      <c r="H414">
        <v>919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f>NHS_AE_2024_2025[[#This Row],[A&amp;E attendances Type 1]]+
NHS_AE_2024_2025[[#This Row],[A&amp;E attendances Type 2]]+
NHS_AE_2024_2025[[#This Row],[A&amp;E attendances Other A&amp;E Department]]</f>
        <v>919</v>
      </c>
      <c r="Y414">
        <f t="shared" si="12"/>
        <v>2</v>
      </c>
      <c r="Z414">
        <f t="shared" si="13"/>
        <v>0</v>
      </c>
    </row>
    <row r="415" spans="1:26" x14ac:dyDescent="0.2">
      <c r="A415" t="s">
        <v>432</v>
      </c>
      <c r="B415" t="s">
        <v>433</v>
      </c>
      <c r="C415" t="s">
        <v>41</v>
      </c>
      <c r="D415" t="s">
        <v>32</v>
      </c>
      <c r="E415" t="s">
        <v>42</v>
      </c>
      <c r="F415">
        <v>0</v>
      </c>
      <c r="G415">
        <v>0</v>
      </c>
      <c r="H415">
        <v>3187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f>NHS_AE_2024_2025[[#This Row],[A&amp;E attendances Type 1]]+
NHS_AE_2024_2025[[#This Row],[A&amp;E attendances Type 2]]+
NHS_AE_2024_2025[[#This Row],[A&amp;E attendances Other A&amp;E Department]]</f>
        <v>3187</v>
      </c>
      <c r="Y415">
        <f t="shared" si="12"/>
        <v>0</v>
      </c>
      <c r="Z415">
        <f t="shared" si="13"/>
        <v>0</v>
      </c>
    </row>
    <row r="416" spans="1:26" x14ac:dyDescent="0.2">
      <c r="A416" t="s">
        <v>432</v>
      </c>
      <c r="B416" t="s">
        <v>433</v>
      </c>
      <c r="C416" t="s">
        <v>146</v>
      </c>
      <c r="D416" t="s">
        <v>32</v>
      </c>
      <c r="E416" t="s">
        <v>147</v>
      </c>
      <c r="F416">
        <v>0</v>
      </c>
      <c r="G416">
        <v>0</v>
      </c>
      <c r="H416">
        <v>5522</v>
      </c>
      <c r="I416">
        <v>0</v>
      </c>
      <c r="J416">
        <v>0</v>
      </c>
      <c r="K416">
        <v>272</v>
      </c>
      <c r="L416">
        <v>0</v>
      </c>
      <c r="M416">
        <v>0</v>
      </c>
      <c r="N416">
        <v>857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f>NHS_AE_2024_2025[[#This Row],[A&amp;E attendances Type 1]]+
NHS_AE_2024_2025[[#This Row],[A&amp;E attendances Type 2]]+
NHS_AE_2024_2025[[#This Row],[A&amp;E attendances Other A&amp;E Department]]</f>
        <v>5522</v>
      </c>
      <c r="Y416">
        <f t="shared" si="12"/>
        <v>857</v>
      </c>
      <c r="Z416">
        <f t="shared" si="13"/>
        <v>0</v>
      </c>
    </row>
    <row r="417" spans="1:26" x14ac:dyDescent="0.2">
      <c r="A417" t="s">
        <v>432</v>
      </c>
      <c r="B417" t="s">
        <v>433</v>
      </c>
      <c r="C417" t="s">
        <v>100</v>
      </c>
      <c r="D417" t="s">
        <v>37</v>
      </c>
      <c r="E417" t="s">
        <v>101</v>
      </c>
      <c r="F417">
        <v>0</v>
      </c>
      <c r="G417">
        <v>0</v>
      </c>
      <c r="H417">
        <v>5058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235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f>NHS_AE_2024_2025[[#This Row],[A&amp;E attendances Type 1]]+
NHS_AE_2024_2025[[#This Row],[A&amp;E attendances Type 2]]+
NHS_AE_2024_2025[[#This Row],[A&amp;E attendances Other A&amp;E Department]]</f>
        <v>5058</v>
      </c>
      <c r="Y417">
        <f t="shared" si="12"/>
        <v>235</v>
      </c>
      <c r="Z417">
        <f t="shared" si="13"/>
        <v>0</v>
      </c>
    </row>
    <row r="418" spans="1:26" x14ac:dyDescent="0.2">
      <c r="A418" t="s">
        <v>432</v>
      </c>
      <c r="B418" t="s">
        <v>433</v>
      </c>
      <c r="C418" t="s">
        <v>78</v>
      </c>
      <c r="D418" t="s">
        <v>37</v>
      </c>
      <c r="E418" t="s">
        <v>79</v>
      </c>
      <c r="F418">
        <v>0</v>
      </c>
      <c r="G418">
        <v>0</v>
      </c>
      <c r="H418">
        <v>2372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170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f>NHS_AE_2024_2025[[#This Row],[A&amp;E attendances Type 1]]+
NHS_AE_2024_2025[[#This Row],[A&amp;E attendances Type 2]]+
NHS_AE_2024_2025[[#This Row],[A&amp;E attendances Other A&amp;E Department]]</f>
        <v>2372</v>
      </c>
      <c r="Y418">
        <f t="shared" si="12"/>
        <v>170</v>
      </c>
      <c r="Z418">
        <f t="shared" si="13"/>
        <v>0</v>
      </c>
    </row>
    <row r="419" spans="1:26" x14ac:dyDescent="0.2">
      <c r="A419" t="s">
        <v>432</v>
      </c>
      <c r="B419" t="s">
        <v>433</v>
      </c>
      <c r="C419" t="s">
        <v>80</v>
      </c>
      <c r="D419" t="s">
        <v>37</v>
      </c>
      <c r="E419" t="s">
        <v>81</v>
      </c>
      <c r="F419">
        <v>0</v>
      </c>
      <c r="G419">
        <v>0</v>
      </c>
      <c r="H419">
        <v>2564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45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f>NHS_AE_2024_2025[[#This Row],[A&amp;E attendances Type 1]]+
NHS_AE_2024_2025[[#This Row],[A&amp;E attendances Type 2]]+
NHS_AE_2024_2025[[#This Row],[A&amp;E attendances Other A&amp;E Department]]</f>
        <v>2564</v>
      </c>
      <c r="Y419">
        <f t="shared" si="12"/>
        <v>45</v>
      </c>
      <c r="Z419">
        <f t="shared" si="13"/>
        <v>0</v>
      </c>
    </row>
    <row r="420" spans="1:26" x14ac:dyDescent="0.2">
      <c r="A420" t="s">
        <v>432</v>
      </c>
      <c r="B420" t="s">
        <v>433</v>
      </c>
      <c r="C420" t="s">
        <v>45</v>
      </c>
      <c r="D420" t="s">
        <v>26</v>
      </c>
      <c r="E420" t="s">
        <v>46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2</v>
      </c>
      <c r="X420">
        <f>NHS_AE_2024_2025[[#This Row],[A&amp;E attendances Type 1]]+
NHS_AE_2024_2025[[#This Row],[A&amp;E attendances Type 2]]+
NHS_AE_2024_2025[[#This Row],[A&amp;E attendances Other A&amp;E Department]]</f>
        <v>0</v>
      </c>
      <c r="Y420">
        <f t="shared" si="12"/>
        <v>0</v>
      </c>
      <c r="Z420">
        <f t="shared" si="13"/>
        <v>3</v>
      </c>
    </row>
    <row r="421" spans="1:26" x14ac:dyDescent="0.2">
      <c r="A421" t="s">
        <v>432</v>
      </c>
      <c r="B421" t="s">
        <v>433</v>
      </c>
      <c r="C421" t="s">
        <v>256</v>
      </c>
      <c r="D421" t="s">
        <v>37</v>
      </c>
      <c r="E421" t="s">
        <v>257</v>
      </c>
      <c r="F421">
        <v>0</v>
      </c>
      <c r="G421">
        <v>0</v>
      </c>
      <c r="H421">
        <v>3042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256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f>NHS_AE_2024_2025[[#This Row],[A&amp;E attendances Type 1]]+
NHS_AE_2024_2025[[#This Row],[A&amp;E attendances Type 2]]+
NHS_AE_2024_2025[[#This Row],[A&amp;E attendances Other A&amp;E Department]]</f>
        <v>3042</v>
      </c>
      <c r="Y421">
        <f t="shared" si="12"/>
        <v>256</v>
      </c>
      <c r="Z421">
        <f t="shared" si="13"/>
        <v>0</v>
      </c>
    </row>
    <row r="422" spans="1:26" x14ac:dyDescent="0.2">
      <c r="A422" t="s">
        <v>432</v>
      </c>
      <c r="B422" t="s">
        <v>433</v>
      </c>
      <c r="C422" t="s">
        <v>86</v>
      </c>
      <c r="D422" t="s">
        <v>37</v>
      </c>
      <c r="E422" t="s">
        <v>87</v>
      </c>
      <c r="F422">
        <v>0</v>
      </c>
      <c r="G422">
        <v>0</v>
      </c>
      <c r="H422">
        <v>1316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</v>
      </c>
      <c r="W422">
        <v>480</v>
      </c>
      <c r="X422">
        <f>NHS_AE_2024_2025[[#This Row],[A&amp;E attendances Type 1]]+
NHS_AE_2024_2025[[#This Row],[A&amp;E attendances Type 2]]+
NHS_AE_2024_2025[[#This Row],[A&amp;E attendances Other A&amp;E Department]]</f>
        <v>1316</v>
      </c>
      <c r="Y422">
        <f t="shared" si="12"/>
        <v>5</v>
      </c>
      <c r="Z422">
        <f t="shared" si="13"/>
        <v>482</v>
      </c>
    </row>
    <row r="423" spans="1:26" x14ac:dyDescent="0.2">
      <c r="A423" t="s">
        <v>432</v>
      </c>
      <c r="B423" t="s">
        <v>433</v>
      </c>
      <c r="C423" t="s">
        <v>49</v>
      </c>
      <c r="D423" t="s">
        <v>50</v>
      </c>
      <c r="E423" t="s">
        <v>51</v>
      </c>
      <c r="F423">
        <v>16032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5838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1353</v>
      </c>
      <c r="S423">
        <v>19</v>
      </c>
      <c r="T423">
        <v>3272</v>
      </c>
      <c r="U423">
        <v>0</v>
      </c>
      <c r="V423">
        <v>0</v>
      </c>
      <c r="W423">
        <v>329</v>
      </c>
      <c r="X423">
        <f>NHS_AE_2024_2025[[#This Row],[A&amp;E attendances Type 1]]+
NHS_AE_2024_2025[[#This Row],[A&amp;E attendances Type 2]]+
NHS_AE_2024_2025[[#This Row],[A&amp;E attendances Other A&amp;E Department]]</f>
        <v>16032</v>
      </c>
      <c r="Y423">
        <f t="shared" si="12"/>
        <v>5838</v>
      </c>
      <c r="Z423">
        <f t="shared" si="13"/>
        <v>3601</v>
      </c>
    </row>
    <row r="424" spans="1:26" x14ac:dyDescent="0.2">
      <c r="A424" t="s">
        <v>432</v>
      </c>
      <c r="B424" t="s">
        <v>433</v>
      </c>
      <c r="C424" t="s">
        <v>174</v>
      </c>
      <c r="D424" t="s">
        <v>50</v>
      </c>
      <c r="E424" t="s">
        <v>175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111</v>
      </c>
      <c r="X424">
        <f>NHS_AE_2024_2025[[#This Row],[A&amp;E attendances Type 1]]+
NHS_AE_2024_2025[[#This Row],[A&amp;E attendances Type 2]]+
NHS_AE_2024_2025[[#This Row],[A&amp;E attendances Other A&amp;E Department]]</f>
        <v>0</v>
      </c>
      <c r="Y424">
        <f t="shared" si="12"/>
        <v>0</v>
      </c>
      <c r="Z424">
        <f t="shared" si="13"/>
        <v>111</v>
      </c>
    </row>
    <row r="425" spans="1:26" x14ac:dyDescent="0.2">
      <c r="A425" t="s">
        <v>432</v>
      </c>
      <c r="B425" t="s">
        <v>433</v>
      </c>
      <c r="C425" t="s">
        <v>61</v>
      </c>
      <c r="D425" t="s">
        <v>55</v>
      </c>
      <c r="E425" t="s">
        <v>62</v>
      </c>
      <c r="F425">
        <v>0</v>
      </c>
      <c r="G425">
        <v>0</v>
      </c>
      <c r="H425">
        <v>1687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f>NHS_AE_2024_2025[[#This Row],[A&amp;E attendances Type 1]]+
NHS_AE_2024_2025[[#This Row],[A&amp;E attendances Type 2]]+
NHS_AE_2024_2025[[#This Row],[A&amp;E attendances Other A&amp;E Department]]</f>
        <v>1687</v>
      </c>
      <c r="Y425">
        <f t="shared" si="12"/>
        <v>0</v>
      </c>
      <c r="Z425">
        <f t="shared" si="13"/>
        <v>0</v>
      </c>
    </row>
    <row r="426" spans="1:26" x14ac:dyDescent="0.2">
      <c r="A426" t="s">
        <v>432</v>
      </c>
      <c r="B426" t="s">
        <v>433</v>
      </c>
      <c r="C426" t="s">
        <v>63</v>
      </c>
      <c r="D426" t="s">
        <v>32</v>
      </c>
      <c r="E426" t="s">
        <v>64</v>
      </c>
      <c r="F426">
        <v>0</v>
      </c>
      <c r="G426">
        <v>0</v>
      </c>
      <c r="H426">
        <v>7704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f>NHS_AE_2024_2025[[#This Row],[A&amp;E attendances Type 1]]+
NHS_AE_2024_2025[[#This Row],[A&amp;E attendances Type 2]]+
NHS_AE_2024_2025[[#This Row],[A&amp;E attendances Other A&amp;E Department]]</f>
        <v>7704</v>
      </c>
      <c r="Y426">
        <f t="shared" si="12"/>
        <v>0</v>
      </c>
      <c r="Z426">
        <f t="shared" si="13"/>
        <v>0</v>
      </c>
    </row>
    <row r="427" spans="1:26" x14ac:dyDescent="0.2">
      <c r="A427" t="s">
        <v>432</v>
      </c>
      <c r="B427" t="s">
        <v>433</v>
      </c>
      <c r="C427" t="s">
        <v>106</v>
      </c>
      <c r="D427" t="s">
        <v>37</v>
      </c>
      <c r="E427" t="s">
        <v>107</v>
      </c>
      <c r="F427">
        <v>0</v>
      </c>
      <c r="G427">
        <v>0</v>
      </c>
      <c r="H427">
        <v>1820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f>NHS_AE_2024_2025[[#This Row],[A&amp;E attendances Type 1]]+
NHS_AE_2024_2025[[#This Row],[A&amp;E attendances Type 2]]+
NHS_AE_2024_2025[[#This Row],[A&amp;E attendances Other A&amp;E Department]]</f>
        <v>1820</v>
      </c>
      <c r="Y427">
        <f t="shared" si="12"/>
        <v>0</v>
      </c>
      <c r="Z427">
        <f t="shared" si="13"/>
        <v>0</v>
      </c>
    </row>
    <row r="428" spans="1:26" x14ac:dyDescent="0.2">
      <c r="A428" t="s">
        <v>432</v>
      </c>
      <c r="B428" t="s">
        <v>433</v>
      </c>
      <c r="C428" t="s">
        <v>108</v>
      </c>
      <c r="D428" t="s">
        <v>37</v>
      </c>
      <c r="E428" t="s">
        <v>109</v>
      </c>
      <c r="F428">
        <v>0</v>
      </c>
      <c r="G428">
        <v>0</v>
      </c>
      <c r="H428">
        <v>2022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f>NHS_AE_2024_2025[[#This Row],[A&amp;E attendances Type 1]]+
NHS_AE_2024_2025[[#This Row],[A&amp;E attendances Type 2]]+
NHS_AE_2024_2025[[#This Row],[A&amp;E attendances Other A&amp;E Department]]</f>
        <v>2022</v>
      </c>
      <c r="Y428">
        <f t="shared" si="12"/>
        <v>0</v>
      </c>
      <c r="Z428">
        <f t="shared" si="13"/>
        <v>0</v>
      </c>
    </row>
    <row r="429" spans="1:26" x14ac:dyDescent="0.2">
      <c r="A429" t="s">
        <v>432</v>
      </c>
      <c r="B429" t="s">
        <v>433</v>
      </c>
      <c r="C429" t="s">
        <v>222</v>
      </c>
      <c r="D429" t="s">
        <v>32</v>
      </c>
      <c r="E429" t="s">
        <v>223</v>
      </c>
      <c r="F429">
        <v>0</v>
      </c>
      <c r="G429">
        <v>0</v>
      </c>
      <c r="H429">
        <v>4899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f>NHS_AE_2024_2025[[#This Row],[A&amp;E attendances Type 1]]+
NHS_AE_2024_2025[[#This Row],[A&amp;E attendances Type 2]]+
NHS_AE_2024_2025[[#This Row],[A&amp;E attendances Other A&amp;E Department]]</f>
        <v>4899</v>
      </c>
      <c r="Y429">
        <f t="shared" si="12"/>
        <v>0</v>
      </c>
      <c r="Z429">
        <f t="shared" si="13"/>
        <v>0</v>
      </c>
    </row>
    <row r="430" spans="1:26" x14ac:dyDescent="0.2">
      <c r="A430" t="s">
        <v>432</v>
      </c>
      <c r="B430" t="s">
        <v>433</v>
      </c>
      <c r="C430" t="s">
        <v>118</v>
      </c>
      <c r="D430" t="s">
        <v>32</v>
      </c>
      <c r="E430" t="s">
        <v>119</v>
      </c>
      <c r="F430">
        <v>0</v>
      </c>
      <c r="G430">
        <v>0</v>
      </c>
      <c r="H430">
        <v>2279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f>NHS_AE_2024_2025[[#This Row],[A&amp;E attendances Type 1]]+
NHS_AE_2024_2025[[#This Row],[A&amp;E attendances Type 2]]+
NHS_AE_2024_2025[[#This Row],[A&amp;E attendances Other A&amp;E Department]]</f>
        <v>2279</v>
      </c>
      <c r="Y430">
        <f t="shared" si="12"/>
        <v>0</v>
      </c>
      <c r="Z430">
        <f t="shared" si="13"/>
        <v>0</v>
      </c>
    </row>
    <row r="431" spans="1:26" x14ac:dyDescent="0.2">
      <c r="A431" t="s">
        <v>432</v>
      </c>
      <c r="B431" t="s">
        <v>433</v>
      </c>
      <c r="C431" t="s">
        <v>43</v>
      </c>
      <c r="D431" t="s">
        <v>26</v>
      </c>
      <c r="E431" t="s">
        <v>44</v>
      </c>
      <c r="F431">
        <v>6285</v>
      </c>
      <c r="G431">
        <v>0</v>
      </c>
      <c r="H431">
        <v>2940</v>
      </c>
      <c r="I431">
        <v>495</v>
      </c>
      <c r="J431">
        <v>0</v>
      </c>
      <c r="K431">
        <v>172</v>
      </c>
      <c r="L431">
        <v>3208</v>
      </c>
      <c r="M431">
        <v>0</v>
      </c>
      <c r="N431">
        <v>42</v>
      </c>
      <c r="O431">
        <v>216</v>
      </c>
      <c r="P431">
        <v>0</v>
      </c>
      <c r="Q431">
        <v>2</v>
      </c>
      <c r="R431">
        <v>374</v>
      </c>
      <c r="S431">
        <v>80</v>
      </c>
      <c r="T431">
        <v>2175</v>
      </c>
      <c r="U431">
        <v>0</v>
      </c>
      <c r="V431">
        <v>0</v>
      </c>
      <c r="W431">
        <v>1235</v>
      </c>
      <c r="X431">
        <f>NHS_AE_2024_2025[[#This Row],[A&amp;E attendances Type 1]]+
NHS_AE_2024_2025[[#This Row],[A&amp;E attendances Type 2]]+
NHS_AE_2024_2025[[#This Row],[A&amp;E attendances Other A&amp;E Department]]</f>
        <v>9225</v>
      </c>
      <c r="Y431">
        <f t="shared" si="12"/>
        <v>3250</v>
      </c>
      <c r="Z431">
        <f t="shared" si="13"/>
        <v>3410</v>
      </c>
    </row>
    <row r="432" spans="1:26" x14ac:dyDescent="0.2">
      <c r="A432" t="s">
        <v>432</v>
      </c>
      <c r="B432" t="s">
        <v>433</v>
      </c>
      <c r="C432" t="s">
        <v>84</v>
      </c>
      <c r="D432" t="s">
        <v>50</v>
      </c>
      <c r="E432" t="s">
        <v>85</v>
      </c>
      <c r="F432">
        <v>9184</v>
      </c>
      <c r="G432">
        <v>0</v>
      </c>
      <c r="H432">
        <v>0</v>
      </c>
      <c r="I432">
        <v>19</v>
      </c>
      <c r="J432">
        <v>0</v>
      </c>
      <c r="K432">
        <v>0</v>
      </c>
      <c r="L432">
        <v>3487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841</v>
      </c>
      <c r="S432">
        <v>5</v>
      </c>
      <c r="T432">
        <v>2994</v>
      </c>
      <c r="U432">
        <v>0</v>
      </c>
      <c r="V432">
        <v>0</v>
      </c>
      <c r="W432">
        <v>526</v>
      </c>
      <c r="X432">
        <f>NHS_AE_2024_2025[[#This Row],[A&amp;E attendances Type 1]]+
NHS_AE_2024_2025[[#This Row],[A&amp;E attendances Type 2]]+
NHS_AE_2024_2025[[#This Row],[A&amp;E attendances Other A&amp;E Department]]</f>
        <v>9184</v>
      </c>
      <c r="Y432">
        <f t="shared" si="12"/>
        <v>3487</v>
      </c>
      <c r="Z432">
        <f t="shared" si="13"/>
        <v>3520</v>
      </c>
    </row>
    <row r="433" spans="1:26" x14ac:dyDescent="0.2">
      <c r="A433" t="s">
        <v>432</v>
      </c>
      <c r="B433" t="s">
        <v>433</v>
      </c>
      <c r="C433" t="s">
        <v>114</v>
      </c>
      <c r="D433" t="s">
        <v>32</v>
      </c>
      <c r="E433" t="s">
        <v>115</v>
      </c>
      <c r="F433">
        <v>9144</v>
      </c>
      <c r="G433">
        <v>490</v>
      </c>
      <c r="H433">
        <v>2669</v>
      </c>
      <c r="I433">
        <v>1528</v>
      </c>
      <c r="J433">
        <v>0</v>
      </c>
      <c r="K433">
        <v>189</v>
      </c>
      <c r="L433">
        <v>4028</v>
      </c>
      <c r="M433">
        <v>6</v>
      </c>
      <c r="N433">
        <v>409</v>
      </c>
      <c r="O433">
        <v>525</v>
      </c>
      <c r="P433">
        <v>0</v>
      </c>
      <c r="Q433">
        <v>24</v>
      </c>
      <c r="R433">
        <v>500</v>
      </c>
      <c r="S433">
        <v>874</v>
      </c>
      <c r="T433">
        <v>2236</v>
      </c>
      <c r="U433">
        <v>0</v>
      </c>
      <c r="V433">
        <v>0</v>
      </c>
      <c r="W433">
        <v>991</v>
      </c>
      <c r="X433">
        <f>NHS_AE_2024_2025[[#This Row],[A&amp;E attendances Type 1]]+
NHS_AE_2024_2025[[#This Row],[A&amp;E attendances Type 2]]+
NHS_AE_2024_2025[[#This Row],[A&amp;E attendances Other A&amp;E Department]]</f>
        <v>12303</v>
      </c>
      <c r="Y433">
        <f t="shared" si="12"/>
        <v>4443</v>
      </c>
      <c r="Z433">
        <f t="shared" si="13"/>
        <v>3227</v>
      </c>
    </row>
    <row r="434" spans="1:26" x14ac:dyDescent="0.2">
      <c r="A434" t="s">
        <v>432</v>
      </c>
      <c r="B434" t="s">
        <v>433</v>
      </c>
      <c r="C434" t="s">
        <v>328</v>
      </c>
      <c r="D434" t="s">
        <v>70</v>
      </c>
      <c r="E434" t="s">
        <v>329</v>
      </c>
      <c r="F434">
        <v>8022</v>
      </c>
      <c r="G434">
        <v>0</v>
      </c>
      <c r="H434">
        <v>2229</v>
      </c>
      <c r="I434">
        <v>0</v>
      </c>
      <c r="J434">
        <v>0</v>
      </c>
      <c r="K434">
        <v>788</v>
      </c>
      <c r="L434">
        <v>4949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584</v>
      </c>
      <c r="S434">
        <v>289</v>
      </c>
      <c r="T434">
        <v>1671</v>
      </c>
      <c r="U434">
        <v>0</v>
      </c>
      <c r="V434">
        <v>0</v>
      </c>
      <c r="W434">
        <v>221</v>
      </c>
      <c r="X434">
        <f>NHS_AE_2024_2025[[#This Row],[A&amp;E attendances Type 1]]+
NHS_AE_2024_2025[[#This Row],[A&amp;E attendances Type 2]]+
NHS_AE_2024_2025[[#This Row],[A&amp;E attendances Other A&amp;E Department]]</f>
        <v>10251</v>
      </c>
      <c r="Y434">
        <f t="shared" si="12"/>
        <v>4949</v>
      </c>
      <c r="Z434">
        <f t="shared" si="13"/>
        <v>1892</v>
      </c>
    </row>
    <row r="435" spans="1:26" x14ac:dyDescent="0.2">
      <c r="A435" t="s">
        <v>432</v>
      </c>
      <c r="B435" t="s">
        <v>433</v>
      </c>
      <c r="C435" t="s">
        <v>166</v>
      </c>
      <c r="D435" t="s">
        <v>50</v>
      </c>
      <c r="E435" t="s">
        <v>167</v>
      </c>
      <c r="F435">
        <v>0</v>
      </c>
      <c r="G435">
        <v>0</v>
      </c>
      <c r="H435">
        <v>1102</v>
      </c>
      <c r="I435">
        <v>0</v>
      </c>
      <c r="J435">
        <v>0</v>
      </c>
      <c r="K435">
        <v>38</v>
      </c>
      <c r="L435">
        <v>0</v>
      </c>
      <c r="M435">
        <v>0</v>
      </c>
      <c r="N435">
        <v>5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f>NHS_AE_2024_2025[[#This Row],[A&amp;E attendances Type 1]]+
NHS_AE_2024_2025[[#This Row],[A&amp;E attendances Type 2]]+
NHS_AE_2024_2025[[#This Row],[A&amp;E attendances Other A&amp;E Department]]</f>
        <v>1102</v>
      </c>
      <c r="Y435">
        <f t="shared" si="12"/>
        <v>5</v>
      </c>
      <c r="Z435">
        <f t="shared" si="13"/>
        <v>0</v>
      </c>
    </row>
    <row r="436" spans="1:26" x14ac:dyDescent="0.2">
      <c r="A436" t="s">
        <v>432</v>
      </c>
      <c r="B436" t="s">
        <v>433</v>
      </c>
      <c r="C436" t="s">
        <v>57</v>
      </c>
      <c r="D436" t="s">
        <v>32</v>
      </c>
      <c r="E436" t="s">
        <v>58</v>
      </c>
      <c r="F436">
        <v>0</v>
      </c>
      <c r="G436">
        <v>0</v>
      </c>
      <c r="H436">
        <v>6211</v>
      </c>
      <c r="I436">
        <v>0</v>
      </c>
      <c r="J436">
        <v>0</v>
      </c>
      <c r="K436">
        <v>2205</v>
      </c>
      <c r="L436">
        <v>0</v>
      </c>
      <c r="M436">
        <v>0</v>
      </c>
      <c r="N436">
        <v>43</v>
      </c>
      <c r="O436">
        <v>0</v>
      </c>
      <c r="P436">
        <v>0</v>
      </c>
      <c r="Q436">
        <v>10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f>NHS_AE_2024_2025[[#This Row],[A&amp;E attendances Type 1]]+
NHS_AE_2024_2025[[#This Row],[A&amp;E attendances Type 2]]+
NHS_AE_2024_2025[[#This Row],[A&amp;E attendances Other A&amp;E Department]]</f>
        <v>6211</v>
      </c>
      <c r="Y436">
        <f t="shared" si="12"/>
        <v>43</v>
      </c>
      <c r="Z436">
        <f t="shared" si="13"/>
        <v>0</v>
      </c>
    </row>
    <row r="437" spans="1:26" x14ac:dyDescent="0.2">
      <c r="A437" t="s">
        <v>432</v>
      </c>
      <c r="B437" t="s">
        <v>433</v>
      </c>
      <c r="C437" t="s">
        <v>130</v>
      </c>
      <c r="D437" t="s">
        <v>70</v>
      </c>
      <c r="E437" t="s">
        <v>131</v>
      </c>
      <c r="F437">
        <v>0</v>
      </c>
      <c r="G437">
        <v>0</v>
      </c>
      <c r="H437">
        <v>4070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f>NHS_AE_2024_2025[[#This Row],[A&amp;E attendances Type 1]]+
NHS_AE_2024_2025[[#This Row],[A&amp;E attendances Type 2]]+
NHS_AE_2024_2025[[#This Row],[A&amp;E attendances Other A&amp;E Department]]</f>
        <v>4070</v>
      </c>
      <c r="Y437">
        <f t="shared" si="12"/>
        <v>0</v>
      </c>
      <c r="Z437">
        <f t="shared" si="13"/>
        <v>0</v>
      </c>
    </row>
    <row r="438" spans="1:26" x14ac:dyDescent="0.2">
      <c r="A438" t="s">
        <v>432</v>
      </c>
      <c r="B438" t="s">
        <v>433</v>
      </c>
      <c r="C438" t="s">
        <v>31</v>
      </c>
      <c r="D438" t="s">
        <v>32</v>
      </c>
      <c r="E438" t="s">
        <v>33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1541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f>NHS_AE_2024_2025[[#This Row],[A&amp;E attendances Type 1]]+
NHS_AE_2024_2025[[#This Row],[A&amp;E attendances Type 2]]+
NHS_AE_2024_2025[[#This Row],[A&amp;E attendances Other A&amp;E Department]]</f>
        <v>0</v>
      </c>
      <c r="Y438">
        <f t="shared" si="12"/>
        <v>0</v>
      </c>
      <c r="Z438">
        <f t="shared" si="13"/>
        <v>0</v>
      </c>
    </row>
    <row r="439" spans="1:26" x14ac:dyDescent="0.2">
      <c r="A439" t="s">
        <v>432</v>
      </c>
      <c r="B439" t="s">
        <v>433</v>
      </c>
      <c r="C439" t="s">
        <v>136</v>
      </c>
      <c r="D439" t="s">
        <v>32</v>
      </c>
      <c r="E439" t="s">
        <v>137</v>
      </c>
      <c r="F439">
        <v>0</v>
      </c>
      <c r="G439">
        <v>0</v>
      </c>
      <c r="H439">
        <v>6414</v>
      </c>
      <c r="I439">
        <v>0</v>
      </c>
      <c r="J439">
        <v>0</v>
      </c>
      <c r="K439">
        <v>624</v>
      </c>
      <c r="L439">
        <v>0</v>
      </c>
      <c r="M439">
        <v>0</v>
      </c>
      <c r="N439">
        <v>38</v>
      </c>
      <c r="O439">
        <v>0</v>
      </c>
      <c r="P439">
        <v>0</v>
      </c>
      <c r="Q439">
        <v>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f>NHS_AE_2024_2025[[#This Row],[A&amp;E attendances Type 1]]+
NHS_AE_2024_2025[[#This Row],[A&amp;E attendances Type 2]]+
NHS_AE_2024_2025[[#This Row],[A&amp;E attendances Other A&amp;E Department]]</f>
        <v>6414</v>
      </c>
      <c r="Y439">
        <f t="shared" si="12"/>
        <v>38</v>
      </c>
      <c r="Z439">
        <f t="shared" si="13"/>
        <v>0</v>
      </c>
    </row>
    <row r="440" spans="1:26" x14ac:dyDescent="0.2">
      <c r="A440" t="s">
        <v>432</v>
      </c>
      <c r="B440" t="s">
        <v>433</v>
      </c>
      <c r="C440" t="s">
        <v>138</v>
      </c>
      <c r="D440" t="s">
        <v>32</v>
      </c>
      <c r="E440" t="s">
        <v>139</v>
      </c>
      <c r="F440">
        <v>0</v>
      </c>
      <c r="G440">
        <v>0</v>
      </c>
      <c r="H440">
        <v>172</v>
      </c>
      <c r="I440">
        <v>0</v>
      </c>
      <c r="J440">
        <v>0</v>
      </c>
      <c r="K440">
        <v>2283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f>NHS_AE_2024_2025[[#This Row],[A&amp;E attendances Type 1]]+
NHS_AE_2024_2025[[#This Row],[A&amp;E attendances Type 2]]+
NHS_AE_2024_2025[[#This Row],[A&amp;E attendances Other A&amp;E Department]]</f>
        <v>172</v>
      </c>
      <c r="Y440">
        <f t="shared" si="12"/>
        <v>0</v>
      </c>
      <c r="Z440">
        <f t="shared" si="13"/>
        <v>0</v>
      </c>
    </row>
    <row r="441" spans="1:26" x14ac:dyDescent="0.2">
      <c r="A441" t="s">
        <v>432</v>
      </c>
      <c r="B441" t="s">
        <v>433</v>
      </c>
      <c r="C441" t="s">
        <v>140</v>
      </c>
      <c r="D441" t="s">
        <v>32</v>
      </c>
      <c r="E441" t="s">
        <v>141</v>
      </c>
      <c r="F441">
        <v>0</v>
      </c>
      <c r="G441">
        <v>0</v>
      </c>
      <c r="H441">
        <v>134</v>
      </c>
      <c r="I441">
        <v>0</v>
      </c>
      <c r="J441">
        <v>0</v>
      </c>
      <c r="K441">
        <v>503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f>NHS_AE_2024_2025[[#This Row],[A&amp;E attendances Type 1]]+
NHS_AE_2024_2025[[#This Row],[A&amp;E attendances Type 2]]+
NHS_AE_2024_2025[[#This Row],[A&amp;E attendances Other A&amp;E Department]]</f>
        <v>134</v>
      </c>
      <c r="Y441">
        <f t="shared" si="12"/>
        <v>0</v>
      </c>
      <c r="Z441">
        <f t="shared" si="13"/>
        <v>0</v>
      </c>
    </row>
    <row r="442" spans="1:26" x14ac:dyDescent="0.2">
      <c r="A442" t="s">
        <v>432</v>
      </c>
      <c r="B442" t="s">
        <v>433</v>
      </c>
      <c r="C442" t="s">
        <v>142</v>
      </c>
      <c r="D442" t="s">
        <v>32</v>
      </c>
      <c r="E442" t="s">
        <v>143</v>
      </c>
      <c r="F442">
        <v>0</v>
      </c>
      <c r="G442">
        <v>0</v>
      </c>
      <c r="H442">
        <v>98</v>
      </c>
      <c r="I442">
        <v>0</v>
      </c>
      <c r="J442">
        <v>0</v>
      </c>
      <c r="K442">
        <v>457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f>NHS_AE_2024_2025[[#This Row],[A&amp;E attendances Type 1]]+
NHS_AE_2024_2025[[#This Row],[A&amp;E attendances Type 2]]+
NHS_AE_2024_2025[[#This Row],[A&amp;E attendances Other A&amp;E Department]]</f>
        <v>98</v>
      </c>
      <c r="Y442">
        <f t="shared" si="12"/>
        <v>0</v>
      </c>
      <c r="Z442">
        <f t="shared" si="13"/>
        <v>0</v>
      </c>
    </row>
    <row r="443" spans="1:26" x14ac:dyDescent="0.2">
      <c r="A443" t="s">
        <v>432</v>
      </c>
      <c r="B443" t="s">
        <v>433</v>
      </c>
      <c r="C443" t="s">
        <v>414</v>
      </c>
      <c r="D443" t="s">
        <v>32</v>
      </c>
      <c r="E443" t="s">
        <v>415</v>
      </c>
      <c r="F443">
        <v>0</v>
      </c>
      <c r="G443">
        <v>0</v>
      </c>
      <c r="H443">
        <v>529</v>
      </c>
      <c r="I443">
        <v>0</v>
      </c>
      <c r="J443">
        <v>0</v>
      </c>
      <c r="K443">
        <v>3446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f>NHS_AE_2024_2025[[#This Row],[A&amp;E attendances Type 1]]+
NHS_AE_2024_2025[[#This Row],[A&amp;E attendances Type 2]]+
NHS_AE_2024_2025[[#This Row],[A&amp;E attendances Other A&amp;E Department]]</f>
        <v>529</v>
      </c>
      <c r="Y443">
        <f t="shared" si="12"/>
        <v>0</v>
      </c>
      <c r="Z443">
        <f t="shared" si="13"/>
        <v>0</v>
      </c>
    </row>
    <row r="444" spans="1:26" x14ac:dyDescent="0.2">
      <c r="A444" t="s">
        <v>432</v>
      </c>
      <c r="B444" t="s">
        <v>433</v>
      </c>
      <c r="C444" t="s">
        <v>144</v>
      </c>
      <c r="D444" t="s">
        <v>32</v>
      </c>
      <c r="E444" t="s">
        <v>145</v>
      </c>
      <c r="F444">
        <v>0</v>
      </c>
      <c r="G444">
        <v>0</v>
      </c>
      <c r="H444">
        <v>74</v>
      </c>
      <c r="I444">
        <v>0</v>
      </c>
      <c r="J444">
        <v>0</v>
      </c>
      <c r="K444">
        <v>402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f>NHS_AE_2024_2025[[#This Row],[A&amp;E attendances Type 1]]+
NHS_AE_2024_2025[[#This Row],[A&amp;E attendances Type 2]]+
NHS_AE_2024_2025[[#This Row],[A&amp;E attendances Other A&amp;E Department]]</f>
        <v>74</v>
      </c>
      <c r="Y444">
        <f t="shared" si="12"/>
        <v>0</v>
      </c>
      <c r="Z444">
        <f t="shared" si="13"/>
        <v>0</v>
      </c>
    </row>
    <row r="445" spans="1:26" x14ac:dyDescent="0.2">
      <c r="A445" t="s">
        <v>432</v>
      </c>
      <c r="B445" t="s">
        <v>433</v>
      </c>
      <c r="C445" t="s">
        <v>110</v>
      </c>
      <c r="D445" t="s">
        <v>37</v>
      </c>
      <c r="E445" t="s">
        <v>111</v>
      </c>
      <c r="F445">
        <v>0</v>
      </c>
      <c r="G445">
        <v>0</v>
      </c>
      <c r="H445">
        <v>1158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f>NHS_AE_2024_2025[[#This Row],[A&amp;E attendances Type 1]]+
NHS_AE_2024_2025[[#This Row],[A&amp;E attendances Type 2]]+
NHS_AE_2024_2025[[#This Row],[A&amp;E attendances Other A&amp;E Department]]</f>
        <v>1158</v>
      </c>
      <c r="Y445">
        <f t="shared" si="12"/>
        <v>0</v>
      </c>
      <c r="Z445">
        <f t="shared" si="13"/>
        <v>0</v>
      </c>
    </row>
    <row r="446" spans="1:26" x14ac:dyDescent="0.2">
      <c r="A446" t="s">
        <v>432</v>
      </c>
      <c r="B446" t="s">
        <v>433</v>
      </c>
      <c r="C446" t="s">
        <v>232</v>
      </c>
      <c r="D446" t="s">
        <v>29</v>
      </c>
      <c r="E446" t="s">
        <v>435</v>
      </c>
      <c r="F446">
        <v>7469</v>
      </c>
      <c r="G446">
        <v>0</v>
      </c>
      <c r="H446">
        <v>8388</v>
      </c>
      <c r="I446">
        <v>0</v>
      </c>
      <c r="J446">
        <v>0</v>
      </c>
      <c r="K446">
        <v>0</v>
      </c>
      <c r="L446">
        <v>4007</v>
      </c>
      <c r="M446">
        <v>0</v>
      </c>
      <c r="N446">
        <v>238</v>
      </c>
      <c r="O446">
        <v>0</v>
      </c>
      <c r="P446">
        <v>0</v>
      </c>
      <c r="Q446">
        <v>0</v>
      </c>
      <c r="R446">
        <v>274</v>
      </c>
      <c r="S446">
        <v>478</v>
      </c>
      <c r="T446">
        <v>2278</v>
      </c>
      <c r="U446">
        <v>0</v>
      </c>
      <c r="V446">
        <v>178</v>
      </c>
      <c r="W446">
        <v>185</v>
      </c>
      <c r="X446">
        <f>NHS_AE_2024_2025[[#This Row],[A&amp;E attendances Type 1]]+
NHS_AE_2024_2025[[#This Row],[A&amp;E attendances Type 2]]+
NHS_AE_2024_2025[[#This Row],[A&amp;E attendances Other A&amp;E Department]]</f>
        <v>15857</v>
      </c>
      <c r="Y446">
        <f t="shared" si="12"/>
        <v>4245</v>
      </c>
      <c r="Z446">
        <f t="shared" si="13"/>
        <v>2641</v>
      </c>
    </row>
    <row r="447" spans="1:26" x14ac:dyDescent="0.2">
      <c r="A447" t="s">
        <v>432</v>
      </c>
      <c r="B447" t="s">
        <v>433</v>
      </c>
      <c r="C447" t="s">
        <v>408</v>
      </c>
      <c r="D447" t="s">
        <v>50</v>
      </c>
      <c r="E447" t="s">
        <v>409</v>
      </c>
      <c r="F447">
        <v>9302</v>
      </c>
      <c r="G447">
        <v>0</v>
      </c>
      <c r="H447">
        <v>6729</v>
      </c>
      <c r="I447">
        <v>0</v>
      </c>
      <c r="J447">
        <v>0</v>
      </c>
      <c r="K447">
        <v>460</v>
      </c>
      <c r="L447">
        <v>5160</v>
      </c>
      <c r="M447">
        <v>0</v>
      </c>
      <c r="N447">
        <v>47</v>
      </c>
      <c r="O447">
        <v>0</v>
      </c>
      <c r="P447">
        <v>0</v>
      </c>
      <c r="Q447">
        <v>2</v>
      </c>
      <c r="R447">
        <v>584</v>
      </c>
      <c r="S447">
        <v>879</v>
      </c>
      <c r="T447">
        <v>5577</v>
      </c>
      <c r="U447">
        <v>0</v>
      </c>
      <c r="V447">
        <v>0</v>
      </c>
      <c r="W447">
        <v>431</v>
      </c>
      <c r="X447">
        <f>NHS_AE_2024_2025[[#This Row],[A&amp;E attendances Type 1]]+
NHS_AE_2024_2025[[#This Row],[A&amp;E attendances Type 2]]+
NHS_AE_2024_2025[[#This Row],[A&amp;E attendances Other A&amp;E Department]]</f>
        <v>16031</v>
      </c>
      <c r="Y447">
        <f t="shared" si="12"/>
        <v>5207</v>
      </c>
      <c r="Z447">
        <f t="shared" si="13"/>
        <v>6008</v>
      </c>
    </row>
    <row r="448" spans="1:26" x14ac:dyDescent="0.2">
      <c r="A448" t="s">
        <v>432</v>
      </c>
      <c r="B448" t="s">
        <v>433</v>
      </c>
      <c r="C448" t="s">
        <v>112</v>
      </c>
      <c r="D448" t="s">
        <v>55</v>
      </c>
      <c r="E448" t="s">
        <v>113</v>
      </c>
      <c r="F448">
        <v>4448</v>
      </c>
      <c r="G448">
        <v>0</v>
      </c>
      <c r="H448">
        <v>0</v>
      </c>
      <c r="I448">
        <v>83</v>
      </c>
      <c r="J448">
        <v>0</v>
      </c>
      <c r="K448">
        <v>31</v>
      </c>
      <c r="L448">
        <v>2292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209</v>
      </c>
      <c r="S448">
        <v>407</v>
      </c>
      <c r="T448">
        <v>943</v>
      </c>
      <c r="U448">
        <v>0</v>
      </c>
      <c r="V448">
        <v>0</v>
      </c>
      <c r="W448">
        <v>210</v>
      </c>
      <c r="X448">
        <f>NHS_AE_2024_2025[[#This Row],[A&amp;E attendances Type 1]]+
NHS_AE_2024_2025[[#This Row],[A&amp;E attendances Type 2]]+
NHS_AE_2024_2025[[#This Row],[A&amp;E attendances Other A&amp;E Department]]</f>
        <v>4448</v>
      </c>
      <c r="Y448">
        <f t="shared" si="12"/>
        <v>2292</v>
      </c>
      <c r="Z448">
        <f t="shared" si="13"/>
        <v>1153</v>
      </c>
    </row>
    <row r="449" spans="1:26" x14ac:dyDescent="0.2">
      <c r="A449" t="s">
        <v>432</v>
      </c>
      <c r="B449" t="s">
        <v>433</v>
      </c>
      <c r="C449" t="s">
        <v>52</v>
      </c>
      <c r="D449" t="s">
        <v>37</v>
      </c>
      <c r="E449" t="s">
        <v>53</v>
      </c>
      <c r="F449">
        <v>10785</v>
      </c>
      <c r="G449">
        <v>1095</v>
      </c>
      <c r="H449">
        <v>3672</v>
      </c>
      <c r="I449">
        <v>1</v>
      </c>
      <c r="J449">
        <v>0</v>
      </c>
      <c r="K449">
        <v>0</v>
      </c>
      <c r="L449">
        <v>4498</v>
      </c>
      <c r="M449">
        <v>0</v>
      </c>
      <c r="N449">
        <v>413</v>
      </c>
      <c r="O449">
        <v>0</v>
      </c>
      <c r="P449">
        <v>0</v>
      </c>
      <c r="Q449">
        <v>0</v>
      </c>
      <c r="R449">
        <v>313</v>
      </c>
      <c r="S449">
        <v>274</v>
      </c>
      <c r="T449">
        <v>3872</v>
      </c>
      <c r="U449">
        <v>753</v>
      </c>
      <c r="V449">
        <v>0</v>
      </c>
      <c r="W449">
        <v>2074</v>
      </c>
      <c r="X449">
        <f>NHS_AE_2024_2025[[#This Row],[A&amp;E attendances Type 1]]+
NHS_AE_2024_2025[[#This Row],[A&amp;E attendances Type 2]]+
NHS_AE_2024_2025[[#This Row],[A&amp;E attendances Other A&amp;E Department]]</f>
        <v>15552</v>
      </c>
      <c r="Y449">
        <f t="shared" si="12"/>
        <v>4911</v>
      </c>
      <c r="Z449">
        <f t="shared" si="13"/>
        <v>6699</v>
      </c>
    </row>
    <row r="450" spans="1:26" x14ac:dyDescent="0.2">
      <c r="A450" t="s">
        <v>432</v>
      </c>
      <c r="B450" t="s">
        <v>433</v>
      </c>
      <c r="C450" t="s">
        <v>274</v>
      </c>
      <c r="D450" t="s">
        <v>32</v>
      </c>
      <c r="E450" t="s">
        <v>275</v>
      </c>
      <c r="F450">
        <v>0</v>
      </c>
      <c r="G450">
        <v>0</v>
      </c>
      <c r="H450">
        <v>8592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324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f>NHS_AE_2024_2025[[#This Row],[A&amp;E attendances Type 1]]+
NHS_AE_2024_2025[[#This Row],[A&amp;E attendances Type 2]]+
NHS_AE_2024_2025[[#This Row],[A&amp;E attendances Other A&amp;E Department]]</f>
        <v>8592</v>
      </c>
      <c r="Y450">
        <f t="shared" ref="Y450:Y513" si="14">L450+M450+N450</f>
        <v>324</v>
      </c>
      <c r="Z450">
        <f t="shared" ref="Z450:Z513" si="15">T450+U450+V450+W450</f>
        <v>0</v>
      </c>
    </row>
    <row r="451" spans="1:26" x14ac:dyDescent="0.2">
      <c r="A451" t="s">
        <v>432</v>
      </c>
      <c r="B451" t="s">
        <v>433</v>
      </c>
      <c r="C451" t="s">
        <v>65</v>
      </c>
      <c r="D451" t="s">
        <v>32</v>
      </c>
      <c r="E451" t="s">
        <v>66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2525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f>NHS_AE_2024_2025[[#This Row],[A&amp;E attendances Type 1]]+
NHS_AE_2024_2025[[#This Row],[A&amp;E attendances Type 2]]+
NHS_AE_2024_2025[[#This Row],[A&amp;E attendances Other A&amp;E Department]]</f>
        <v>0</v>
      </c>
      <c r="Y451">
        <f t="shared" si="14"/>
        <v>0</v>
      </c>
      <c r="Z451">
        <f t="shared" si="15"/>
        <v>0</v>
      </c>
    </row>
    <row r="452" spans="1:26" x14ac:dyDescent="0.2">
      <c r="A452" t="s">
        <v>432</v>
      </c>
      <c r="B452" t="s">
        <v>433</v>
      </c>
      <c r="C452" t="s">
        <v>278</v>
      </c>
      <c r="D452" t="s">
        <v>32</v>
      </c>
      <c r="E452" t="s">
        <v>279</v>
      </c>
      <c r="F452">
        <v>0</v>
      </c>
      <c r="G452">
        <v>0</v>
      </c>
      <c r="H452">
        <v>228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f>NHS_AE_2024_2025[[#This Row],[A&amp;E attendances Type 1]]+
NHS_AE_2024_2025[[#This Row],[A&amp;E attendances Type 2]]+
NHS_AE_2024_2025[[#This Row],[A&amp;E attendances Other A&amp;E Department]]</f>
        <v>228</v>
      </c>
      <c r="Y452">
        <f t="shared" si="14"/>
        <v>0</v>
      </c>
      <c r="Z452">
        <f t="shared" si="15"/>
        <v>0</v>
      </c>
    </row>
    <row r="453" spans="1:26" x14ac:dyDescent="0.2">
      <c r="A453" t="s">
        <v>432</v>
      </c>
      <c r="B453" t="s">
        <v>433</v>
      </c>
      <c r="C453" t="s">
        <v>28</v>
      </c>
      <c r="D453" t="s">
        <v>29</v>
      </c>
      <c r="E453" t="s">
        <v>30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29</v>
      </c>
      <c r="X453">
        <f>NHS_AE_2024_2025[[#This Row],[A&amp;E attendances Type 1]]+
NHS_AE_2024_2025[[#This Row],[A&amp;E attendances Type 2]]+
NHS_AE_2024_2025[[#This Row],[A&amp;E attendances Other A&amp;E Department]]</f>
        <v>0</v>
      </c>
      <c r="Y453">
        <f t="shared" si="14"/>
        <v>0</v>
      </c>
      <c r="Z453">
        <f t="shared" si="15"/>
        <v>29</v>
      </c>
    </row>
    <row r="454" spans="1:26" x14ac:dyDescent="0.2">
      <c r="A454" t="s">
        <v>432</v>
      </c>
      <c r="B454" t="s">
        <v>433</v>
      </c>
      <c r="C454" t="s">
        <v>338</v>
      </c>
      <c r="D454" t="s">
        <v>50</v>
      </c>
      <c r="E454" t="s">
        <v>339</v>
      </c>
      <c r="F454">
        <v>7836</v>
      </c>
      <c r="G454">
        <v>0</v>
      </c>
      <c r="H454">
        <v>8987</v>
      </c>
      <c r="I454">
        <v>0</v>
      </c>
      <c r="J454">
        <v>0</v>
      </c>
      <c r="K454">
        <v>1947</v>
      </c>
      <c r="L454">
        <v>4422</v>
      </c>
      <c r="M454">
        <v>0</v>
      </c>
      <c r="N454">
        <v>743</v>
      </c>
      <c r="O454">
        <v>0</v>
      </c>
      <c r="P454">
        <v>0</v>
      </c>
      <c r="Q454">
        <v>79</v>
      </c>
      <c r="R454">
        <v>622</v>
      </c>
      <c r="S454">
        <v>104</v>
      </c>
      <c r="T454">
        <v>2888</v>
      </c>
      <c r="U454">
        <v>0</v>
      </c>
      <c r="V454">
        <v>112</v>
      </c>
      <c r="W454">
        <v>2401</v>
      </c>
      <c r="X454">
        <f>NHS_AE_2024_2025[[#This Row],[A&amp;E attendances Type 1]]+
NHS_AE_2024_2025[[#This Row],[A&amp;E attendances Type 2]]+
NHS_AE_2024_2025[[#This Row],[A&amp;E attendances Other A&amp;E Department]]</f>
        <v>16823</v>
      </c>
      <c r="Y454">
        <f t="shared" si="14"/>
        <v>5165</v>
      </c>
      <c r="Z454">
        <f t="shared" si="15"/>
        <v>5401</v>
      </c>
    </row>
    <row r="455" spans="1:26" x14ac:dyDescent="0.2">
      <c r="A455" t="s">
        <v>432</v>
      </c>
      <c r="B455" t="s">
        <v>433</v>
      </c>
      <c r="C455" t="s">
        <v>264</v>
      </c>
      <c r="D455" t="s">
        <v>50</v>
      </c>
      <c r="E455" t="s">
        <v>265</v>
      </c>
      <c r="F455">
        <v>9511</v>
      </c>
      <c r="G455">
        <v>0</v>
      </c>
      <c r="H455">
        <v>4552</v>
      </c>
      <c r="I455">
        <v>0</v>
      </c>
      <c r="J455">
        <v>0</v>
      </c>
      <c r="K455">
        <v>0</v>
      </c>
      <c r="L455">
        <v>6118</v>
      </c>
      <c r="M455">
        <v>0</v>
      </c>
      <c r="N455">
        <v>330</v>
      </c>
      <c r="O455">
        <v>0</v>
      </c>
      <c r="P455">
        <v>0</v>
      </c>
      <c r="Q455">
        <v>0</v>
      </c>
      <c r="R455">
        <v>890</v>
      </c>
      <c r="S455">
        <v>776</v>
      </c>
      <c r="T455">
        <v>3378</v>
      </c>
      <c r="U455">
        <v>0</v>
      </c>
      <c r="V455">
        <v>0</v>
      </c>
      <c r="W455">
        <v>2375</v>
      </c>
      <c r="X455">
        <f>NHS_AE_2024_2025[[#This Row],[A&amp;E attendances Type 1]]+
NHS_AE_2024_2025[[#This Row],[A&amp;E attendances Type 2]]+
NHS_AE_2024_2025[[#This Row],[A&amp;E attendances Other A&amp;E Department]]</f>
        <v>14063</v>
      </c>
      <c r="Y455">
        <f t="shared" si="14"/>
        <v>6448</v>
      </c>
      <c r="Z455">
        <f t="shared" si="15"/>
        <v>5753</v>
      </c>
    </row>
    <row r="456" spans="1:26" x14ac:dyDescent="0.2">
      <c r="A456" t="s">
        <v>432</v>
      </c>
      <c r="B456" t="s">
        <v>433</v>
      </c>
      <c r="C456" t="s">
        <v>126</v>
      </c>
      <c r="D456" t="s">
        <v>70</v>
      </c>
      <c r="E456" t="s">
        <v>127</v>
      </c>
      <c r="F456">
        <v>8756</v>
      </c>
      <c r="G456">
        <v>0</v>
      </c>
      <c r="H456">
        <v>7243</v>
      </c>
      <c r="I456">
        <v>0</v>
      </c>
      <c r="J456">
        <v>0</v>
      </c>
      <c r="K456">
        <v>885</v>
      </c>
      <c r="L456">
        <v>3605</v>
      </c>
      <c r="M456">
        <v>0</v>
      </c>
      <c r="N456">
        <v>381</v>
      </c>
      <c r="O456">
        <v>0</v>
      </c>
      <c r="P456">
        <v>0</v>
      </c>
      <c r="Q456">
        <v>0</v>
      </c>
      <c r="R456">
        <v>808</v>
      </c>
      <c r="S456">
        <v>21</v>
      </c>
      <c r="T456">
        <v>4120</v>
      </c>
      <c r="U456">
        <v>0</v>
      </c>
      <c r="V456">
        <v>0</v>
      </c>
      <c r="W456">
        <v>650</v>
      </c>
      <c r="X456">
        <f>NHS_AE_2024_2025[[#This Row],[A&amp;E attendances Type 1]]+
NHS_AE_2024_2025[[#This Row],[A&amp;E attendances Type 2]]+
NHS_AE_2024_2025[[#This Row],[A&amp;E attendances Other A&amp;E Department]]</f>
        <v>15999</v>
      </c>
      <c r="Y456">
        <f t="shared" si="14"/>
        <v>3986</v>
      </c>
      <c r="Z456">
        <f t="shared" si="15"/>
        <v>4770</v>
      </c>
    </row>
    <row r="457" spans="1:26" x14ac:dyDescent="0.2">
      <c r="A457" t="s">
        <v>432</v>
      </c>
      <c r="B457" t="s">
        <v>433</v>
      </c>
      <c r="C457" t="s">
        <v>270</v>
      </c>
      <c r="D457" t="s">
        <v>32</v>
      </c>
      <c r="E457" t="s">
        <v>271</v>
      </c>
      <c r="F457">
        <v>11365</v>
      </c>
      <c r="G457">
        <v>947</v>
      </c>
      <c r="H457">
        <v>9370</v>
      </c>
      <c r="I457">
        <v>534</v>
      </c>
      <c r="J457">
        <v>0</v>
      </c>
      <c r="K457">
        <v>0</v>
      </c>
      <c r="L457">
        <v>5386</v>
      </c>
      <c r="M457">
        <v>160</v>
      </c>
      <c r="N457">
        <v>770</v>
      </c>
      <c r="O457">
        <v>0</v>
      </c>
      <c r="P457">
        <v>0</v>
      </c>
      <c r="Q457">
        <v>0</v>
      </c>
      <c r="R457">
        <v>750</v>
      </c>
      <c r="S457">
        <v>228</v>
      </c>
      <c r="T457">
        <v>2491</v>
      </c>
      <c r="U457">
        <v>0</v>
      </c>
      <c r="V457">
        <v>0</v>
      </c>
      <c r="W457">
        <v>544</v>
      </c>
      <c r="X457">
        <f>NHS_AE_2024_2025[[#This Row],[A&amp;E attendances Type 1]]+
NHS_AE_2024_2025[[#This Row],[A&amp;E attendances Type 2]]+
NHS_AE_2024_2025[[#This Row],[A&amp;E attendances Other A&amp;E Department]]</f>
        <v>21682</v>
      </c>
      <c r="Y457">
        <f t="shared" si="14"/>
        <v>6316</v>
      </c>
      <c r="Z457">
        <f t="shared" si="15"/>
        <v>3035</v>
      </c>
    </row>
    <row r="458" spans="1:26" x14ac:dyDescent="0.2">
      <c r="A458" t="s">
        <v>432</v>
      </c>
      <c r="B458" t="s">
        <v>433</v>
      </c>
      <c r="C458" t="s">
        <v>218</v>
      </c>
      <c r="D458" t="s">
        <v>70</v>
      </c>
      <c r="E458" t="s">
        <v>219</v>
      </c>
      <c r="F458">
        <v>0</v>
      </c>
      <c r="G458">
        <v>0</v>
      </c>
      <c r="H458">
        <v>899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f>NHS_AE_2024_2025[[#This Row],[A&amp;E attendances Type 1]]+
NHS_AE_2024_2025[[#This Row],[A&amp;E attendances Type 2]]+
NHS_AE_2024_2025[[#This Row],[A&amp;E attendances Other A&amp;E Department]]</f>
        <v>899</v>
      </c>
      <c r="Y458">
        <f t="shared" si="14"/>
        <v>20</v>
      </c>
      <c r="Z458">
        <f t="shared" si="15"/>
        <v>0</v>
      </c>
    </row>
    <row r="459" spans="1:26" x14ac:dyDescent="0.2">
      <c r="A459" t="s">
        <v>432</v>
      </c>
      <c r="B459" t="s">
        <v>433</v>
      </c>
      <c r="C459" t="s">
        <v>69</v>
      </c>
      <c r="D459" t="s">
        <v>70</v>
      </c>
      <c r="E459" t="s">
        <v>71</v>
      </c>
      <c r="F459">
        <v>0</v>
      </c>
      <c r="G459">
        <v>0</v>
      </c>
      <c r="H459">
        <v>1884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38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f>NHS_AE_2024_2025[[#This Row],[A&amp;E attendances Type 1]]+
NHS_AE_2024_2025[[#This Row],[A&amp;E attendances Type 2]]+
NHS_AE_2024_2025[[#This Row],[A&amp;E attendances Other A&amp;E Department]]</f>
        <v>1884</v>
      </c>
      <c r="Y459">
        <f t="shared" si="14"/>
        <v>38</v>
      </c>
      <c r="Z459">
        <f t="shared" si="15"/>
        <v>0</v>
      </c>
    </row>
    <row r="460" spans="1:26" x14ac:dyDescent="0.2">
      <c r="A460" t="s">
        <v>432</v>
      </c>
      <c r="B460" t="s">
        <v>433</v>
      </c>
      <c r="C460" t="s">
        <v>234</v>
      </c>
      <c r="D460" t="s">
        <v>26</v>
      </c>
      <c r="E460" t="s">
        <v>235</v>
      </c>
      <c r="F460">
        <v>4150</v>
      </c>
      <c r="G460">
        <v>0</v>
      </c>
      <c r="H460">
        <v>0</v>
      </c>
      <c r="I460">
        <v>394</v>
      </c>
      <c r="J460">
        <v>0</v>
      </c>
      <c r="K460">
        <v>4127</v>
      </c>
      <c r="L460">
        <v>2053</v>
      </c>
      <c r="M460">
        <v>0</v>
      </c>
      <c r="N460">
        <v>0</v>
      </c>
      <c r="O460">
        <v>110</v>
      </c>
      <c r="P460">
        <v>0</v>
      </c>
      <c r="Q460">
        <v>13</v>
      </c>
      <c r="R460">
        <v>264</v>
      </c>
      <c r="S460">
        <v>42</v>
      </c>
      <c r="T460">
        <v>1764</v>
      </c>
      <c r="U460">
        <v>0</v>
      </c>
      <c r="V460">
        <v>0</v>
      </c>
      <c r="W460">
        <v>507</v>
      </c>
      <c r="X460">
        <f>NHS_AE_2024_2025[[#This Row],[A&amp;E attendances Type 1]]+
NHS_AE_2024_2025[[#This Row],[A&amp;E attendances Type 2]]+
NHS_AE_2024_2025[[#This Row],[A&amp;E attendances Other A&amp;E Department]]</f>
        <v>4150</v>
      </c>
      <c r="Y460">
        <f t="shared" si="14"/>
        <v>2053</v>
      </c>
      <c r="Z460">
        <f t="shared" si="15"/>
        <v>2271</v>
      </c>
    </row>
    <row r="461" spans="1:26" x14ac:dyDescent="0.2">
      <c r="A461" t="s">
        <v>432</v>
      </c>
      <c r="B461" t="s">
        <v>433</v>
      </c>
      <c r="C461" t="s">
        <v>82</v>
      </c>
      <c r="D461" t="s">
        <v>55</v>
      </c>
      <c r="E461" t="s">
        <v>83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172</v>
      </c>
      <c r="X461">
        <f>NHS_AE_2024_2025[[#This Row],[A&amp;E attendances Type 1]]+
NHS_AE_2024_2025[[#This Row],[A&amp;E attendances Type 2]]+
NHS_AE_2024_2025[[#This Row],[A&amp;E attendances Other A&amp;E Department]]</f>
        <v>0</v>
      </c>
      <c r="Y461">
        <f t="shared" si="14"/>
        <v>0</v>
      </c>
      <c r="Z461">
        <f t="shared" si="15"/>
        <v>172</v>
      </c>
    </row>
    <row r="462" spans="1:26" x14ac:dyDescent="0.2">
      <c r="A462" t="s">
        <v>432</v>
      </c>
      <c r="B462" t="s">
        <v>433</v>
      </c>
      <c r="C462" t="s">
        <v>406</v>
      </c>
      <c r="D462" t="s">
        <v>37</v>
      </c>
      <c r="E462" t="s">
        <v>407</v>
      </c>
      <c r="F462">
        <v>11028</v>
      </c>
      <c r="G462">
        <v>2143</v>
      </c>
      <c r="H462">
        <v>1713</v>
      </c>
      <c r="I462">
        <v>944</v>
      </c>
      <c r="J462">
        <v>15</v>
      </c>
      <c r="K462">
        <v>0</v>
      </c>
      <c r="L462">
        <v>4966</v>
      </c>
      <c r="M462">
        <v>10</v>
      </c>
      <c r="N462">
        <v>0</v>
      </c>
      <c r="O462">
        <v>327</v>
      </c>
      <c r="P462">
        <v>0</v>
      </c>
      <c r="Q462">
        <v>0</v>
      </c>
      <c r="R462">
        <v>847</v>
      </c>
      <c r="S462">
        <v>7</v>
      </c>
      <c r="T462">
        <v>2603</v>
      </c>
      <c r="U462">
        <v>0</v>
      </c>
      <c r="V462">
        <v>0</v>
      </c>
      <c r="W462">
        <v>383</v>
      </c>
      <c r="X462">
        <f>NHS_AE_2024_2025[[#This Row],[A&amp;E attendances Type 1]]+
NHS_AE_2024_2025[[#This Row],[A&amp;E attendances Type 2]]+
NHS_AE_2024_2025[[#This Row],[A&amp;E attendances Other A&amp;E Department]]</f>
        <v>14884</v>
      </c>
      <c r="Y462">
        <f t="shared" si="14"/>
        <v>4976</v>
      </c>
      <c r="Z462">
        <f t="shared" si="15"/>
        <v>2986</v>
      </c>
    </row>
    <row r="463" spans="1:26" x14ac:dyDescent="0.2">
      <c r="A463" t="s">
        <v>432</v>
      </c>
      <c r="B463" t="s">
        <v>433</v>
      </c>
      <c r="C463" t="s">
        <v>248</v>
      </c>
      <c r="D463" t="s">
        <v>55</v>
      </c>
      <c r="E463" t="s">
        <v>249</v>
      </c>
      <c r="F463">
        <v>5166</v>
      </c>
      <c r="G463">
        <v>0</v>
      </c>
      <c r="H463">
        <v>2154</v>
      </c>
      <c r="I463">
        <v>0</v>
      </c>
      <c r="J463">
        <v>0</v>
      </c>
      <c r="K463">
        <v>0</v>
      </c>
      <c r="L463">
        <v>2975</v>
      </c>
      <c r="M463">
        <v>0</v>
      </c>
      <c r="N463">
        <v>286</v>
      </c>
      <c r="O463">
        <v>0</v>
      </c>
      <c r="P463">
        <v>0</v>
      </c>
      <c r="Q463">
        <v>0</v>
      </c>
      <c r="R463">
        <v>258</v>
      </c>
      <c r="S463">
        <v>647</v>
      </c>
      <c r="T463">
        <v>1687</v>
      </c>
      <c r="U463">
        <v>0</v>
      </c>
      <c r="V463">
        <v>0</v>
      </c>
      <c r="W463">
        <v>1311</v>
      </c>
      <c r="X463">
        <f>NHS_AE_2024_2025[[#This Row],[A&amp;E attendances Type 1]]+
NHS_AE_2024_2025[[#This Row],[A&amp;E attendances Type 2]]+
NHS_AE_2024_2025[[#This Row],[A&amp;E attendances Other A&amp;E Department]]</f>
        <v>7320</v>
      </c>
      <c r="Y463">
        <f t="shared" si="14"/>
        <v>3261</v>
      </c>
      <c r="Z463">
        <f t="shared" si="15"/>
        <v>2998</v>
      </c>
    </row>
    <row r="464" spans="1:26" x14ac:dyDescent="0.2">
      <c r="A464" t="s">
        <v>432</v>
      </c>
      <c r="B464" t="s">
        <v>433</v>
      </c>
      <c r="C464" t="s">
        <v>386</v>
      </c>
      <c r="D464" t="s">
        <v>32</v>
      </c>
      <c r="E464" t="s">
        <v>387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24</v>
      </c>
      <c r="X464">
        <f>NHS_AE_2024_2025[[#This Row],[A&amp;E attendances Type 1]]+
NHS_AE_2024_2025[[#This Row],[A&amp;E attendances Type 2]]+
NHS_AE_2024_2025[[#This Row],[A&amp;E attendances Other A&amp;E Department]]</f>
        <v>0</v>
      </c>
      <c r="Y464">
        <f t="shared" si="14"/>
        <v>0</v>
      </c>
      <c r="Z464">
        <f t="shared" si="15"/>
        <v>24</v>
      </c>
    </row>
    <row r="465" spans="1:26" x14ac:dyDescent="0.2">
      <c r="A465" t="s">
        <v>432</v>
      </c>
      <c r="B465" t="s">
        <v>433</v>
      </c>
      <c r="C465" t="s">
        <v>204</v>
      </c>
      <c r="D465" t="s">
        <v>32</v>
      </c>
      <c r="E465" t="s">
        <v>205</v>
      </c>
      <c r="F465">
        <v>6159</v>
      </c>
      <c r="G465">
        <v>945</v>
      </c>
      <c r="H465">
        <v>104</v>
      </c>
      <c r="I465">
        <v>193</v>
      </c>
      <c r="J465">
        <v>0</v>
      </c>
      <c r="K465">
        <v>0</v>
      </c>
      <c r="L465">
        <v>2675</v>
      </c>
      <c r="M465">
        <v>0</v>
      </c>
      <c r="N465">
        <v>0</v>
      </c>
      <c r="O465">
        <v>37</v>
      </c>
      <c r="P465">
        <v>0</v>
      </c>
      <c r="Q465">
        <v>0</v>
      </c>
      <c r="R465">
        <v>436</v>
      </c>
      <c r="S465">
        <v>232</v>
      </c>
      <c r="T465">
        <v>1528</v>
      </c>
      <c r="U465">
        <v>0</v>
      </c>
      <c r="V465">
        <v>0</v>
      </c>
      <c r="W465">
        <v>134</v>
      </c>
      <c r="X465">
        <f>NHS_AE_2024_2025[[#This Row],[A&amp;E attendances Type 1]]+
NHS_AE_2024_2025[[#This Row],[A&amp;E attendances Type 2]]+
NHS_AE_2024_2025[[#This Row],[A&amp;E attendances Other A&amp;E Department]]</f>
        <v>7208</v>
      </c>
      <c r="Y465">
        <f t="shared" si="14"/>
        <v>2675</v>
      </c>
      <c r="Z465">
        <f t="shared" si="15"/>
        <v>1662</v>
      </c>
    </row>
    <row r="466" spans="1:26" x14ac:dyDescent="0.2">
      <c r="A466" t="s">
        <v>432</v>
      </c>
      <c r="B466" t="s">
        <v>433</v>
      </c>
      <c r="C466" t="s">
        <v>132</v>
      </c>
      <c r="D466" t="s">
        <v>37</v>
      </c>
      <c r="E466" t="s">
        <v>133</v>
      </c>
      <c r="F466">
        <v>0</v>
      </c>
      <c r="G466">
        <v>0</v>
      </c>
      <c r="H466">
        <v>5496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f>NHS_AE_2024_2025[[#This Row],[A&amp;E attendances Type 1]]+
NHS_AE_2024_2025[[#This Row],[A&amp;E attendances Type 2]]+
NHS_AE_2024_2025[[#This Row],[A&amp;E attendances Other A&amp;E Department]]</f>
        <v>5496</v>
      </c>
      <c r="Y466">
        <f t="shared" si="14"/>
        <v>0</v>
      </c>
      <c r="Z466">
        <f t="shared" si="15"/>
        <v>0</v>
      </c>
    </row>
    <row r="467" spans="1:26" x14ac:dyDescent="0.2">
      <c r="A467" t="s">
        <v>432</v>
      </c>
      <c r="B467" t="s">
        <v>433</v>
      </c>
      <c r="C467" t="s">
        <v>220</v>
      </c>
      <c r="D467" t="s">
        <v>50</v>
      </c>
      <c r="E467" t="s">
        <v>221</v>
      </c>
      <c r="F467">
        <v>0</v>
      </c>
      <c r="G467">
        <v>0</v>
      </c>
      <c r="H467">
        <v>259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f>NHS_AE_2024_2025[[#This Row],[A&amp;E attendances Type 1]]+
NHS_AE_2024_2025[[#This Row],[A&amp;E attendances Type 2]]+
NHS_AE_2024_2025[[#This Row],[A&amp;E attendances Other A&amp;E Department]]</f>
        <v>259</v>
      </c>
      <c r="Y467">
        <f t="shared" si="14"/>
        <v>0</v>
      </c>
      <c r="Z467">
        <f t="shared" si="15"/>
        <v>0</v>
      </c>
    </row>
    <row r="468" spans="1:26" x14ac:dyDescent="0.2">
      <c r="A468" t="s">
        <v>432</v>
      </c>
      <c r="B468" t="s">
        <v>433</v>
      </c>
      <c r="C468" t="s">
        <v>92</v>
      </c>
      <c r="D468" t="s">
        <v>26</v>
      </c>
      <c r="E468" t="s">
        <v>93</v>
      </c>
      <c r="F468">
        <v>0</v>
      </c>
      <c r="G468">
        <v>0</v>
      </c>
      <c r="H468">
        <v>2149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59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f>NHS_AE_2024_2025[[#This Row],[A&amp;E attendances Type 1]]+
NHS_AE_2024_2025[[#This Row],[A&amp;E attendances Type 2]]+
NHS_AE_2024_2025[[#This Row],[A&amp;E attendances Other A&amp;E Department]]</f>
        <v>2149</v>
      </c>
      <c r="Y468">
        <f t="shared" si="14"/>
        <v>59</v>
      </c>
      <c r="Z468">
        <f t="shared" si="15"/>
        <v>0</v>
      </c>
    </row>
    <row r="469" spans="1:26" x14ac:dyDescent="0.2">
      <c r="A469" t="s">
        <v>432</v>
      </c>
      <c r="B469" t="s">
        <v>433</v>
      </c>
      <c r="C469" t="s">
        <v>422</v>
      </c>
      <c r="D469" t="s">
        <v>26</v>
      </c>
      <c r="E469" t="s">
        <v>423</v>
      </c>
      <c r="F469">
        <v>0</v>
      </c>
      <c r="G469">
        <v>0</v>
      </c>
      <c r="H469">
        <v>7664</v>
      </c>
      <c r="I469">
        <v>0</v>
      </c>
      <c r="J469">
        <v>0</v>
      </c>
      <c r="K469">
        <v>382</v>
      </c>
      <c r="L469">
        <v>0</v>
      </c>
      <c r="M469">
        <v>0</v>
      </c>
      <c r="N469">
        <v>348</v>
      </c>
      <c r="O469">
        <v>0</v>
      </c>
      <c r="P469">
        <v>0</v>
      </c>
      <c r="Q469">
        <v>75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f>NHS_AE_2024_2025[[#This Row],[A&amp;E attendances Type 1]]+
NHS_AE_2024_2025[[#This Row],[A&amp;E attendances Type 2]]+
NHS_AE_2024_2025[[#This Row],[A&amp;E attendances Other A&amp;E Department]]</f>
        <v>7664</v>
      </c>
      <c r="Y469">
        <f t="shared" si="14"/>
        <v>348</v>
      </c>
      <c r="Z469">
        <f t="shared" si="15"/>
        <v>0</v>
      </c>
    </row>
    <row r="470" spans="1:26" x14ac:dyDescent="0.2">
      <c r="A470" t="s">
        <v>432</v>
      </c>
      <c r="B470" t="s">
        <v>433</v>
      </c>
      <c r="C470" t="s">
        <v>280</v>
      </c>
      <c r="D470" t="s">
        <v>50</v>
      </c>
      <c r="E470" t="s">
        <v>281</v>
      </c>
      <c r="F470">
        <v>0</v>
      </c>
      <c r="G470">
        <v>0</v>
      </c>
      <c r="H470">
        <v>3600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470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f>NHS_AE_2024_2025[[#This Row],[A&amp;E attendances Type 1]]+
NHS_AE_2024_2025[[#This Row],[A&amp;E attendances Type 2]]+
NHS_AE_2024_2025[[#This Row],[A&amp;E attendances Other A&amp;E Department]]</f>
        <v>3600</v>
      </c>
      <c r="Y470">
        <f t="shared" si="14"/>
        <v>470</v>
      </c>
      <c r="Z470">
        <f t="shared" si="15"/>
        <v>0</v>
      </c>
    </row>
    <row r="471" spans="1:26" x14ac:dyDescent="0.2">
      <c r="A471" t="s">
        <v>432</v>
      </c>
      <c r="B471" t="s">
        <v>433</v>
      </c>
      <c r="C471" t="s">
        <v>429</v>
      </c>
      <c r="D471" t="s">
        <v>50</v>
      </c>
      <c r="E471" t="s">
        <v>430</v>
      </c>
      <c r="F471">
        <v>0</v>
      </c>
      <c r="G471">
        <v>0</v>
      </c>
      <c r="H471">
        <v>1383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65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f>NHS_AE_2024_2025[[#This Row],[A&amp;E attendances Type 1]]+
NHS_AE_2024_2025[[#This Row],[A&amp;E attendances Type 2]]+
NHS_AE_2024_2025[[#This Row],[A&amp;E attendances Other A&amp;E Department]]</f>
        <v>1383</v>
      </c>
      <c r="Y471">
        <f t="shared" si="14"/>
        <v>65</v>
      </c>
      <c r="Z471">
        <f t="shared" si="15"/>
        <v>0</v>
      </c>
    </row>
    <row r="472" spans="1:26" x14ac:dyDescent="0.2">
      <c r="A472" t="s">
        <v>432</v>
      </c>
      <c r="B472" t="s">
        <v>433</v>
      </c>
      <c r="C472" t="s">
        <v>282</v>
      </c>
      <c r="D472" t="s">
        <v>50</v>
      </c>
      <c r="E472" t="s">
        <v>283</v>
      </c>
      <c r="F472">
        <v>0</v>
      </c>
      <c r="G472">
        <v>0</v>
      </c>
      <c r="H472">
        <v>2643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214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f>NHS_AE_2024_2025[[#This Row],[A&amp;E attendances Type 1]]+
NHS_AE_2024_2025[[#This Row],[A&amp;E attendances Type 2]]+
NHS_AE_2024_2025[[#This Row],[A&amp;E attendances Other A&amp;E Department]]</f>
        <v>2643</v>
      </c>
      <c r="Y472">
        <f t="shared" si="14"/>
        <v>214</v>
      </c>
      <c r="Z472">
        <f t="shared" si="15"/>
        <v>0</v>
      </c>
    </row>
    <row r="473" spans="1:26" x14ac:dyDescent="0.2">
      <c r="A473" t="s">
        <v>432</v>
      </c>
      <c r="B473" t="s">
        <v>433</v>
      </c>
      <c r="C473" t="s">
        <v>284</v>
      </c>
      <c r="D473" t="s">
        <v>50</v>
      </c>
      <c r="E473" t="s">
        <v>285</v>
      </c>
      <c r="F473">
        <v>0</v>
      </c>
      <c r="G473">
        <v>0</v>
      </c>
      <c r="H473">
        <v>1536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f>NHS_AE_2024_2025[[#This Row],[A&amp;E attendances Type 1]]+
NHS_AE_2024_2025[[#This Row],[A&amp;E attendances Type 2]]+
NHS_AE_2024_2025[[#This Row],[A&amp;E attendances Other A&amp;E Department]]</f>
        <v>1536</v>
      </c>
      <c r="Y473">
        <f t="shared" si="14"/>
        <v>24</v>
      </c>
      <c r="Z473">
        <f t="shared" si="15"/>
        <v>0</v>
      </c>
    </row>
    <row r="474" spans="1:26" x14ac:dyDescent="0.2">
      <c r="A474" t="s">
        <v>432</v>
      </c>
      <c r="B474" t="s">
        <v>433</v>
      </c>
      <c r="C474" t="s">
        <v>184</v>
      </c>
      <c r="D474" t="s">
        <v>55</v>
      </c>
      <c r="E474" t="s">
        <v>185</v>
      </c>
      <c r="F474">
        <v>0</v>
      </c>
      <c r="G474">
        <v>0</v>
      </c>
      <c r="H474">
        <v>869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f>NHS_AE_2024_2025[[#This Row],[A&amp;E attendances Type 1]]+
NHS_AE_2024_2025[[#This Row],[A&amp;E attendances Type 2]]+
NHS_AE_2024_2025[[#This Row],[A&amp;E attendances Other A&amp;E Department]]</f>
        <v>869</v>
      </c>
      <c r="Y474">
        <f t="shared" si="14"/>
        <v>0</v>
      </c>
      <c r="Z474">
        <f t="shared" si="15"/>
        <v>0</v>
      </c>
    </row>
    <row r="475" spans="1:26" x14ac:dyDescent="0.2">
      <c r="A475" t="s">
        <v>432</v>
      </c>
      <c r="B475" t="s">
        <v>433</v>
      </c>
      <c r="C475" t="s">
        <v>226</v>
      </c>
      <c r="D475" t="s">
        <v>37</v>
      </c>
      <c r="E475" t="s">
        <v>227</v>
      </c>
      <c r="F475">
        <v>6551</v>
      </c>
      <c r="G475">
        <v>0</v>
      </c>
      <c r="H475">
        <v>1270</v>
      </c>
      <c r="I475">
        <v>918</v>
      </c>
      <c r="J475">
        <v>0</v>
      </c>
      <c r="K475">
        <v>13</v>
      </c>
      <c r="L475">
        <v>2291</v>
      </c>
      <c r="M475">
        <v>0</v>
      </c>
      <c r="N475">
        <v>0</v>
      </c>
      <c r="O475">
        <v>268</v>
      </c>
      <c r="P475">
        <v>0</v>
      </c>
      <c r="Q475">
        <v>0</v>
      </c>
      <c r="R475">
        <v>429</v>
      </c>
      <c r="S475">
        <v>4</v>
      </c>
      <c r="T475">
        <v>2441</v>
      </c>
      <c r="U475">
        <v>0</v>
      </c>
      <c r="V475">
        <v>0</v>
      </c>
      <c r="W475">
        <v>1024</v>
      </c>
      <c r="X475">
        <f>NHS_AE_2024_2025[[#This Row],[A&amp;E attendances Type 1]]+
NHS_AE_2024_2025[[#This Row],[A&amp;E attendances Type 2]]+
NHS_AE_2024_2025[[#This Row],[A&amp;E attendances Other A&amp;E Department]]</f>
        <v>7821</v>
      </c>
      <c r="Y475">
        <f t="shared" si="14"/>
        <v>2291</v>
      </c>
      <c r="Z475">
        <f t="shared" si="15"/>
        <v>3465</v>
      </c>
    </row>
    <row r="476" spans="1:26" x14ac:dyDescent="0.2">
      <c r="A476" t="s">
        <v>432</v>
      </c>
      <c r="B476" t="s">
        <v>433</v>
      </c>
      <c r="C476" t="s">
        <v>294</v>
      </c>
      <c r="D476" t="s">
        <v>70</v>
      </c>
      <c r="E476" t="s">
        <v>295</v>
      </c>
      <c r="F476">
        <v>16743</v>
      </c>
      <c r="G476">
        <v>0</v>
      </c>
      <c r="H476">
        <v>9623</v>
      </c>
      <c r="I476">
        <v>0</v>
      </c>
      <c r="J476">
        <v>0</v>
      </c>
      <c r="K476">
        <v>1186</v>
      </c>
      <c r="L476">
        <v>7825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81</v>
      </c>
      <c r="S476">
        <v>82</v>
      </c>
      <c r="T476">
        <v>4855</v>
      </c>
      <c r="U476">
        <v>0</v>
      </c>
      <c r="V476">
        <v>0</v>
      </c>
      <c r="W476">
        <v>2234</v>
      </c>
      <c r="X476">
        <f>NHS_AE_2024_2025[[#This Row],[A&amp;E attendances Type 1]]+
NHS_AE_2024_2025[[#This Row],[A&amp;E attendances Type 2]]+
NHS_AE_2024_2025[[#This Row],[A&amp;E attendances Other A&amp;E Department]]</f>
        <v>26366</v>
      </c>
      <c r="Y476">
        <f t="shared" si="14"/>
        <v>7825</v>
      </c>
      <c r="Z476">
        <f t="shared" si="15"/>
        <v>7089</v>
      </c>
    </row>
    <row r="477" spans="1:26" x14ac:dyDescent="0.2">
      <c r="A477" t="s">
        <v>432</v>
      </c>
      <c r="B477" t="s">
        <v>433</v>
      </c>
      <c r="C477" t="s">
        <v>400</v>
      </c>
      <c r="D477" t="s">
        <v>50</v>
      </c>
      <c r="E477" t="s">
        <v>401</v>
      </c>
      <c r="F477">
        <v>5167</v>
      </c>
      <c r="G477">
        <v>0</v>
      </c>
      <c r="H477">
        <v>839</v>
      </c>
      <c r="I477">
        <v>414</v>
      </c>
      <c r="J477">
        <v>0</v>
      </c>
      <c r="K477">
        <v>31</v>
      </c>
      <c r="L477">
        <v>1999</v>
      </c>
      <c r="M477">
        <v>0</v>
      </c>
      <c r="N477">
        <v>0</v>
      </c>
      <c r="O477">
        <v>98</v>
      </c>
      <c r="P477">
        <v>0</v>
      </c>
      <c r="Q477">
        <v>0</v>
      </c>
      <c r="R477">
        <v>436</v>
      </c>
      <c r="S477">
        <v>108</v>
      </c>
      <c r="T477">
        <v>1177</v>
      </c>
      <c r="U477">
        <v>0</v>
      </c>
      <c r="V477">
        <v>0</v>
      </c>
      <c r="W477">
        <v>283</v>
      </c>
      <c r="X477">
        <f>NHS_AE_2024_2025[[#This Row],[A&amp;E attendances Type 1]]+
NHS_AE_2024_2025[[#This Row],[A&amp;E attendances Type 2]]+
NHS_AE_2024_2025[[#This Row],[A&amp;E attendances Other A&amp;E Department]]</f>
        <v>6006</v>
      </c>
      <c r="Y477">
        <f t="shared" si="14"/>
        <v>1999</v>
      </c>
      <c r="Z477">
        <f t="shared" si="15"/>
        <v>1460</v>
      </c>
    </row>
    <row r="478" spans="1:26" x14ac:dyDescent="0.2">
      <c r="A478" t="s">
        <v>432</v>
      </c>
      <c r="B478" t="s">
        <v>433</v>
      </c>
      <c r="C478" t="s">
        <v>152</v>
      </c>
      <c r="D478" t="s">
        <v>26</v>
      </c>
      <c r="E478" t="s">
        <v>153</v>
      </c>
      <c r="F478">
        <v>6184</v>
      </c>
      <c r="G478">
        <v>0</v>
      </c>
      <c r="H478">
        <v>10870</v>
      </c>
      <c r="I478">
        <v>0</v>
      </c>
      <c r="J478">
        <v>0</v>
      </c>
      <c r="K478">
        <v>0</v>
      </c>
      <c r="L478">
        <v>3081</v>
      </c>
      <c r="M478">
        <v>0</v>
      </c>
      <c r="N478">
        <v>816</v>
      </c>
      <c r="O478">
        <v>0</v>
      </c>
      <c r="P478">
        <v>0</v>
      </c>
      <c r="Q478">
        <v>0</v>
      </c>
      <c r="R478">
        <v>597</v>
      </c>
      <c r="S478">
        <v>468</v>
      </c>
      <c r="T478">
        <v>2421</v>
      </c>
      <c r="U478">
        <v>0</v>
      </c>
      <c r="V478">
        <v>49</v>
      </c>
      <c r="W478">
        <v>1272</v>
      </c>
      <c r="X478">
        <f>NHS_AE_2024_2025[[#This Row],[A&amp;E attendances Type 1]]+
NHS_AE_2024_2025[[#This Row],[A&amp;E attendances Type 2]]+
NHS_AE_2024_2025[[#This Row],[A&amp;E attendances Other A&amp;E Department]]</f>
        <v>17054</v>
      </c>
      <c r="Y478">
        <f t="shared" si="14"/>
        <v>3897</v>
      </c>
      <c r="Z478">
        <f t="shared" si="15"/>
        <v>3742</v>
      </c>
    </row>
    <row r="479" spans="1:26" x14ac:dyDescent="0.2">
      <c r="A479" t="s">
        <v>432</v>
      </c>
      <c r="B479" t="s">
        <v>433</v>
      </c>
      <c r="C479" t="s">
        <v>384</v>
      </c>
      <c r="D479" t="s">
        <v>55</v>
      </c>
      <c r="E479" t="s">
        <v>385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192</v>
      </c>
      <c r="X479">
        <f>NHS_AE_2024_2025[[#This Row],[A&amp;E attendances Type 1]]+
NHS_AE_2024_2025[[#This Row],[A&amp;E attendances Type 2]]+
NHS_AE_2024_2025[[#This Row],[A&amp;E attendances Other A&amp;E Department]]</f>
        <v>0</v>
      </c>
      <c r="Y479">
        <f t="shared" si="14"/>
        <v>0</v>
      </c>
      <c r="Z479">
        <f t="shared" si="15"/>
        <v>192</v>
      </c>
    </row>
    <row r="480" spans="1:26" x14ac:dyDescent="0.2">
      <c r="A480" t="s">
        <v>432</v>
      </c>
      <c r="B480" t="s">
        <v>433</v>
      </c>
      <c r="C480" t="s">
        <v>304</v>
      </c>
      <c r="D480" t="s">
        <v>29</v>
      </c>
      <c r="E480" t="s">
        <v>305</v>
      </c>
      <c r="F480">
        <v>13668</v>
      </c>
      <c r="G480">
        <v>0</v>
      </c>
      <c r="H480">
        <v>5536</v>
      </c>
      <c r="I480">
        <v>1</v>
      </c>
      <c r="J480">
        <v>0</v>
      </c>
      <c r="K480">
        <v>0</v>
      </c>
      <c r="L480">
        <v>5528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370</v>
      </c>
      <c r="S480">
        <v>666</v>
      </c>
      <c r="T480">
        <v>1256</v>
      </c>
      <c r="U480">
        <v>0</v>
      </c>
      <c r="V480">
        <v>0</v>
      </c>
      <c r="W480">
        <v>135</v>
      </c>
      <c r="X480">
        <f>NHS_AE_2024_2025[[#This Row],[A&amp;E attendances Type 1]]+
NHS_AE_2024_2025[[#This Row],[A&amp;E attendances Type 2]]+
NHS_AE_2024_2025[[#This Row],[A&amp;E attendances Other A&amp;E Department]]</f>
        <v>19204</v>
      </c>
      <c r="Y480">
        <f t="shared" si="14"/>
        <v>5528</v>
      </c>
      <c r="Z480">
        <f t="shared" si="15"/>
        <v>1391</v>
      </c>
    </row>
    <row r="481" spans="1:26" x14ac:dyDescent="0.2">
      <c r="A481" t="s">
        <v>432</v>
      </c>
      <c r="B481" t="s">
        <v>433</v>
      </c>
      <c r="C481" t="s">
        <v>310</v>
      </c>
      <c r="D481" t="s">
        <v>26</v>
      </c>
      <c r="E481" t="s">
        <v>311</v>
      </c>
      <c r="F481">
        <v>9586</v>
      </c>
      <c r="G481">
        <v>123</v>
      </c>
      <c r="H481">
        <v>4623</v>
      </c>
      <c r="I481">
        <v>0</v>
      </c>
      <c r="J481">
        <v>0</v>
      </c>
      <c r="K481">
        <v>0</v>
      </c>
      <c r="L481">
        <v>5072</v>
      </c>
      <c r="M481">
        <v>1</v>
      </c>
      <c r="N481">
        <v>133</v>
      </c>
      <c r="O481">
        <v>0</v>
      </c>
      <c r="P481">
        <v>0</v>
      </c>
      <c r="Q481">
        <v>0</v>
      </c>
      <c r="R481">
        <v>488</v>
      </c>
      <c r="S481">
        <v>627</v>
      </c>
      <c r="T481">
        <v>2892</v>
      </c>
      <c r="U481">
        <v>0</v>
      </c>
      <c r="V481">
        <v>0</v>
      </c>
      <c r="W481">
        <v>1462</v>
      </c>
      <c r="X481">
        <f>NHS_AE_2024_2025[[#This Row],[A&amp;E attendances Type 1]]+
NHS_AE_2024_2025[[#This Row],[A&amp;E attendances Type 2]]+
NHS_AE_2024_2025[[#This Row],[A&amp;E attendances Other A&amp;E Department]]</f>
        <v>14332</v>
      </c>
      <c r="Y481">
        <f t="shared" si="14"/>
        <v>5206</v>
      </c>
      <c r="Z481">
        <f t="shared" si="15"/>
        <v>4354</v>
      </c>
    </row>
    <row r="482" spans="1:26" x14ac:dyDescent="0.2">
      <c r="A482" t="s">
        <v>432</v>
      </c>
      <c r="B482" t="s">
        <v>433</v>
      </c>
      <c r="C482" t="s">
        <v>202</v>
      </c>
      <c r="D482" t="s">
        <v>32</v>
      </c>
      <c r="E482" t="s">
        <v>203</v>
      </c>
      <c r="F482">
        <v>12259</v>
      </c>
      <c r="G482">
        <v>0</v>
      </c>
      <c r="H482">
        <v>9713</v>
      </c>
      <c r="I482">
        <v>114</v>
      </c>
      <c r="J482">
        <v>0</v>
      </c>
      <c r="K482">
        <v>1081</v>
      </c>
      <c r="L482">
        <v>4342</v>
      </c>
      <c r="M482">
        <v>0</v>
      </c>
      <c r="N482">
        <v>480</v>
      </c>
      <c r="O482">
        <v>31</v>
      </c>
      <c r="P482">
        <v>0</v>
      </c>
      <c r="Q482">
        <v>2</v>
      </c>
      <c r="R482">
        <v>791</v>
      </c>
      <c r="S482">
        <v>809</v>
      </c>
      <c r="T482">
        <v>5788</v>
      </c>
      <c r="U482">
        <v>0</v>
      </c>
      <c r="V482">
        <v>0</v>
      </c>
      <c r="W482">
        <v>1010</v>
      </c>
      <c r="X482">
        <f>NHS_AE_2024_2025[[#This Row],[A&amp;E attendances Type 1]]+
NHS_AE_2024_2025[[#This Row],[A&amp;E attendances Type 2]]+
NHS_AE_2024_2025[[#This Row],[A&amp;E attendances Other A&amp;E Department]]</f>
        <v>21972</v>
      </c>
      <c r="Y482">
        <f t="shared" si="14"/>
        <v>4822</v>
      </c>
      <c r="Z482">
        <f t="shared" si="15"/>
        <v>6798</v>
      </c>
    </row>
    <row r="483" spans="1:26" x14ac:dyDescent="0.2">
      <c r="A483" t="s">
        <v>432</v>
      </c>
      <c r="B483" t="s">
        <v>433</v>
      </c>
      <c r="C483" t="s">
        <v>388</v>
      </c>
      <c r="D483" t="s">
        <v>55</v>
      </c>
      <c r="E483" t="s">
        <v>389</v>
      </c>
      <c r="F483">
        <v>8125</v>
      </c>
      <c r="G483">
        <v>0</v>
      </c>
      <c r="H483">
        <v>3555</v>
      </c>
      <c r="I483">
        <v>116</v>
      </c>
      <c r="J483">
        <v>0</v>
      </c>
      <c r="K483">
        <v>52</v>
      </c>
      <c r="L483">
        <v>4308</v>
      </c>
      <c r="M483">
        <v>0</v>
      </c>
      <c r="N483">
        <v>184</v>
      </c>
      <c r="O483">
        <v>62</v>
      </c>
      <c r="P483">
        <v>0</v>
      </c>
      <c r="Q483">
        <v>2</v>
      </c>
      <c r="R483">
        <v>462</v>
      </c>
      <c r="S483">
        <v>638</v>
      </c>
      <c r="T483">
        <v>2428</v>
      </c>
      <c r="U483">
        <v>0</v>
      </c>
      <c r="V483">
        <v>100</v>
      </c>
      <c r="W483">
        <v>822</v>
      </c>
      <c r="X483">
        <f>NHS_AE_2024_2025[[#This Row],[A&amp;E attendances Type 1]]+
NHS_AE_2024_2025[[#This Row],[A&amp;E attendances Type 2]]+
NHS_AE_2024_2025[[#This Row],[A&amp;E attendances Other A&amp;E Department]]</f>
        <v>11680</v>
      </c>
      <c r="Y483">
        <f t="shared" si="14"/>
        <v>4492</v>
      </c>
      <c r="Z483">
        <f t="shared" si="15"/>
        <v>3350</v>
      </c>
    </row>
    <row r="484" spans="1:26" x14ac:dyDescent="0.2">
      <c r="A484" t="s">
        <v>432</v>
      </c>
      <c r="B484" t="s">
        <v>433</v>
      </c>
      <c r="C484" t="s">
        <v>254</v>
      </c>
      <c r="D484" t="s">
        <v>50</v>
      </c>
      <c r="E484" t="s">
        <v>255</v>
      </c>
      <c r="F484">
        <v>8890</v>
      </c>
      <c r="G484">
        <v>0</v>
      </c>
      <c r="H484">
        <v>1846</v>
      </c>
      <c r="I484">
        <v>340</v>
      </c>
      <c r="J484">
        <v>0</v>
      </c>
      <c r="K484">
        <v>33</v>
      </c>
      <c r="L484">
        <v>3988</v>
      </c>
      <c r="M484">
        <v>0</v>
      </c>
      <c r="N484">
        <v>30</v>
      </c>
      <c r="O484">
        <v>97</v>
      </c>
      <c r="P484">
        <v>0</v>
      </c>
      <c r="Q484">
        <v>0</v>
      </c>
      <c r="R484">
        <v>823</v>
      </c>
      <c r="S484">
        <v>407</v>
      </c>
      <c r="T484">
        <v>2415</v>
      </c>
      <c r="U484">
        <v>0</v>
      </c>
      <c r="V484">
        <v>0</v>
      </c>
      <c r="W484">
        <v>837</v>
      </c>
      <c r="X484">
        <f>NHS_AE_2024_2025[[#This Row],[A&amp;E attendances Type 1]]+
NHS_AE_2024_2025[[#This Row],[A&amp;E attendances Type 2]]+
NHS_AE_2024_2025[[#This Row],[A&amp;E attendances Other A&amp;E Department]]</f>
        <v>10736</v>
      </c>
      <c r="Y484">
        <f t="shared" si="14"/>
        <v>4018</v>
      </c>
      <c r="Z484">
        <f t="shared" si="15"/>
        <v>3252</v>
      </c>
    </row>
    <row r="485" spans="1:26" x14ac:dyDescent="0.2">
      <c r="A485" t="s">
        <v>432</v>
      </c>
      <c r="B485" t="s">
        <v>433</v>
      </c>
      <c r="C485" t="s">
        <v>262</v>
      </c>
      <c r="D485" t="s">
        <v>26</v>
      </c>
      <c r="E485" t="s">
        <v>263</v>
      </c>
      <c r="F485">
        <v>0</v>
      </c>
      <c r="G485">
        <v>0</v>
      </c>
      <c r="H485">
        <v>7577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56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21</v>
      </c>
      <c r="X485">
        <f>NHS_AE_2024_2025[[#This Row],[A&amp;E attendances Type 1]]+
NHS_AE_2024_2025[[#This Row],[A&amp;E attendances Type 2]]+
NHS_AE_2024_2025[[#This Row],[A&amp;E attendances Other A&amp;E Department]]</f>
        <v>7577</v>
      </c>
      <c r="Y485">
        <f t="shared" si="14"/>
        <v>56</v>
      </c>
      <c r="Z485">
        <f t="shared" si="15"/>
        <v>21</v>
      </c>
    </row>
    <row r="486" spans="1:26" x14ac:dyDescent="0.2">
      <c r="A486" t="s">
        <v>432</v>
      </c>
      <c r="B486" t="s">
        <v>433</v>
      </c>
      <c r="C486" t="s">
        <v>116</v>
      </c>
      <c r="D486" t="s">
        <v>55</v>
      </c>
      <c r="E486" t="s">
        <v>117</v>
      </c>
      <c r="F486">
        <v>0</v>
      </c>
      <c r="G486">
        <v>0</v>
      </c>
      <c r="H486">
        <v>13451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346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43</v>
      </c>
      <c r="X486">
        <f>NHS_AE_2024_2025[[#This Row],[A&amp;E attendances Type 1]]+
NHS_AE_2024_2025[[#This Row],[A&amp;E attendances Type 2]]+
NHS_AE_2024_2025[[#This Row],[A&amp;E attendances Other A&amp;E Department]]</f>
        <v>13451</v>
      </c>
      <c r="Y486">
        <f t="shared" si="14"/>
        <v>346</v>
      </c>
      <c r="Z486">
        <f t="shared" si="15"/>
        <v>43</v>
      </c>
    </row>
    <row r="487" spans="1:26" x14ac:dyDescent="0.2">
      <c r="A487" t="s">
        <v>432</v>
      </c>
      <c r="B487" t="s">
        <v>433</v>
      </c>
      <c r="C487" t="s">
        <v>216</v>
      </c>
      <c r="D487" t="s">
        <v>55</v>
      </c>
      <c r="E487" t="s">
        <v>217</v>
      </c>
      <c r="F487">
        <v>13318</v>
      </c>
      <c r="G487">
        <v>0</v>
      </c>
      <c r="H487">
        <v>9823</v>
      </c>
      <c r="I487">
        <v>0</v>
      </c>
      <c r="J487">
        <v>0</v>
      </c>
      <c r="K487">
        <v>0</v>
      </c>
      <c r="L487">
        <v>5103</v>
      </c>
      <c r="M487">
        <v>0</v>
      </c>
      <c r="N487">
        <v>822</v>
      </c>
      <c r="O487">
        <v>0</v>
      </c>
      <c r="P487">
        <v>0</v>
      </c>
      <c r="Q487">
        <v>0</v>
      </c>
      <c r="R487">
        <v>596</v>
      </c>
      <c r="S487">
        <v>1156</v>
      </c>
      <c r="T487">
        <v>4211</v>
      </c>
      <c r="U487">
        <v>0</v>
      </c>
      <c r="V487">
        <v>75</v>
      </c>
      <c r="W487">
        <v>1615</v>
      </c>
      <c r="X487">
        <f>NHS_AE_2024_2025[[#This Row],[A&amp;E attendances Type 1]]+
NHS_AE_2024_2025[[#This Row],[A&amp;E attendances Type 2]]+
NHS_AE_2024_2025[[#This Row],[A&amp;E attendances Other A&amp;E Department]]</f>
        <v>23141</v>
      </c>
      <c r="Y487">
        <f t="shared" si="14"/>
        <v>5925</v>
      </c>
      <c r="Z487">
        <f t="shared" si="15"/>
        <v>5901</v>
      </c>
    </row>
    <row r="488" spans="1:26" x14ac:dyDescent="0.2">
      <c r="A488" t="s">
        <v>432</v>
      </c>
      <c r="B488" t="s">
        <v>433</v>
      </c>
      <c r="C488" t="s">
        <v>272</v>
      </c>
      <c r="D488" t="s">
        <v>32</v>
      </c>
      <c r="E488" t="s">
        <v>273</v>
      </c>
      <c r="F488">
        <v>10473</v>
      </c>
      <c r="G488">
        <v>0</v>
      </c>
      <c r="H488">
        <v>2835</v>
      </c>
      <c r="I488">
        <v>0</v>
      </c>
      <c r="J488">
        <v>0</v>
      </c>
      <c r="K488">
        <v>0</v>
      </c>
      <c r="L488">
        <v>6330</v>
      </c>
      <c r="M488">
        <v>0</v>
      </c>
      <c r="N488">
        <v>285</v>
      </c>
      <c r="O488">
        <v>0</v>
      </c>
      <c r="P488">
        <v>0</v>
      </c>
      <c r="Q488">
        <v>0</v>
      </c>
      <c r="R488">
        <v>408</v>
      </c>
      <c r="S488">
        <v>1494</v>
      </c>
      <c r="T488">
        <v>3246</v>
      </c>
      <c r="U488">
        <v>0</v>
      </c>
      <c r="V488">
        <v>201</v>
      </c>
      <c r="W488">
        <v>2227</v>
      </c>
      <c r="X488">
        <f>NHS_AE_2024_2025[[#This Row],[A&amp;E attendances Type 1]]+
NHS_AE_2024_2025[[#This Row],[A&amp;E attendances Type 2]]+
NHS_AE_2024_2025[[#This Row],[A&amp;E attendances Other A&amp;E Department]]</f>
        <v>13308</v>
      </c>
      <c r="Y488">
        <f t="shared" si="14"/>
        <v>6615</v>
      </c>
      <c r="Z488">
        <f t="shared" si="15"/>
        <v>5674</v>
      </c>
    </row>
    <row r="489" spans="1:26" x14ac:dyDescent="0.2">
      <c r="A489" t="s">
        <v>432</v>
      </c>
      <c r="B489" t="s">
        <v>433</v>
      </c>
      <c r="C489" t="s">
        <v>178</v>
      </c>
      <c r="D489" t="s">
        <v>55</v>
      </c>
      <c r="E489" t="s">
        <v>179</v>
      </c>
      <c r="F489">
        <v>0</v>
      </c>
      <c r="G489">
        <v>0</v>
      </c>
      <c r="H489">
        <v>3029</v>
      </c>
      <c r="I489">
        <v>0</v>
      </c>
      <c r="J489">
        <v>0</v>
      </c>
      <c r="K489">
        <v>229</v>
      </c>
      <c r="L489">
        <v>0</v>
      </c>
      <c r="M489">
        <v>0</v>
      </c>
      <c r="N489">
        <v>155</v>
      </c>
      <c r="O489">
        <v>0</v>
      </c>
      <c r="P489">
        <v>0</v>
      </c>
      <c r="Q489">
        <v>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f>NHS_AE_2024_2025[[#This Row],[A&amp;E attendances Type 1]]+
NHS_AE_2024_2025[[#This Row],[A&amp;E attendances Type 2]]+
NHS_AE_2024_2025[[#This Row],[A&amp;E attendances Other A&amp;E Department]]</f>
        <v>3029</v>
      </c>
      <c r="Y489">
        <f t="shared" si="14"/>
        <v>155</v>
      </c>
      <c r="Z489">
        <f t="shared" si="15"/>
        <v>0</v>
      </c>
    </row>
    <row r="490" spans="1:26" x14ac:dyDescent="0.2">
      <c r="A490" t="s">
        <v>432</v>
      </c>
      <c r="B490" t="s">
        <v>433</v>
      </c>
      <c r="C490" t="s">
        <v>182</v>
      </c>
      <c r="D490" t="s">
        <v>29</v>
      </c>
      <c r="E490" t="s">
        <v>183</v>
      </c>
      <c r="F490">
        <v>0</v>
      </c>
      <c r="G490">
        <v>0</v>
      </c>
      <c r="H490">
        <v>12179</v>
      </c>
      <c r="I490">
        <v>0</v>
      </c>
      <c r="J490">
        <v>0</v>
      </c>
      <c r="K490">
        <v>526</v>
      </c>
      <c r="L490">
        <v>0</v>
      </c>
      <c r="M490">
        <v>0</v>
      </c>
      <c r="N490">
        <v>342</v>
      </c>
      <c r="O490">
        <v>0</v>
      </c>
      <c r="P490">
        <v>0</v>
      </c>
      <c r="Q490">
        <v>16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f>NHS_AE_2024_2025[[#This Row],[A&amp;E attendances Type 1]]+
NHS_AE_2024_2025[[#This Row],[A&amp;E attendances Type 2]]+
NHS_AE_2024_2025[[#This Row],[A&amp;E attendances Other A&amp;E Department]]</f>
        <v>12179</v>
      </c>
      <c r="Y490">
        <f t="shared" si="14"/>
        <v>342</v>
      </c>
      <c r="Z490">
        <f t="shared" si="15"/>
        <v>0</v>
      </c>
    </row>
    <row r="491" spans="1:26" x14ac:dyDescent="0.2">
      <c r="A491" t="s">
        <v>432</v>
      </c>
      <c r="B491" t="s">
        <v>433</v>
      </c>
      <c r="C491" t="s">
        <v>90</v>
      </c>
      <c r="D491" t="s">
        <v>29</v>
      </c>
      <c r="E491" t="s">
        <v>91</v>
      </c>
      <c r="F491">
        <v>0</v>
      </c>
      <c r="G491">
        <v>0</v>
      </c>
      <c r="H491">
        <v>8134</v>
      </c>
      <c r="I491">
        <v>0</v>
      </c>
      <c r="J491">
        <v>0</v>
      </c>
      <c r="K491">
        <v>647</v>
      </c>
      <c r="L491">
        <v>0</v>
      </c>
      <c r="M491">
        <v>0</v>
      </c>
      <c r="N491">
        <v>240</v>
      </c>
      <c r="O491">
        <v>0</v>
      </c>
      <c r="P491">
        <v>0</v>
      </c>
      <c r="Q491">
        <v>7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f>NHS_AE_2024_2025[[#This Row],[A&amp;E attendances Type 1]]+
NHS_AE_2024_2025[[#This Row],[A&amp;E attendances Type 2]]+
NHS_AE_2024_2025[[#This Row],[A&amp;E attendances Other A&amp;E Department]]</f>
        <v>8134</v>
      </c>
      <c r="Y491">
        <f t="shared" si="14"/>
        <v>240</v>
      </c>
      <c r="Z491">
        <f t="shared" si="15"/>
        <v>0</v>
      </c>
    </row>
    <row r="492" spans="1:26" x14ac:dyDescent="0.2">
      <c r="A492" t="s">
        <v>432</v>
      </c>
      <c r="B492" t="s">
        <v>433</v>
      </c>
      <c r="C492" t="s">
        <v>360</v>
      </c>
      <c r="D492" t="s">
        <v>50</v>
      </c>
      <c r="E492" t="s">
        <v>361</v>
      </c>
      <c r="F492">
        <v>0</v>
      </c>
      <c r="G492">
        <v>0</v>
      </c>
      <c r="H492">
        <v>2385</v>
      </c>
      <c r="I492">
        <v>0</v>
      </c>
      <c r="J492">
        <v>0</v>
      </c>
      <c r="K492">
        <v>349</v>
      </c>
      <c r="L492">
        <v>0</v>
      </c>
      <c r="M492">
        <v>0</v>
      </c>
      <c r="N492">
        <v>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f>NHS_AE_2024_2025[[#This Row],[A&amp;E attendances Type 1]]+
NHS_AE_2024_2025[[#This Row],[A&amp;E attendances Type 2]]+
NHS_AE_2024_2025[[#This Row],[A&amp;E attendances Other A&amp;E Department]]</f>
        <v>2385</v>
      </c>
      <c r="Y492">
        <f t="shared" si="14"/>
        <v>9</v>
      </c>
      <c r="Z492">
        <f t="shared" si="15"/>
        <v>0</v>
      </c>
    </row>
    <row r="493" spans="1:26" x14ac:dyDescent="0.2">
      <c r="A493" t="s">
        <v>432</v>
      </c>
      <c r="B493" t="s">
        <v>433</v>
      </c>
      <c r="C493" t="s">
        <v>120</v>
      </c>
      <c r="D493" t="s">
        <v>50</v>
      </c>
      <c r="E493" t="s">
        <v>121</v>
      </c>
      <c r="F493">
        <v>12083</v>
      </c>
      <c r="G493">
        <v>1067</v>
      </c>
      <c r="H493">
        <v>5763</v>
      </c>
      <c r="I493">
        <v>801</v>
      </c>
      <c r="J493">
        <v>0</v>
      </c>
      <c r="K493">
        <v>1590</v>
      </c>
      <c r="L493">
        <v>7095</v>
      </c>
      <c r="M493">
        <v>17</v>
      </c>
      <c r="N493">
        <v>239</v>
      </c>
      <c r="O493">
        <v>431</v>
      </c>
      <c r="P493">
        <v>0</v>
      </c>
      <c r="Q493">
        <v>36</v>
      </c>
      <c r="R493">
        <v>1558</v>
      </c>
      <c r="S493">
        <v>30</v>
      </c>
      <c r="T493">
        <v>4755</v>
      </c>
      <c r="U493">
        <v>20</v>
      </c>
      <c r="V493">
        <v>0</v>
      </c>
      <c r="W493">
        <v>1232</v>
      </c>
      <c r="X493">
        <f>NHS_AE_2024_2025[[#This Row],[A&amp;E attendances Type 1]]+
NHS_AE_2024_2025[[#This Row],[A&amp;E attendances Type 2]]+
NHS_AE_2024_2025[[#This Row],[A&amp;E attendances Other A&amp;E Department]]</f>
        <v>18913</v>
      </c>
      <c r="Y493">
        <f t="shared" si="14"/>
        <v>7351</v>
      </c>
      <c r="Z493">
        <f t="shared" si="15"/>
        <v>6007</v>
      </c>
    </row>
    <row r="494" spans="1:26" x14ac:dyDescent="0.2">
      <c r="A494" t="s">
        <v>432</v>
      </c>
      <c r="B494" t="s">
        <v>433</v>
      </c>
      <c r="C494" t="s">
        <v>186</v>
      </c>
      <c r="D494" t="s">
        <v>26</v>
      </c>
      <c r="E494" t="s">
        <v>187</v>
      </c>
      <c r="F494">
        <v>13366</v>
      </c>
      <c r="G494">
        <v>0</v>
      </c>
      <c r="H494">
        <v>4874</v>
      </c>
      <c r="I494">
        <v>0</v>
      </c>
      <c r="J494">
        <v>0</v>
      </c>
      <c r="K494">
        <v>0</v>
      </c>
      <c r="L494">
        <v>6548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1155</v>
      </c>
      <c r="S494">
        <v>399</v>
      </c>
      <c r="T494">
        <v>4255</v>
      </c>
      <c r="U494">
        <v>6</v>
      </c>
      <c r="V494">
        <v>0</v>
      </c>
      <c r="W494">
        <v>2386</v>
      </c>
      <c r="X494">
        <f>NHS_AE_2024_2025[[#This Row],[A&amp;E attendances Type 1]]+
NHS_AE_2024_2025[[#This Row],[A&amp;E attendances Type 2]]+
NHS_AE_2024_2025[[#This Row],[A&amp;E attendances Other A&amp;E Department]]</f>
        <v>18240</v>
      </c>
      <c r="Y494">
        <f t="shared" si="14"/>
        <v>6548</v>
      </c>
      <c r="Z494">
        <f t="shared" si="15"/>
        <v>6647</v>
      </c>
    </row>
    <row r="495" spans="1:26" x14ac:dyDescent="0.2">
      <c r="A495" t="s">
        <v>432</v>
      </c>
      <c r="B495" t="s">
        <v>433</v>
      </c>
      <c r="C495" t="s">
        <v>188</v>
      </c>
      <c r="D495" t="s">
        <v>26</v>
      </c>
      <c r="E495" t="s">
        <v>189</v>
      </c>
      <c r="F495">
        <v>15827</v>
      </c>
      <c r="G495">
        <v>2126</v>
      </c>
      <c r="H495">
        <v>0</v>
      </c>
      <c r="I495">
        <v>0</v>
      </c>
      <c r="J495">
        <v>0</v>
      </c>
      <c r="K495">
        <v>0</v>
      </c>
      <c r="L495">
        <v>6647</v>
      </c>
      <c r="M495">
        <v>125</v>
      </c>
      <c r="N495">
        <v>0</v>
      </c>
      <c r="O495">
        <v>0</v>
      </c>
      <c r="P495">
        <v>0</v>
      </c>
      <c r="Q495">
        <v>0</v>
      </c>
      <c r="R495">
        <v>1326</v>
      </c>
      <c r="S495">
        <v>695</v>
      </c>
      <c r="T495">
        <v>5267</v>
      </c>
      <c r="U495">
        <v>9</v>
      </c>
      <c r="V495">
        <v>0</v>
      </c>
      <c r="W495">
        <v>1553</v>
      </c>
      <c r="X495">
        <f>NHS_AE_2024_2025[[#This Row],[A&amp;E attendances Type 1]]+
NHS_AE_2024_2025[[#This Row],[A&amp;E attendances Type 2]]+
NHS_AE_2024_2025[[#This Row],[A&amp;E attendances Other A&amp;E Department]]</f>
        <v>17953</v>
      </c>
      <c r="Y495">
        <f t="shared" si="14"/>
        <v>6772</v>
      </c>
      <c r="Z495">
        <f t="shared" si="15"/>
        <v>6829</v>
      </c>
    </row>
    <row r="496" spans="1:26" x14ac:dyDescent="0.2">
      <c r="A496" t="s">
        <v>432</v>
      </c>
      <c r="B496" t="s">
        <v>433</v>
      </c>
      <c r="C496" t="s">
        <v>236</v>
      </c>
      <c r="D496" t="s">
        <v>32</v>
      </c>
      <c r="E496" t="s">
        <v>237</v>
      </c>
      <c r="F496">
        <v>9777</v>
      </c>
      <c r="G496">
        <v>0</v>
      </c>
      <c r="H496">
        <v>4650</v>
      </c>
      <c r="I496">
        <v>32</v>
      </c>
      <c r="J496">
        <v>0</v>
      </c>
      <c r="K496">
        <v>154</v>
      </c>
      <c r="L496">
        <v>3739</v>
      </c>
      <c r="M496">
        <v>0</v>
      </c>
      <c r="N496">
        <v>147</v>
      </c>
      <c r="O496">
        <v>10</v>
      </c>
      <c r="P496">
        <v>0</v>
      </c>
      <c r="Q496">
        <v>0</v>
      </c>
      <c r="R496">
        <v>1297</v>
      </c>
      <c r="S496">
        <v>240</v>
      </c>
      <c r="T496">
        <v>4145</v>
      </c>
      <c r="U496">
        <v>0</v>
      </c>
      <c r="V496">
        <v>0</v>
      </c>
      <c r="W496">
        <v>751</v>
      </c>
      <c r="X496">
        <f>NHS_AE_2024_2025[[#This Row],[A&amp;E attendances Type 1]]+
NHS_AE_2024_2025[[#This Row],[A&amp;E attendances Type 2]]+
NHS_AE_2024_2025[[#This Row],[A&amp;E attendances Other A&amp;E Department]]</f>
        <v>14427</v>
      </c>
      <c r="Y496">
        <f t="shared" si="14"/>
        <v>3886</v>
      </c>
      <c r="Z496">
        <f t="shared" si="15"/>
        <v>4896</v>
      </c>
    </row>
    <row r="497" spans="1:26" x14ac:dyDescent="0.2">
      <c r="A497" t="s">
        <v>432</v>
      </c>
      <c r="B497" t="s">
        <v>433</v>
      </c>
      <c r="C497" t="s">
        <v>238</v>
      </c>
      <c r="D497" t="s">
        <v>50</v>
      </c>
      <c r="E497" t="s">
        <v>239</v>
      </c>
      <c r="F497">
        <v>10763</v>
      </c>
      <c r="G497">
        <v>325</v>
      </c>
      <c r="H497">
        <v>5610</v>
      </c>
      <c r="I497">
        <v>0</v>
      </c>
      <c r="J497">
        <v>0</v>
      </c>
      <c r="K497">
        <v>0</v>
      </c>
      <c r="L497">
        <v>6317</v>
      </c>
      <c r="M497">
        <v>0</v>
      </c>
      <c r="N497">
        <v>195</v>
      </c>
      <c r="O497">
        <v>0</v>
      </c>
      <c r="P497">
        <v>0</v>
      </c>
      <c r="Q497">
        <v>0</v>
      </c>
      <c r="R497">
        <v>772</v>
      </c>
      <c r="S497">
        <v>1057</v>
      </c>
      <c r="T497">
        <v>4639</v>
      </c>
      <c r="U497">
        <v>0</v>
      </c>
      <c r="V497">
        <v>0</v>
      </c>
      <c r="W497">
        <v>1610</v>
      </c>
      <c r="X497">
        <f>NHS_AE_2024_2025[[#This Row],[A&amp;E attendances Type 1]]+
NHS_AE_2024_2025[[#This Row],[A&amp;E attendances Type 2]]+
NHS_AE_2024_2025[[#This Row],[A&amp;E attendances Other A&amp;E Department]]</f>
        <v>16698</v>
      </c>
      <c r="Y497">
        <f t="shared" si="14"/>
        <v>6512</v>
      </c>
      <c r="Z497">
        <f t="shared" si="15"/>
        <v>6249</v>
      </c>
    </row>
    <row r="498" spans="1:26" x14ac:dyDescent="0.2">
      <c r="A498" t="s">
        <v>432</v>
      </c>
      <c r="B498" t="s">
        <v>433</v>
      </c>
      <c r="C498" t="s">
        <v>240</v>
      </c>
      <c r="D498" t="s">
        <v>50</v>
      </c>
      <c r="E498" t="s">
        <v>241</v>
      </c>
      <c r="F498">
        <v>5809</v>
      </c>
      <c r="G498">
        <v>202</v>
      </c>
      <c r="H498">
        <v>0</v>
      </c>
      <c r="I498">
        <v>557</v>
      </c>
      <c r="J498">
        <v>0</v>
      </c>
      <c r="K498">
        <v>0</v>
      </c>
      <c r="L498">
        <v>2489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453</v>
      </c>
      <c r="S498">
        <v>150</v>
      </c>
      <c r="T498">
        <v>1661</v>
      </c>
      <c r="U498">
        <v>0</v>
      </c>
      <c r="V498">
        <v>0</v>
      </c>
      <c r="W498">
        <v>559</v>
      </c>
      <c r="X498">
        <f>NHS_AE_2024_2025[[#This Row],[A&amp;E attendances Type 1]]+
NHS_AE_2024_2025[[#This Row],[A&amp;E attendances Type 2]]+
NHS_AE_2024_2025[[#This Row],[A&amp;E attendances Other A&amp;E Department]]</f>
        <v>6011</v>
      </c>
      <c r="Y498">
        <f t="shared" si="14"/>
        <v>2489</v>
      </c>
      <c r="Z498">
        <f t="shared" si="15"/>
        <v>2220</v>
      </c>
    </row>
    <row r="499" spans="1:26" x14ac:dyDescent="0.2">
      <c r="A499" t="s">
        <v>432</v>
      </c>
      <c r="B499" t="s">
        <v>433</v>
      </c>
      <c r="C499" t="s">
        <v>402</v>
      </c>
      <c r="D499" t="s">
        <v>70</v>
      </c>
      <c r="E499" t="s">
        <v>403</v>
      </c>
      <c r="F499">
        <v>7060</v>
      </c>
      <c r="G499">
        <v>0</v>
      </c>
      <c r="H499">
        <v>1308</v>
      </c>
      <c r="I499">
        <v>0</v>
      </c>
      <c r="J499">
        <v>0</v>
      </c>
      <c r="K499">
        <v>0</v>
      </c>
      <c r="L499">
        <v>3458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352</v>
      </c>
      <c r="S499">
        <v>129</v>
      </c>
      <c r="T499">
        <v>2318</v>
      </c>
      <c r="U499">
        <v>0</v>
      </c>
      <c r="V499">
        <v>0</v>
      </c>
      <c r="W499">
        <v>241</v>
      </c>
      <c r="X499">
        <f>NHS_AE_2024_2025[[#This Row],[A&amp;E attendances Type 1]]+
NHS_AE_2024_2025[[#This Row],[A&amp;E attendances Type 2]]+
NHS_AE_2024_2025[[#This Row],[A&amp;E attendances Other A&amp;E Department]]</f>
        <v>8368</v>
      </c>
      <c r="Y499">
        <f t="shared" si="14"/>
        <v>3458</v>
      </c>
      <c r="Z499">
        <f t="shared" si="15"/>
        <v>2559</v>
      </c>
    </row>
    <row r="500" spans="1:26" x14ac:dyDescent="0.2">
      <c r="A500" t="s">
        <v>432</v>
      </c>
      <c r="B500" t="s">
        <v>433</v>
      </c>
      <c r="C500" t="s">
        <v>298</v>
      </c>
      <c r="D500" t="s">
        <v>32</v>
      </c>
      <c r="E500" t="s">
        <v>299</v>
      </c>
      <c r="F500">
        <v>6779</v>
      </c>
      <c r="G500">
        <v>0</v>
      </c>
      <c r="H500">
        <v>6341</v>
      </c>
      <c r="I500">
        <v>243</v>
      </c>
      <c r="J500">
        <v>0</v>
      </c>
      <c r="K500">
        <v>101</v>
      </c>
      <c r="L500">
        <v>3605</v>
      </c>
      <c r="M500">
        <v>0</v>
      </c>
      <c r="N500">
        <v>282</v>
      </c>
      <c r="O500">
        <v>101</v>
      </c>
      <c r="P500">
        <v>0</v>
      </c>
      <c r="Q500">
        <v>8</v>
      </c>
      <c r="R500">
        <v>1051</v>
      </c>
      <c r="S500">
        <v>235</v>
      </c>
      <c r="T500">
        <v>2819</v>
      </c>
      <c r="U500">
        <v>0</v>
      </c>
      <c r="V500">
        <v>284</v>
      </c>
      <c r="W500">
        <v>585</v>
      </c>
      <c r="X500">
        <f>NHS_AE_2024_2025[[#This Row],[A&amp;E attendances Type 1]]+
NHS_AE_2024_2025[[#This Row],[A&amp;E attendances Type 2]]+
NHS_AE_2024_2025[[#This Row],[A&amp;E attendances Other A&amp;E Department]]</f>
        <v>13120</v>
      </c>
      <c r="Y500">
        <f t="shared" si="14"/>
        <v>3887</v>
      </c>
      <c r="Z500">
        <f t="shared" si="15"/>
        <v>3688</v>
      </c>
    </row>
    <row r="501" spans="1:26" x14ac:dyDescent="0.2">
      <c r="A501" t="s">
        <v>432</v>
      </c>
      <c r="B501" t="s">
        <v>433</v>
      </c>
      <c r="C501" t="s">
        <v>416</v>
      </c>
      <c r="D501" t="s">
        <v>70</v>
      </c>
      <c r="E501" t="s">
        <v>417</v>
      </c>
      <c r="F501">
        <v>7916</v>
      </c>
      <c r="G501">
        <v>0</v>
      </c>
      <c r="H501">
        <v>785</v>
      </c>
      <c r="I501">
        <v>37</v>
      </c>
      <c r="J501">
        <v>0</v>
      </c>
      <c r="K501">
        <v>0</v>
      </c>
      <c r="L501">
        <v>3316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441</v>
      </c>
      <c r="S501">
        <v>696</v>
      </c>
      <c r="T501">
        <v>1999</v>
      </c>
      <c r="U501">
        <v>0</v>
      </c>
      <c r="V501">
        <v>0</v>
      </c>
      <c r="W501">
        <v>324</v>
      </c>
      <c r="X501">
        <f>NHS_AE_2024_2025[[#This Row],[A&amp;E attendances Type 1]]+
NHS_AE_2024_2025[[#This Row],[A&amp;E attendances Type 2]]+
NHS_AE_2024_2025[[#This Row],[A&amp;E attendances Other A&amp;E Department]]</f>
        <v>8701</v>
      </c>
      <c r="Y501">
        <f t="shared" si="14"/>
        <v>3316</v>
      </c>
      <c r="Z501">
        <f t="shared" si="15"/>
        <v>2323</v>
      </c>
    </row>
    <row r="502" spans="1:26" x14ac:dyDescent="0.2">
      <c r="A502" t="s">
        <v>432</v>
      </c>
      <c r="B502" t="s">
        <v>433</v>
      </c>
      <c r="C502" t="s">
        <v>302</v>
      </c>
      <c r="D502" t="s">
        <v>29</v>
      </c>
      <c r="E502" t="s">
        <v>303</v>
      </c>
      <c r="F502">
        <v>10355</v>
      </c>
      <c r="G502">
        <v>661</v>
      </c>
      <c r="H502">
        <v>6289</v>
      </c>
      <c r="I502">
        <v>0</v>
      </c>
      <c r="J502">
        <v>0</v>
      </c>
      <c r="K502">
        <v>0</v>
      </c>
      <c r="L502">
        <v>4559</v>
      </c>
      <c r="M502">
        <v>38</v>
      </c>
      <c r="N502">
        <v>234</v>
      </c>
      <c r="O502">
        <v>0</v>
      </c>
      <c r="P502">
        <v>0</v>
      </c>
      <c r="Q502">
        <v>0</v>
      </c>
      <c r="R502">
        <v>239</v>
      </c>
      <c r="S502">
        <v>87</v>
      </c>
      <c r="T502">
        <v>2095</v>
      </c>
      <c r="U502">
        <v>0</v>
      </c>
      <c r="V502">
        <v>0</v>
      </c>
      <c r="W502">
        <v>257</v>
      </c>
      <c r="X502">
        <f>NHS_AE_2024_2025[[#This Row],[A&amp;E attendances Type 1]]+
NHS_AE_2024_2025[[#This Row],[A&amp;E attendances Type 2]]+
NHS_AE_2024_2025[[#This Row],[A&amp;E attendances Other A&amp;E Department]]</f>
        <v>17305</v>
      </c>
      <c r="Y502">
        <f t="shared" si="14"/>
        <v>4831</v>
      </c>
      <c r="Z502">
        <f t="shared" si="15"/>
        <v>2352</v>
      </c>
    </row>
    <row r="503" spans="1:26" x14ac:dyDescent="0.2">
      <c r="A503" t="s">
        <v>432</v>
      </c>
      <c r="B503" t="s">
        <v>433</v>
      </c>
      <c r="C503" t="s">
        <v>370</v>
      </c>
      <c r="D503" t="s">
        <v>29</v>
      </c>
      <c r="E503" t="s">
        <v>371</v>
      </c>
      <c r="F503">
        <v>14817</v>
      </c>
      <c r="G503">
        <v>0</v>
      </c>
      <c r="H503">
        <v>11293</v>
      </c>
      <c r="I503">
        <v>0</v>
      </c>
      <c r="J503">
        <v>0</v>
      </c>
      <c r="K503">
        <v>0</v>
      </c>
      <c r="L503">
        <v>7982</v>
      </c>
      <c r="M503">
        <v>0</v>
      </c>
      <c r="N503">
        <v>1382</v>
      </c>
      <c r="O503">
        <v>0</v>
      </c>
      <c r="P503">
        <v>0</v>
      </c>
      <c r="Q503">
        <v>0</v>
      </c>
      <c r="R503">
        <v>1245</v>
      </c>
      <c r="S503">
        <v>731</v>
      </c>
      <c r="T503">
        <v>5067</v>
      </c>
      <c r="U503">
        <v>0</v>
      </c>
      <c r="V503">
        <v>0</v>
      </c>
      <c r="W503">
        <v>1235</v>
      </c>
      <c r="X503">
        <f>NHS_AE_2024_2025[[#This Row],[A&amp;E attendances Type 1]]+
NHS_AE_2024_2025[[#This Row],[A&amp;E attendances Type 2]]+
NHS_AE_2024_2025[[#This Row],[A&amp;E attendances Other A&amp;E Department]]</f>
        <v>26110</v>
      </c>
      <c r="Y503">
        <f t="shared" si="14"/>
        <v>9364</v>
      </c>
      <c r="Z503">
        <f t="shared" si="15"/>
        <v>6302</v>
      </c>
    </row>
    <row r="504" spans="1:26" x14ac:dyDescent="0.2">
      <c r="A504" t="s">
        <v>432</v>
      </c>
      <c r="B504" t="s">
        <v>433</v>
      </c>
      <c r="C504" t="s">
        <v>308</v>
      </c>
      <c r="D504" t="s">
        <v>32</v>
      </c>
      <c r="E504" t="s">
        <v>309</v>
      </c>
      <c r="F504">
        <v>8418</v>
      </c>
      <c r="G504">
        <v>0</v>
      </c>
      <c r="H504">
        <v>276</v>
      </c>
      <c r="I504">
        <v>0</v>
      </c>
      <c r="J504">
        <v>0</v>
      </c>
      <c r="K504">
        <v>0</v>
      </c>
      <c r="L504">
        <v>3584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493</v>
      </c>
      <c r="S504">
        <v>136</v>
      </c>
      <c r="T504">
        <v>2414</v>
      </c>
      <c r="U504">
        <v>0</v>
      </c>
      <c r="V504">
        <v>0</v>
      </c>
      <c r="W504">
        <v>774</v>
      </c>
      <c r="X504">
        <f>NHS_AE_2024_2025[[#This Row],[A&amp;E attendances Type 1]]+
NHS_AE_2024_2025[[#This Row],[A&amp;E attendances Type 2]]+
NHS_AE_2024_2025[[#This Row],[A&amp;E attendances Other A&amp;E Department]]</f>
        <v>8694</v>
      </c>
      <c r="Y504">
        <f t="shared" si="14"/>
        <v>3584</v>
      </c>
      <c r="Z504">
        <f t="shared" si="15"/>
        <v>3188</v>
      </c>
    </row>
    <row r="505" spans="1:26" x14ac:dyDescent="0.2">
      <c r="A505" t="s">
        <v>432</v>
      </c>
      <c r="B505" t="s">
        <v>433</v>
      </c>
      <c r="C505" t="s">
        <v>156</v>
      </c>
      <c r="D505" t="s">
        <v>29</v>
      </c>
      <c r="E505" t="s">
        <v>157</v>
      </c>
      <c r="F505">
        <v>15408</v>
      </c>
      <c r="G505">
        <v>0</v>
      </c>
      <c r="H505">
        <v>9254</v>
      </c>
      <c r="I505">
        <v>71</v>
      </c>
      <c r="J505">
        <v>0</v>
      </c>
      <c r="K505">
        <v>1254</v>
      </c>
      <c r="L505">
        <v>6995</v>
      </c>
      <c r="M505">
        <v>0</v>
      </c>
      <c r="N505">
        <v>293</v>
      </c>
      <c r="O505">
        <v>23</v>
      </c>
      <c r="P505">
        <v>0</v>
      </c>
      <c r="Q505">
        <v>0</v>
      </c>
      <c r="R505">
        <v>1695</v>
      </c>
      <c r="S505">
        <v>972</v>
      </c>
      <c r="T505">
        <v>3847</v>
      </c>
      <c r="U505">
        <v>0</v>
      </c>
      <c r="V505">
        <v>0</v>
      </c>
      <c r="W505">
        <v>316</v>
      </c>
      <c r="X505">
        <f>NHS_AE_2024_2025[[#This Row],[A&amp;E attendances Type 1]]+
NHS_AE_2024_2025[[#This Row],[A&amp;E attendances Type 2]]+
NHS_AE_2024_2025[[#This Row],[A&amp;E attendances Other A&amp;E Department]]</f>
        <v>24662</v>
      </c>
      <c r="Y505">
        <f t="shared" si="14"/>
        <v>7288</v>
      </c>
      <c r="Z505">
        <f t="shared" si="15"/>
        <v>4163</v>
      </c>
    </row>
    <row r="506" spans="1:26" x14ac:dyDescent="0.2">
      <c r="A506" t="s">
        <v>432</v>
      </c>
      <c r="B506" t="s">
        <v>433</v>
      </c>
      <c r="C506" t="s">
        <v>312</v>
      </c>
      <c r="D506" t="s">
        <v>32</v>
      </c>
      <c r="E506" t="s">
        <v>313</v>
      </c>
      <c r="F506">
        <v>12631</v>
      </c>
      <c r="G506">
        <v>1110</v>
      </c>
      <c r="H506">
        <v>6218</v>
      </c>
      <c r="I506">
        <v>0</v>
      </c>
      <c r="J506">
        <v>0</v>
      </c>
      <c r="K506">
        <v>0</v>
      </c>
      <c r="L506">
        <v>5975</v>
      </c>
      <c r="M506">
        <v>122</v>
      </c>
      <c r="N506">
        <v>541</v>
      </c>
      <c r="O506">
        <v>0</v>
      </c>
      <c r="P506">
        <v>0</v>
      </c>
      <c r="Q506">
        <v>0</v>
      </c>
      <c r="R506">
        <v>77</v>
      </c>
      <c r="S506">
        <v>27</v>
      </c>
      <c r="T506">
        <v>1745</v>
      </c>
      <c r="U506">
        <v>33</v>
      </c>
      <c r="V506">
        <v>100</v>
      </c>
      <c r="W506">
        <v>593</v>
      </c>
      <c r="X506">
        <f>NHS_AE_2024_2025[[#This Row],[A&amp;E attendances Type 1]]+
NHS_AE_2024_2025[[#This Row],[A&amp;E attendances Type 2]]+
NHS_AE_2024_2025[[#This Row],[A&amp;E attendances Other A&amp;E Department]]</f>
        <v>19959</v>
      </c>
      <c r="Y506">
        <f t="shared" si="14"/>
        <v>6638</v>
      </c>
      <c r="Z506">
        <f t="shared" si="15"/>
        <v>2471</v>
      </c>
    </row>
    <row r="507" spans="1:26" x14ac:dyDescent="0.2">
      <c r="A507" t="s">
        <v>432</v>
      </c>
      <c r="B507" t="s">
        <v>433</v>
      </c>
      <c r="C507" t="s">
        <v>372</v>
      </c>
      <c r="D507" t="s">
        <v>29</v>
      </c>
      <c r="E507" t="s">
        <v>373</v>
      </c>
      <c r="F507">
        <v>9388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3013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233</v>
      </c>
      <c r="S507">
        <v>381</v>
      </c>
      <c r="T507">
        <v>1216</v>
      </c>
      <c r="U507">
        <v>0</v>
      </c>
      <c r="V507">
        <v>0</v>
      </c>
      <c r="W507">
        <v>40</v>
      </c>
      <c r="X507">
        <f>NHS_AE_2024_2025[[#This Row],[A&amp;E attendances Type 1]]+
NHS_AE_2024_2025[[#This Row],[A&amp;E attendances Type 2]]+
NHS_AE_2024_2025[[#This Row],[A&amp;E attendances Other A&amp;E Department]]</f>
        <v>9388</v>
      </c>
      <c r="Y507">
        <f t="shared" si="14"/>
        <v>3013</v>
      </c>
      <c r="Z507">
        <f t="shared" si="15"/>
        <v>1256</v>
      </c>
    </row>
    <row r="508" spans="1:26" x14ac:dyDescent="0.2">
      <c r="A508" t="s">
        <v>432</v>
      </c>
      <c r="B508" t="s">
        <v>433</v>
      </c>
      <c r="C508" t="s">
        <v>318</v>
      </c>
      <c r="D508" t="s">
        <v>55</v>
      </c>
      <c r="E508" t="s">
        <v>319</v>
      </c>
      <c r="F508">
        <v>8801</v>
      </c>
      <c r="G508">
        <v>0</v>
      </c>
      <c r="H508">
        <v>3528</v>
      </c>
      <c r="I508">
        <v>413</v>
      </c>
      <c r="J508">
        <v>0</v>
      </c>
      <c r="K508">
        <v>85</v>
      </c>
      <c r="L508">
        <v>4686</v>
      </c>
      <c r="M508">
        <v>0</v>
      </c>
      <c r="N508">
        <v>115</v>
      </c>
      <c r="O508">
        <v>0</v>
      </c>
      <c r="P508">
        <v>0</v>
      </c>
      <c r="Q508">
        <v>0</v>
      </c>
      <c r="R508">
        <v>317</v>
      </c>
      <c r="S508">
        <v>805</v>
      </c>
      <c r="T508">
        <v>1763</v>
      </c>
      <c r="U508">
        <v>0</v>
      </c>
      <c r="V508">
        <v>0</v>
      </c>
      <c r="W508">
        <v>293</v>
      </c>
      <c r="X508">
        <f>NHS_AE_2024_2025[[#This Row],[A&amp;E attendances Type 1]]+
NHS_AE_2024_2025[[#This Row],[A&amp;E attendances Type 2]]+
NHS_AE_2024_2025[[#This Row],[A&amp;E attendances Other A&amp;E Department]]</f>
        <v>12329</v>
      </c>
      <c r="Y508">
        <f t="shared" si="14"/>
        <v>4801</v>
      </c>
      <c r="Z508">
        <f t="shared" si="15"/>
        <v>2056</v>
      </c>
    </row>
    <row r="509" spans="1:26" x14ac:dyDescent="0.2">
      <c r="A509" t="s">
        <v>432</v>
      </c>
      <c r="B509" t="s">
        <v>433</v>
      </c>
      <c r="C509" t="s">
        <v>158</v>
      </c>
      <c r="D509" t="s">
        <v>32</v>
      </c>
      <c r="E509" t="s">
        <v>159</v>
      </c>
      <c r="F509">
        <v>9333</v>
      </c>
      <c r="G509">
        <v>0</v>
      </c>
      <c r="H509">
        <v>5271</v>
      </c>
      <c r="I509">
        <v>0</v>
      </c>
      <c r="J509">
        <v>0</v>
      </c>
      <c r="K509">
        <v>750</v>
      </c>
      <c r="L509">
        <v>2747</v>
      </c>
      <c r="M509">
        <v>0</v>
      </c>
      <c r="N509">
        <v>617</v>
      </c>
      <c r="O509">
        <v>0</v>
      </c>
      <c r="P509">
        <v>0</v>
      </c>
      <c r="Q509">
        <v>0</v>
      </c>
      <c r="R509">
        <v>1961</v>
      </c>
      <c r="S509">
        <v>93</v>
      </c>
      <c r="T509">
        <v>3724</v>
      </c>
      <c r="U509">
        <v>0</v>
      </c>
      <c r="V509">
        <v>0</v>
      </c>
      <c r="W509">
        <v>2204</v>
      </c>
      <c r="X509">
        <f>NHS_AE_2024_2025[[#This Row],[A&amp;E attendances Type 1]]+
NHS_AE_2024_2025[[#This Row],[A&amp;E attendances Type 2]]+
NHS_AE_2024_2025[[#This Row],[A&amp;E attendances Other A&amp;E Department]]</f>
        <v>14604</v>
      </c>
      <c r="Y509">
        <f t="shared" si="14"/>
        <v>3364</v>
      </c>
      <c r="Z509">
        <f t="shared" si="15"/>
        <v>5928</v>
      </c>
    </row>
    <row r="510" spans="1:26" x14ac:dyDescent="0.2">
      <c r="A510" t="s">
        <v>432</v>
      </c>
      <c r="B510" t="s">
        <v>433</v>
      </c>
      <c r="C510" t="s">
        <v>160</v>
      </c>
      <c r="D510" t="s">
        <v>32</v>
      </c>
      <c r="E510" t="s">
        <v>161</v>
      </c>
      <c r="F510">
        <v>10450</v>
      </c>
      <c r="G510">
        <v>0</v>
      </c>
      <c r="H510">
        <v>9823</v>
      </c>
      <c r="I510">
        <v>355</v>
      </c>
      <c r="J510">
        <v>0</v>
      </c>
      <c r="K510">
        <v>0</v>
      </c>
      <c r="L510">
        <v>4357</v>
      </c>
      <c r="M510">
        <v>0</v>
      </c>
      <c r="N510">
        <v>430</v>
      </c>
      <c r="O510">
        <v>0</v>
      </c>
      <c r="P510">
        <v>0</v>
      </c>
      <c r="Q510">
        <v>0</v>
      </c>
      <c r="R510">
        <v>1454</v>
      </c>
      <c r="S510">
        <v>0</v>
      </c>
      <c r="T510">
        <v>1909</v>
      </c>
      <c r="U510">
        <v>0</v>
      </c>
      <c r="V510">
        <v>0</v>
      </c>
      <c r="W510">
        <v>204</v>
      </c>
      <c r="X510">
        <f>NHS_AE_2024_2025[[#This Row],[A&amp;E attendances Type 1]]+
NHS_AE_2024_2025[[#This Row],[A&amp;E attendances Type 2]]+
NHS_AE_2024_2025[[#This Row],[A&amp;E attendances Other A&amp;E Department]]</f>
        <v>20273</v>
      </c>
      <c r="Y510">
        <f t="shared" si="14"/>
        <v>4787</v>
      </c>
      <c r="Z510">
        <f t="shared" si="15"/>
        <v>2113</v>
      </c>
    </row>
    <row r="511" spans="1:26" x14ac:dyDescent="0.2">
      <c r="A511" t="s">
        <v>432</v>
      </c>
      <c r="B511" t="s">
        <v>433</v>
      </c>
      <c r="C511" t="s">
        <v>330</v>
      </c>
      <c r="D511" t="s">
        <v>50</v>
      </c>
      <c r="E511" t="s">
        <v>331</v>
      </c>
      <c r="F511">
        <v>17787</v>
      </c>
      <c r="G511">
        <v>599</v>
      </c>
      <c r="H511">
        <v>12377</v>
      </c>
      <c r="I511">
        <v>59</v>
      </c>
      <c r="J511">
        <v>0</v>
      </c>
      <c r="K511">
        <v>110</v>
      </c>
      <c r="L511">
        <v>8073</v>
      </c>
      <c r="M511">
        <v>0</v>
      </c>
      <c r="N511">
        <v>206</v>
      </c>
      <c r="O511">
        <v>20</v>
      </c>
      <c r="P511">
        <v>0</v>
      </c>
      <c r="Q511">
        <v>0</v>
      </c>
      <c r="R511">
        <v>1622</v>
      </c>
      <c r="S511">
        <v>678</v>
      </c>
      <c r="T511">
        <v>3943</v>
      </c>
      <c r="U511">
        <v>0</v>
      </c>
      <c r="V511">
        <v>0</v>
      </c>
      <c r="W511">
        <v>1177</v>
      </c>
      <c r="X511">
        <f>NHS_AE_2024_2025[[#This Row],[A&amp;E attendances Type 1]]+
NHS_AE_2024_2025[[#This Row],[A&amp;E attendances Type 2]]+
NHS_AE_2024_2025[[#This Row],[A&amp;E attendances Other A&amp;E Department]]</f>
        <v>30763</v>
      </c>
      <c r="Y511">
        <f t="shared" si="14"/>
        <v>8279</v>
      </c>
      <c r="Z511">
        <f t="shared" si="15"/>
        <v>5120</v>
      </c>
    </row>
    <row r="512" spans="1:26" x14ac:dyDescent="0.2">
      <c r="A512" t="s">
        <v>432</v>
      </c>
      <c r="B512" t="s">
        <v>433</v>
      </c>
      <c r="C512" t="s">
        <v>376</v>
      </c>
      <c r="D512" t="s">
        <v>55</v>
      </c>
      <c r="E512" t="s">
        <v>377</v>
      </c>
      <c r="F512">
        <v>9034</v>
      </c>
      <c r="G512">
        <v>0</v>
      </c>
      <c r="H512">
        <v>3216</v>
      </c>
      <c r="I512">
        <v>149</v>
      </c>
      <c r="J512">
        <v>0</v>
      </c>
      <c r="K512">
        <v>738</v>
      </c>
      <c r="L512">
        <v>3256</v>
      </c>
      <c r="M512">
        <v>0</v>
      </c>
      <c r="N512">
        <v>86</v>
      </c>
      <c r="O512">
        <v>27</v>
      </c>
      <c r="P512">
        <v>0</v>
      </c>
      <c r="Q512">
        <v>66</v>
      </c>
      <c r="R512">
        <v>670</v>
      </c>
      <c r="S512">
        <v>550</v>
      </c>
      <c r="T512">
        <v>3269</v>
      </c>
      <c r="U512">
        <v>0</v>
      </c>
      <c r="V512">
        <v>26</v>
      </c>
      <c r="W512">
        <v>1038</v>
      </c>
      <c r="X512">
        <f>NHS_AE_2024_2025[[#This Row],[A&amp;E attendances Type 1]]+
NHS_AE_2024_2025[[#This Row],[A&amp;E attendances Type 2]]+
NHS_AE_2024_2025[[#This Row],[A&amp;E attendances Other A&amp;E Department]]</f>
        <v>12250</v>
      </c>
      <c r="Y512">
        <f t="shared" si="14"/>
        <v>3342</v>
      </c>
      <c r="Z512">
        <f t="shared" si="15"/>
        <v>4333</v>
      </c>
    </row>
    <row r="513" spans="1:26" x14ac:dyDescent="0.2">
      <c r="A513" t="s">
        <v>432</v>
      </c>
      <c r="B513" t="s">
        <v>433</v>
      </c>
      <c r="C513" t="s">
        <v>266</v>
      </c>
      <c r="D513" t="s">
        <v>32</v>
      </c>
      <c r="E513" t="s">
        <v>267</v>
      </c>
      <c r="F513">
        <v>22293</v>
      </c>
      <c r="G513">
        <v>1856</v>
      </c>
      <c r="H513">
        <v>0</v>
      </c>
      <c r="I513">
        <v>0</v>
      </c>
      <c r="J513">
        <v>0</v>
      </c>
      <c r="K513">
        <v>0</v>
      </c>
      <c r="L513">
        <v>9688</v>
      </c>
      <c r="M513">
        <v>161</v>
      </c>
      <c r="N513">
        <v>0</v>
      </c>
      <c r="O513">
        <v>0</v>
      </c>
      <c r="P513">
        <v>0</v>
      </c>
      <c r="Q513">
        <v>0</v>
      </c>
      <c r="R513">
        <v>1588</v>
      </c>
      <c r="S513">
        <v>953</v>
      </c>
      <c r="T513">
        <v>6629</v>
      </c>
      <c r="U513">
        <v>0</v>
      </c>
      <c r="V513">
        <v>0</v>
      </c>
      <c r="W513">
        <v>3412</v>
      </c>
      <c r="X513">
        <f>NHS_AE_2024_2025[[#This Row],[A&amp;E attendances Type 1]]+
NHS_AE_2024_2025[[#This Row],[A&amp;E attendances Type 2]]+
NHS_AE_2024_2025[[#This Row],[A&amp;E attendances Other A&amp;E Department]]</f>
        <v>24149</v>
      </c>
      <c r="Y513">
        <f t="shared" si="14"/>
        <v>9849</v>
      </c>
      <c r="Z513">
        <f t="shared" si="15"/>
        <v>10041</v>
      </c>
    </row>
    <row r="514" spans="1:26" x14ac:dyDescent="0.2">
      <c r="A514" t="s">
        <v>432</v>
      </c>
      <c r="B514" t="s">
        <v>433</v>
      </c>
      <c r="C514" t="s">
        <v>268</v>
      </c>
      <c r="D514" t="s">
        <v>37</v>
      </c>
      <c r="E514" t="s">
        <v>269</v>
      </c>
      <c r="F514">
        <v>19326</v>
      </c>
      <c r="G514">
        <v>0</v>
      </c>
      <c r="H514">
        <v>2212</v>
      </c>
      <c r="I514">
        <v>0</v>
      </c>
      <c r="J514">
        <v>0</v>
      </c>
      <c r="K514">
        <v>0</v>
      </c>
      <c r="L514">
        <v>4476</v>
      </c>
      <c r="M514">
        <v>0</v>
      </c>
      <c r="N514">
        <v>31</v>
      </c>
      <c r="O514">
        <v>0</v>
      </c>
      <c r="P514">
        <v>0</v>
      </c>
      <c r="Q514">
        <v>0</v>
      </c>
      <c r="R514">
        <v>938</v>
      </c>
      <c r="S514">
        <v>171</v>
      </c>
      <c r="T514">
        <v>5225</v>
      </c>
      <c r="U514">
        <v>0</v>
      </c>
      <c r="V514">
        <v>0</v>
      </c>
      <c r="W514">
        <v>981</v>
      </c>
      <c r="X514">
        <f>NHS_AE_2024_2025[[#This Row],[A&amp;E attendances Type 1]]+
NHS_AE_2024_2025[[#This Row],[A&amp;E attendances Type 2]]+
NHS_AE_2024_2025[[#This Row],[A&amp;E attendances Other A&amp;E Department]]</f>
        <v>21538</v>
      </c>
      <c r="Y514">
        <f t="shared" ref="Y514:Y577" si="16">L514+M514+N514</f>
        <v>4507</v>
      </c>
      <c r="Z514">
        <f t="shared" ref="Z514:Z577" si="17">T514+U514+V514+W514</f>
        <v>6206</v>
      </c>
    </row>
    <row r="515" spans="1:26" x14ac:dyDescent="0.2">
      <c r="A515" t="s">
        <v>432</v>
      </c>
      <c r="B515" t="s">
        <v>433</v>
      </c>
      <c r="C515" t="s">
        <v>350</v>
      </c>
      <c r="D515" t="s">
        <v>55</v>
      </c>
      <c r="E515" t="s">
        <v>351</v>
      </c>
      <c r="F515">
        <v>6888</v>
      </c>
      <c r="G515">
        <v>0</v>
      </c>
      <c r="H515">
        <v>2896</v>
      </c>
      <c r="I515">
        <v>271</v>
      </c>
      <c r="J515">
        <v>0</v>
      </c>
      <c r="K515">
        <v>160</v>
      </c>
      <c r="L515">
        <v>3615</v>
      </c>
      <c r="M515">
        <v>0</v>
      </c>
      <c r="N515">
        <v>47</v>
      </c>
      <c r="O515">
        <v>106</v>
      </c>
      <c r="P515">
        <v>0</v>
      </c>
      <c r="Q515">
        <v>3</v>
      </c>
      <c r="R515">
        <v>772</v>
      </c>
      <c r="S515">
        <v>687</v>
      </c>
      <c r="T515">
        <v>1878</v>
      </c>
      <c r="U515">
        <v>0</v>
      </c>
      <c r="V515">
        <v>0</v>
      </c>
      <c r="W515">
        <v>129</v>
      </c>
      <c r="X515">
        <f>NHS_AE_2024_2025[[#This Row],[A&amp;E attendances Type 1]]+
NHS_AE_2024_2025[[#This Row],[A&amp;E attendances Type 2]]+
NHS_AE_2024_2025[[#This Row],[A&amp;E attendances Other A&amp;E Department]]</f>
        <v>9784</v>
      </c>
      <c r="Y515">
        <f t="shared" si="16"/>
        <v>3662</v>
      </c>
      <c r="Z515">
        <f t="shared" si="17"/>
        <v>2007</v>
      </c>
    </row>
    <row r="516" spans="1:26" x14ac:dyDescent="0.2">
      <c r="A516" t="s">
        <v>432</v>
      </c>
      <c r="B516" t="s">
        <v>433</v>
      </c>
      <c r="C516" t="s">
        <v>170</v>
      </c>
      <c r="D516" t="s">
        <v>32</v>
      </c>
      <c r="E516" t="s">
        <v>171</v>
      </c>
      <c r="F516">
        <v>16345</v>
      </c>
      <c r="G516">
        <v>1613</v>
      </c>
      <c r="H516">
        <v>280</v>
      </c>
      <c r="I516">
        <v>0</v>
      </c>
      <c r="J516">
        <v>0</v>
      </c>
      <c r="K516">
        <v>0</v>
      </c>
      <c r="L516">
        <v>9494</v>
      </c>
      <c r="M516">
        <v>151</v>
      </c>
      <c r="N516">
        <v>8</v>
      </c>
      <c r="O516">
        <v>0</v>
      </c>
      <c r="P516">
        <v>0</v>
      </c>
      <c r="Q516">
        <v>0</v>
      </c>
      <c r="R516">
        <v>309</v>
      </c>
      <c r="S516">
        <v>578</v>
      </c>
      <c r="T516">
        <v>4640</v>
      </c>
      <c r="U516">
        <v>0</v>
      </c>
      <c r="V516">
        <v>0</v>
      </c>
      <c r="W516">
        <v>4354</v>
      </c>
      <c r="X516">
        <f>NHS_AE_2024_2025[[#This Row],[A&amp;E attendances Type 1]]+
NHS_AE_2024_2025[[#This Row],[A&amp;E attendances Type 2]]+
NHS_AE_2024_2025[[#This Row],[A&amp;E attendances Other A&amp;E Department]]</f>
        <v>18238</v>
      </c>
      <c r="Y516">
        <f t="shared" si="16"/>
        <v>9653</v>
      </c>
      <c r="Z516">
        <f t="shared" si="17"/>
        <v>8994</v>
      </c>
    </row>
    <row r="517" spans="1:26" x14ac:dyDescent="0.2">
      <c r="A517" t="s">
        <v>432</v>
      </c>
      <c r="B517" t="s">
        <v>433</v>
      </c>
      <c r="C517" t="s">
        <v>352</v>
      </c>
      <c r="D517" t="s">
        <v>50</v>
      </c>
      <c r="E517" t="s">
        <v>353</v>
      </c>
      <c r="F517">
        <v>16641</v>
      </c>
      <c r="G517">
        <v>118</v>
      </c>
      <c r="H517">
        <v>5877</v>
      </c>
      <c r="I517">
        <v>124</v>
      </c>
      <c r="J517">
        <v>0</v>
      </c>
      <c r="K517">
        <v>106</v>
      </c>
      <c r="L517">
        <v>7307</v>
      </c>
      <c r="M517">
        <v>0</v>
      </c>
      <c r="N517">
        <v>550</v>
      </c>
      <c r="O517">
        <v>1</v>
      </c>
      <c r="P517">
        <v>0</v>
      </c>
      <c r="Q517">
        <v>4</v>
      </c>
      <c r="R517">
        <v>2316</v>
      </c>
      <c r="S517">
        <v>923</v>
      </c>
      <c r="T517">
        <v>3506</v>
      </c>
      <c r="U517">
        <v>0</v>
      </c>
      <c r="V517">
        <v>155</v>
      </c>
      <c r="W517">
        <v>749</v>
      </c>
      <c r="X517">
        <f>NHS_AE_2024_2025[[#This Row],[A&amp;E attendances Type 1]]+
NHS_AE_2024_2025[[#This Row],[A&amp;E attendances Type 2]]+
NHS_AE_2024_2025[[#This Row],[A&amp;E attendances Other A&amp;E Department]]</f>
        <v>22636</v>
      </c>
      <c r="Y517">
        <f t="shared" si="16"/>
        <v>7857</v>
      </c>
      <c r="Z517">
        <f t="shared" si="17"/>
        <v>4410</v>
      </c>
    </row>
    <row r="518" spans="1:26" x14ac:dyDescent="0.2">
      <c r="A518" t="s">
        <v>432</v>
      </c>
      <c r="B518" t="s">
        <v>433</v>
      </c>
      <c r="C518" t="s">
        <v>214</v>
      </c>
      <c r="D518" t="s">
        <v>55</v>
      </c>
      <c r="E518" t="s">
        <v>215</v>
      </c>
      <c r="F518">
        <v>12019</v>
      </c>
      <c r="G518">
        <v>0</v>
      </c>
      <c r="H518">
        <v>3663</v>
      </c>
      <c r="I518">
        <v>254</v>
      </c>
      <c r="J518">
        <v>0</v>
      </c>
      <c r="K518">
        <v>62</v>
      </c>
      <c r="L518">
        <v>4565</v>
      </c>
      <c r="M518">
        <v>0</v>
      </c>
      <c r="N518">
        <v>116</v>
      </c>
      <c r="O518">
        <v>43</v>
      </c>
      <c r="P518">
        <v>0</v>
      </c>
      <c r="Q518">
        <v>0</v>
      </c>
      <c r="R518">
        <v>1040</v>
      </c>
      <c r="S518">
        <v>454</v>
      </c>
      <c r="T518">
        <v>3218</v>
      </c>
      <c r="U518">
        <v>0</v>
      </c>
      <c r="V518">
        <v>79</v>
      </c>
      <c r="W518">
        <v>1262</v>
      </c>
      <c r="X518">
        <f>NHS_AE_2024_2025[[#This Row],[A&amp;E attendances Type 1]]+
NHS_AE_2024_2025[[#This Row],[A&amp;E attendances Type 2]]+
NHS_AE_2024_2025[[#This Row],[A&amp;E attendances Other A&amp;E Department]]</f>
        <v>15682</v>
      </c>
      <c r="Y518">
        <f t="shared" si="16"/>
        <v>4681</v>
      </c>
      <c r="Z518">
        <f t="shared" si="17"/>
        <v>4559</v>
      </c>
    </row>
    <row r="519" spans="1:26" x14ac:dyDescent="0.2">
      <c r="A519" t="s">
        <v>432</v>
      </c>
      <c r="B519" t="s">
        <v>433</v>
      </c>
      <c r="C519" t="s">
        <v>276</v>
      </c>
      <c r="D519" t="s">
        <v>37</v>
      </c>
      <c r="E519" t="s">
        <v>277</v>
      </c>
      <c r="F519">
        <v>23249</v>
      </c>
      <c r="G519">
        <v>1245</v>
      </c>
      <c r="H519">
        <v>4343</v>
      </c>
      <c r="I519">
        <v>1654</v>
      </c>
      <c r="J519">
        <v>0</v>
      </c>
      <c r="K519">
        <v>993</v>
      </c>
      <c r="L519">
        <v>10412</v>
      </c>
      <c r="M519">
        <v>26</v>
      </c>
      <c r="N519">
        <v>466</v>
      </c>
      <c r="O519">
        <v>572</v>
      </c>
      <c r="P519">
        <v>0</v>
      </c>
      <c r="Q519">
        <v>34</v>
      </c>
      <c r="R519">
        <v>600</v>
      </c>
      <c r="S519">
        <v>800</v>
      </c>
      <c r="T519">
        <v>8404</v>
      </c>
      <c r="U519">
        <v>21</v>
      </c>
      <c r="V519">
        <v>41</v>
      </c>
      <c r="W519">
        <v>1439</v>
      </c>
      <c r="X519">
        <f>NHS_AE_2024_2025[[#This Row],[A&amp;E attendances Type 1]]+
NHS_AE_2024_2025[[#This Row],[A&amp;E attendances Type 2]]+
NHS_AE_2024_2025[[#This Row],[A&amp;E attendances Other A&amp;E Department]]</f>
        <v>28837</v>
      </c>
      <c r="Y519">
        <f t="shared" si="16"/>
        <v>10904</v>
      </c>
      <c r="Z519">
        <f t="shared" si="17"/>
        <v>9905</v>
      </c>
    </row>
    <row r="520" spans="1:26" x14ac:dyDescent="0.2">
      <c r="A520" t="s">
        <v>432</v>
      </c>
      <c r="B520" t="s">
        <v>433</v>
      </c>
      <c r="C520" t="s">
        <v>76</v>
      </c>
      <c r="D520" t="s">
        <v>37</v>
      </c>
      <c r="E520" t="s">
        <v>77</v>
      </c>
      <c r="F520">
        <v>0</v>
      </c>
      <c r="G520">
        <v>0</v>
      </c>
      <c r="H520">
        <v>5427</v>
      </c>
      <c r="I520">
        <v>0</v>
      </c>
      <c r="J520">
        <v>0</v>
      </c>
      <c r="K520">
        <v>272</v>
      </c>
      <c r="L520">
        <v>0</v>
      </c>
      <c r="M520">
        <v>0</v>
      </c>
      <c r="N520">
        <v>288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f>NHS_AE_2024_2025[[#This Row],[A&amp;E attendances Type 1]]+
NHS_AE_2024_2025[[#This Row],[A&amp;E attendances Type 2]]+
NHS_AE_2024_2025[[#This Row],[A&amp;E attendances Other A&amp;E Department]]</f>
        <v>5427</v>
      </c>
      <c r="Y520">
        <f t="shared" si="16"/>
        <v>288</v>
      </c>
      <c r="Z520">
        <f t="shared" si="17"/>
        <v>0</v>
      </c>
    </row>
    <row r="521" spans="1:26" x14ac:dyDescent="0.2">
      <c r="A521" t="s">
        <v>432</v>
      </c>
      <c r="B521" t="s">
        <v>433</v>
      </c>
      <c r="C521" t="s">
        <v>148</v>
      </c>
      <c r="D521" t="s">
        <v>32</v>
      </c>
      <c r="E521" t="s">
        <v>149</v>
      </c>
      <c r="F521">
        <v>0</v>
      </c>
      <c r="G521">
        <v>0</v>
      </c>
      <c r="H521">
        <v>2692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f>NHS_AE_2024_2025[[#This Row],[A&amp;E attendances Type 1]]+
NHS_AE_2024_2025[[#This Row],[A&amp;E attendances Type 2]]+
NHS_AE_2024_2025[[#This Row],[A&amp;E attendances Other A&amp;E Department]]</f>
        <v>2692</v>
      </c>
      <c r="Y521">
        <f t="shared" si="16"/>
        <v>1</v>
      </c>
      <c r="Z521">
        <f t="shared" si="17"/>
        <v>0</v>
      </c>
    </row>
    <row r="522" spans="1:26" x14ac:dyDescent="0.2">
      <c r="A522" t="s">
        <v>432</v>
      </c>
      <c r="B522" t="s">
        <v>433</v>
      </c>
      <c r="C522" t="s">
        <v>286</v>
      </c>
      <c r="D522" t="s">
        <v>37</v>
      </c>
      <c r="E522" t="s">
        <v>287</v>
      </c>
      <c r="F522">
        <v>4774</v>
      </c>
      <c r="G522">
        <v>268</v>
      </c>
      <c r="H522">
        <v>1468</v>
      </c>
      <c r="I522">
        <v>18</v>
      </c>
      <c r="J522">
        <v>0</v>
      </c>
      <c r="K522">
        <v>26</v>
      </c>
      <c r="L522">
        <v>1766</v>
      </c>
      <c r="M522">
        <v>0</v>
      </c>
      <c r="N522">
        <v>0</v>
      </c>
      <c r="O522">
        <v>5</v>
      </c>
      <c r="P522">
        <v>0</v>
      </c>
      <c r="Q522">
        <v>0</v>
      </c>
      <c r="R522">
        <v>253</v>
      </c>
      <c r="S522">
        <v>91</v>
      </c>
      <c r="T522">
        <v>1152</v>
      </c>
      <c r="U522">
        <v>0</v>
      </c>
      <c r="V522">
        <v>0</v>
      </c>
      <c r="W522">
        <v>198</v>
      </c>
      <c r="X522">
        <f>NHS_AE_2024_2025[[#This Row],[A&amp;E attendances Type 1]]+
NHS_AE_2024_2025[[#This Row],[A&amp;E attendances Type 2]]+
NHS_AE_2024_2025[[#This Row],[A&amp;E attendances Other A&amp;E Department]]</f>
        <v>6510</v>
      </c>
      <c r="Y522">
        <f t="shared" si="16"/>
        <v>1766</v>
      </c>
      <c r="Z522">
        <f t="shared" si="17"/>
        <v>1350</v>
      </c>
    </row>
    <row r="523" spans="1:26" x14ac:dyDescent="0.2">
      <c r="A523" t="s">
        <v>432</v>
      </c>
      <c r="B523" t="s">
        <v>433</v>
      </c>
      <c r="C523" t="s">
        <v>190</v>
      </c>
      <c r="D523" t="s">
        <v>50</v>
      </c>
      <c r="E523" t="s">
        <v>191</v>
      </c>
      <c r="F523">
        <v>10047</v>
      </c>
      <c r="G523">
        <v>921</v>
      </c>
      <c r="H523">
        <v>3212</v>
      </c>
      <c r="I523">
        <v>0</v>
      </c>
      <c r="J523">
        <v>0</v>
      </c>
      <c r="K523">
        <v>0</v>
      </c>
      <c r="L523">
        <v>2711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766</v>
      </c>
      <c r="S523">
        <v>120</v>
      </c>
      <c r="T523">
        <v>2692</v>
      </c>
      <c r="U523">
        <v>0</v>
      </c>
      <c r="V523">
        <v>47</v>
      </c>
      <c r="W523">
        <v>1493</v>
      </c>
      <c r="X523">
        <f>NHS_AE_2024_2025[[#This Row],[A&amp;E attendances Type 1]]+
NHS_AE_2024_2025[[#This Row],[A&amp;E attendances Type 2]]+
NHS_AE_2024_2025[[#This Row],[A&amp;E attendances Other A&amp;E Department]]</f>
        <v>14180</v>
      </c>
      <c r="Y523">
        <f t="shared" si="16"/>
        <v>2711</v>
      </c>
      <c r="Z523">
        <f t="shared" si="17"/>
        <v>4232</v>
      </c>
    </row>
    <row r="524" spans="1:26" x14ac:dyDescent="0.2">
      <c r="A524" t="s">
        <v>432</v>
      </c>
      <c r="B524" t="s">
        <v>433</v>
      </c>
      <c r="C524" t="s">
        <v>228</v>
      </c>
      <c r="D524" t="s">
        <v>70</v>
      </c>
      <c r="E524" t="s">
        <v>229</v>
      </c>
      <c r="F524">
        <v>31192</v>
      </c>
      <c r="G524">
        <v>0</v>
      </c>
      <c r="H524">
        <v>5305</v>
      </c>
      <c r="I524">
        <v>28</v>
      </c>
      <c r="J524">
        <v>0</v>
      </c>
      <c r="K524">
        <v>9</v>
      </c>
      <c r="L524">
        <v>12755</v>
      </c>
      <c r="M524">
        <v>0</v>
      </c>
      <c r="N524">
        <v>283</v>
      </c>
      <c r="O524">
        <v>6</v>
      </c>
      <c r="P524">
        <v>0</v>
      </c>
      <c r="Q524">
        <v>2</v>
      </c>
      <c r="R524">
        <v>3044</v>
      </c>
      <c r="S524">
        <v>256</v>
      </c>
      <c r="T524">
        <v>8935</v>
      </c>
      <c r="U524">
        <v>0</v>
      </c>
      <c r="V524">
        <v>195</v>
      </c>
      <c r="W524">
        <v>1343</v>
      </c>
      <c r="X524">
        <f>NHS_AE_2024_2025[[#This Row],[A&amp;E attendances Type 1]]+
NHS_AE_2024_2025[[#This Row],[A&amp;E attendances Type 2]]+
NHS_AE_2024_2025[[#This Row],[A&amp;E attendances Other A&amp;E Department]]</f>
        <v>36497</v>
      </c>
      <c r="Y524">
        <f t="shared" si="16"/>
        <v>13038</v>
      </c>
      <c r="Z524">
        <f t="shared" si="17"/>
        <v>10473</v>
      </c>
    </row>
    <row r="525" spans="1:26" x14ac:dyDescent="0.2">
      <c r="A525" t="s">
        <v>432</v>
      </c>
      <c r="B525" t="s">
        <v>433</v>
      </c>
      <c r="C525" t="s">
        <v>230</v>
      </c>
      <c r="D525" t="s">
        <v>29</v>
      </c>
      <c r="E525" t="s">
        <v>231</v>
      </c>
      <c r="F525">
        <v>17780</v>
      </c>
      <c r="G525">
        <v>0</v>
      </c>
      <c r="H525">
        <v>9195</v>
      </c>
      <c r="I525">
        <v>0</v>
      </c>
      <c r="J525">
        <v>0</v>
      </c>
      <c r="K525">
        <v>0</v>
      </c>
      <c r="L525">
        <v>5720</v>
      </c>
      <c r="M525">
        <v>0</v>
      </c>
      <c r="N525">
        <v>202</v>
      </c>
      <c r="O525">
        <v>0</v>
      </c>
      <c r="P525">
        <v>0</v>
      </c>
      <c r="Q525">
        <v>0</v>
      </c>
      <c r="R525">
        <v>1067</v>
      </c>
      <c r="S525">
        <v>934</v>
      </c>
      <c r="T525">
        <v>3785</v>
      </c>
      <c r="U525">
        <v>0</v>
      </c>
      <c r="V525">
        <v>0</v>
      </c>
      <c r="W525">
        <v>525</v>
      </c>
      <c r="X525">
        <f>NHS_AE_2024_2025[[#This Row],[A&amp;E attendances Type 1]]+
NHS_AE_2024_2025[[#This Row],[A&amp;E attendances Type 2]]+
NHS_AE_2024_2025[[#This Row],[A&amp;E attendances Other A&amp;E Department]]</f>
        <v>26975</v>
      </c>
      <c r="Y525">
        <f t="shared" si="16"/>
        <v>5922</v>
      </c>
      <c r="Z525">
        <f t="shared" si="17"/>
        <v>4310</v>
      </c>
    </row>
    <row r="526" spans="1:26" x14ac:dyDescent="0.2">
      <c r="A526" t="s">
        <v>432</v>
      </c>
      <c r="B526" t="s">
        <v>433</v>
      </c>
      <c r="C526" t="s">
        <v>194</v>
      </c>
      <c r="D526" t="s">
        <v>50</v>
      </c>
      <c r="E526" t="s">
        <v>195</v>
      </c>
      <c r="F526">
        <v>4994</v>
      </c>
      <c r="G526">
        <v>0</v>
      </c>
      <c r="H526">
        <v>644</v>
      </c>
      <c r="I526">
        <v>354</v>
      </c>
      <c r="J526">
        <v>0</v>
      </c>
      <c r="K526">
        <v>39</v>
      </c>
      <c r="L526">
        <v>601</v>
      </c>
      <c r="M526">
        <v>0</v>
      </c>
      <c r="N526">
        <v>8</v>
      </c>
      <c r="O526">
        <v>38</v>
      </c>
      <c r="P526">
        <v>0</v>
      </c>
      <c r="Q526">
        <v>1</v>
      </c>
      <c r="R526">
        <v>26</v>
      </c>
      <c r="S526">
        <v>0</v>
      </c>
      <c r="T526">
        <v>1196</v>
      </c>
      <c r="U526">
        <v>0</v>
      </c>
      <c r="V526">
        <v>0</v>
      </c>
      <c r="W526">
        <v>90</v>
      </c>
      <c r="X526">
        <f>NHS_AE_2024_2025[[#This Row],[A&amp;E attendances Type 1]]+
NHS_AE_2024_2025[[#This Row],[A&amp;E attendances Type 2]]+
NHS_AE_2024_2025[[#This Row],[A&amp;E attendances Other A&amp;E Department]]</f>
        <v>5638</v>
      </c>
      <c r="Y526">
        <f t="shared" si="16"/>
        <v>609</v>
      </c>
      <c r="Z526">
        <f t="shared" si="17"/>
        <v>1286</v>
      </c>
    </row>
    <row r="527" spans="1:26" x14ac:dyDescent="0.2">
      <c r="A527" t="s">
        <v>432</v>
      </c>
      <c r="B527" t="s">
        <v>433</v>
      </c>
      <c r="C527" t="s">
        <v>242</v>
      </c>
      <c r="D527" t="s">
        <v>70</v>
      </c>
      <c r="E527" t="s">
        <v>243</v>
      </c>
      <c r="F527">
        <v>8531</v>
      </c>
      <c r="G527">
        <v>0</v>
      </c>
      <c r="H527">
        <v>5846</v>
      </c>
      <c r="I527">
        <v>618</v>
      </c>
      <c r="J527">
        <v>0</v>
      </c>
      <c r="K527">
        <v>150</v>
      </c>
      <c r="L527">
        <v>4004</v>
      </c>
      <c r="M527">
        <v>0</v>
      </c>
      <c r="N527">
        <v>538</v>
      </c>
      <c r="O527">
        <v>299</v>
      </c>
      <c r="P527">
        <v>0</v>
      </c>
      <c r="Q527">
        <v>0</v>
      </c>
      <c r="R527">
        <v>916</v>
      </c>
      <c r="S527">
        <v>0</v>
      </c>
      <c r="T527">
        <v>2287</v>
      </c>
      <c r="U527">
        <v>0</v>
      </c>
      <c r="V527">
        <v>0</v>
      </c>
      <c r="W527">
        <v>504</v>
      </c>
      <c r="X527">
        <f>NHS_AE_2024_2025[[#This Row],[A&amp;E attendances Type 1]]+
NHS_AE_2024_2025[[#This Row],[A&amp;E attendances Type 2]]+
NHS_AE_2024_2025[[#This Row],[A&amp;E attendances Other A&amp;E Department]]</f>
        <v>14377</v>
      </c>
      <c r="Y527">
        <f t="shared" si="16"/>
        <v>4542</v>
      </c>
      <c r="Z527">
        <f t="shared" si="17"/>
        <v>2791</v>
      </c>
    </row>
    <row r="528" spans="1:26" x14ac:dyDescent="0.2">
      <c r="A528" t="s">
        <v>432</v>
      </c>
      <c r="B528" t="s">
        <v>433</v>
      </c>
      <c r="C528" t="s">
        <v>102</v>
      </c>
      <c r="D528" t="s">
        <v>55</v>
      </c>
      <c r="E528" t="s">
        <v>103</v>
      </c>
      <c r="F528">
        <v>15507</v>
      </c>
      <c r="G528">
        <v>1484</v>
      </c>
      <c r="H528">
        <v>7881</v>
      </c>
      <c r="I528">
        <v>430</v>
      </c>
      <c r="J528">
        <v>0</v>
      </c>
      <c r="K528">
        <v>0</v>
      </c>
      <c r="L528">
        <v>7663</v>
      </c>
      <c r="M528">
        <v>33</v>
      </c>
      <c r="N528">
        <v>285</v>
      </c>
      <c r="O528">
        <v>81</v>
      </c>
      <c r="P528">
        <v>0</v>
      </c>
      <c r="Q528">
        <v>0</v>
      </c>
      <c r="R528">
        <v>2090</v>
      </c>
      <c r="S528">
        <v>1167</v>
      </c>
      <c r="T528">
        <v>4670</v>
      </c>
      <c r="U528">
        <v>0</v>
      </c>
      <c r="V528">
        <v>0</v>
      </c>
      <c r="W528">
        <v>2159</v>
      </c>
      <c r="X528">
        <f>NHS_AE_2024_2025[[#This Row],[A&amp;E attendances Type 1]]+
NHS_AE_2024_2025[[#This Row],[A&amp;E attendances Type 2]]+
NHS_AE_2024_2025[[#This Row],[A&amp;E attendances Other A&amp;E Department]]</f>
        <v>24872</v>
      </c>
      <c r="Y528">
        <f t="shared" si="16"/>
        <v>7981</v>
      </c>
      <c r="Z528">
        <f t="shared" si="17"/>
        <v>6829</v>
      </c>
    </row>
    <row r="529" spans="1:26" x14ac:dyDescent="0.2">
      <c r="A529" t="s">
        <v>432</v>
      </c>
      <c r="B529" t="s">
        <v>433</v>
      </c>
      <c r="C529" t="s">
        <v>198</v>
      </c>
      <c r="D529" t="s">
        <v>55</v>
      </c>
      <c r="E529" t="s">
        <v>199</v>
      </c>
      <c r="F529">
        <v>0</v>
      </c>
      <c r="G529">
        <v>1416</v>
      </c>
      <c r="H529">
        <v>0</v>
      </c>
      <c r="I529">
        <v>0</v>
      </c>
      <c r="J529">
        <v>137</v>
      </c>
      <c r="K529">
        <v>0</v>
      </c>
      <c r="L529">
        <v>0</v>
      </c>
      <c r="M529">
        <v>168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91</v>
      </c>
      <c r="V529">
        <v>0</v>
      </c>
      <c r="W529">
        <v>12</v>
      </c>
      <c r="X529">
        <f>NHS_AE_2024_2025[[#This Row],[A&amp;E attendances Type 1]]+
NHS_AE_2024_2025[[#This Row],[A&amp;E attendances Type 2]]+
NHS_AE_2024_2025[[#This Row],[A&amp;E attendances Other A&amp;E Department]]</f>
        <v>1416</v>
      </c>
      <c r="Y529">
        <f t="shared" si="16"/>
        <v>168</v>
      </c>
      <c r="Z529">
        <f t="shared" si="17"/>
        <v>103</v>
      </c>
    </row>
    <row r="530" spans="1:26" x14ac:dyDescent="0.2">
      <c r="A530" t="s">
        <v>432</v>
      </c>
      <c r="B530" t="s">
        <v>433</v>
      </c>
      <c r="C530" t="s">
        <v>300</v>
      </c>
      <c r="D530" t="s">
        <v>37</v>
      </c>
      <c r="E530" t="s">
        <v>301</v>
      </c>
      <c r="F530">
        <v>12323</v>
      </c>
      <c r="G530">
        <v>1095</v>
      </c>
      <c r="H530">
        <v>0</v>
      </c>
      <c r="I530">
        <v>335</v>
      </c>
      <c r="J530">
        <v>0</v>
      </c>
      <c r="K530">
        <v>0</v>
      </c>
      <c r="L530">
        <v>5590</v>
      </c>
      <c r="M530">
        <v>82</v>
      </c>
      <c r="N530">
        <v>0</v>
      </c>
      <c r="O530">
        <v>150</v>
      </c>
      <c r="P530">
        <v>0</v>
      </c>
      <c r="Q530">
        <v>0</v>
      </c>
      <c r="R530">
        <v>355</v>
      </c>
      <c r="S530">
        <v>9</v>
      </c>
      <c r="T530">
        <v>4090</v>
      </c>
      <c r="U530">
        <v>12</v>
      </c>
      <c r="V530">
        <v>0</v>
      </c>
      <c r="W530">
        <v>1619</v>
      </c>
      <c r="X530">
        <f>NHS_AE_2024_2025[[#This Row],[A&amp;E attendances Type 1]]+
NHS_AE_2024_2025[[#This Row],[A&amp;E attendances Type 2]]+
NHS_AE_2024_2025[[#This Row],[A&amp;E attendances Other A&amp;E Department]]</f>
        <v>13418</v>
      </c>
      <c r="Y530">
        <f t="shared" si="16"/>
        <v>5672</v>
      </c>
      <c r="Z530">
        <f t="shared" si="17"/>
        <v>5721</v>
      </c>
    </row>
    <row r="531" spans="1:26" x14ac:dyDescent="0.2">
      <c r="A531" t="s">
        <v>432</v>
      </c>
      <c r="B531" t="s">
        <v>433</v>
      </c>
      <c r="C531" t="s">
        <v>368</v>
      </c>
      <c r="D531" t="s">
        <v>50</v>
      </c>
      <c r="E531" t="s">
        <v>369</v>
      </c>
      <c r="F531">
        <v>9084</v>
      </c>
      <c r="G531">
        <v>1009</v>
      </c>
      <c r="H531">
        <v>7489</v>
      </c>
      <c r="I531">
        <v>414</v>
      </c>
      <c r="J531">
        <v>1</v>
      </c>
      <c r="K531">
        <v>1392</v>
      </c>
      <c r="L531">
        <v>5322</v>
      </c>
      <c r="M531">
        <v>1</v>
      </c>
      <c r="N531">
        <v>492</v>
      </c>
      <c r="O531">
        <v>217</v>
      </c>
      <c r="P531">
        <v>0</v>
      </c>
      <c r="Q531">
        <v>16</v>
      </c>
      <c r="R531">
        <v>1469</v>
      </c>
      <c r="S531">
        <v>14</v>
      </c>
      <c r="T531">
        <v>3863</v>
      </c>
      <c r="U531">
        <v>0</v>
      </c>
      <c r="V531">
        <v>0</v>
      </c>
      <c r="W531">
        <v>3066</v>
      </c>
      <c r="X531">
        <f>NHS_AE_2024_2025[[#This Row],[A&amp;E attendances Type 1]]+
NHS_AE_2024_2025[[#This Row],[A&amp;E attendances Type 2]]+
NHS_AE_2024_2025[[#This Row],[A&amp;E attendances Other A&amp;E Department]]</f>
        <v>17582</v>
      </c>
      <c r="Y531">
        <f t="shared" si="16"/>
        <v>5815</v>
      </c>
      <c r="Z531">
        <f t="shared" si="17"/>
        <v>6929</v>
      </c>
    </row>
    <row r="532" spans="1:26" x14ac:dyDescent="0.2">
      <c r="A532" t="s">
        <v>432</v>
      </c>
      <c r="B532" t="s">
        <v>433</v>
      </c>
      <c r="C532" t="s">
        <v>306</v>
      </c>
      <c r="D532" t="s">
        <v>29</v>
      </c>
      <c r="E532" t="s">
        <v>307</v>
      </c>
      <c r="F532">
        <v>9025</v>
      </c>
      <c r="G532">
        <v>0</v>
      </c>
      <c r="H532">
        <v>3075</v>
      </c>
      <c r="I532">
        <v>590</v>
      </c>
      <c r="J532">
        <v>0</v>
      </c>
      <c r="K532">
        <v>0</v>
      </c>
      <c r="L532">
        <v>2419</v>
      </c>
      <c r="M532">
        <v>0</v>
      </c>
      <c r="N532">
        <v>0</v>
      </c>
      <c r="O532">
        <v>161</v>
      </c>
      <c r="P532">
        <v>0</v>
      </c>
      <c r="Q532">
        <v>0</v>
      </c>
      <c r="R532">
        <v>622</v>
      </c>
      <c r="S532">
        <v>747</v>
      </c>
      <c r="T532">
        <v>2760</v>
      </c>
      <c r="U532">
        <v>0</v>
      </c>
      <c r="V532">
        <v>0</v>
      </c>
      <c r="W532">
        <v>783</v>
      </c>
      <c r="X532">
        <f>NHS_AE_2024_2025[[#This Row],[A&amp;E attendances Type 1]]+
NHS_AE_2024_2025[[#This Row],[A&amp;E attendances Type 2]]+
NHS_AE_2024_2025[[#This Row],[A&amp;E attendances Other A&amp;E Department]]</f>
        <v>12100</v>
      </c>
      <c r="Y532">
        <f t="shared" si="16"/>
        <v>2419</v>
      </c>
      <c r="Z532">
        <f t="shared" si="17"/>
        <v>3543</v>
      </c>
    </row>
    <row r="533" spans="1:26" x14ac:dyDescent="0.2">
      <c r="A533" t="s">
        <v>432</v>
      </c>
      <c r="B533" t="s">
        <v>433</v>
      </c>
      <c r="C533" t="s">
        <v>200</v>
      </c>
      <c r="D533" t="s">
        <v>32</v>
      </c>
      <c r="E533" t="s">
        <v>201</v>
      </c>
      <c r="F533">
        <v>13450</v>
      </c>
      <c r="G533">
        <v>452</v>
      </c>
      <c r="H533">
        <v>8321</v>
      </c>
      <c r="I533">
        <v>940</v>
      </c>
      <c r="J533">
        <v>0</v>
      </c>
      <c r="K533">
        <v>696</v>
      </c>
      <c r="L533">
        <v>8022</v>
      </c>
      <c r="M533">
        <v>0</v>
      </c>
      <c r="N533">
        <v>352</v>
      </c>
      <c r="O533">
        <v>502</v>
      </c>
      <c r="P533">
        <v>0</v>
      </c>
      <c r="Q533">
        <v>27</v>
      </c>
      <c r="R533">
        <v>964</v>
      </c>
      <c r="S533">
        <v>1235</v>
      </c>
      <c r="T533">
        <v>5401</v>
      </c>
      <c r="U533">
        <v>0</v>
      </c>
      <c r="V533">
        <v>0</v>
      </c>
      <c r="W533">
        <v>3111</v>
      </c>
      <c r="X533">
        <f>NHS_AE_2024_2025[[#This Row],[A&amp;E attendances Type 1]]+
NHS_AE_2024_2025[[#This Row],[A&amp;E attendances Type 2]]+
NHS_AE_2024_2025[[#This Row],[A&amp;E attendances Other A&amp;E Department]]</f>
        <v>22223</v>
      </c>
      <c r="Y533">
        <f t="shared" si="16"/>
        <v>8374</v>
      </c>
      <c r="Z533">
        <f t="shared" si="17"/>
        <v>8512</v>
      </c>
    </row>
    <row r="534" spans="1:26" x14ac:dyDescent="0.2">
      <c r="A534" t="s">
        <v>432</v>
      </c>
      <c r="B534" t="s">
        <v>433</v>
      </c>
      <c r="C534" t="s">
        <v>390</v>
      </c>
      <c r="D534" t="s">
        <v>26</v>
      </c>
      <c r="E534" t="s">
        <v>391</v>
      </c>
      <c r="F534">
        <v>5708</v>
      </c>
      <c r="G534">
        <v>0</v>
      </c>
      <c r="H534">
        <v>5359</v>
      </c>
      <c r="I534">
        <v>0</v>
      </c>
      <c r="J534">
        <v>0</v>
      </c>
      <c r="K534">
        <v>0</v>
      </c>
      <c r="L534">
        <v>2406</v>
      </c>
      <c r="M534">
        <v>0</v>
      </c>
      <c r="N534">
        <v>393</v>
      </c>
      <c r="O534">
        <v>0</v>
      </c>
      <c r="P534">
        <v>0</v>
      </c>
      <c r="Q534">
        <v>0</v>
      </c>
      <c r="R534">
        <v>549</v>
      </c>
      <c r="S534">
        <v>292</v>
      </c>
      <c r="T534">
        <v>2412</v>
      </c>
      <c r="U534">
        <v>0</v>
      </c>
      <c r="V534">
        <v>0</v>
      </c>
      <c r="W534">
        <v>1394</v>
      </c>
      <c r="X534">
        <f>NHS_AE_2024_2025[[#This Row],[A&amp;E attendances Type 1]]+
NHS_AE_2024_2025[[#This Row],[A&amp;E attendances Type 2]]+
NHS_AE_2024_2025[[#This Row],[A&amp;E attendances Other A&amp;E Department]]</f>
        <v>11067</v>
      </c>
      <c r="Y534">
        <f t="shared" si="16"/>
        <v>2799</v>
      </c>
      <c r="Z534">
        <f t="shared" si="17"/>
        <v>3806</v>
      </c>
    </row>
    <row r="535" spans="1:26" x14ac:dyDescent="0.2">
      <c r="A535" t="s">
        <v>432</v>
      </c>
      <c r="B535" t="s">
        <v>433</v>
      </c>
      <c r="C535" t="s">
        <v>252</v>
      </c>
      <c r="D535" t="s">
        <v>37</v>
      </c>
      <c r="E535" t="s">
        <v>253</v>
      </c>
      <c r="F535">
        <v>11092</v>
      </c>
      <c r="G535">
        <v>37</v>
      </c>
      <c r="H535">
        <v>2612</v>
      </c>
      <c r="I535">
        <v>0</v>
      </c>
      <c r="J535">
        <v>0</v>
      </c>
      <c r="K535">
        <v>114</v>
      </c>
      <c r="L535">
        <v>5667</v>
      </c>
      <c r="M535">
        <v>0</v>
      </c>
      <c r="N535">
        <v>88</v>
      </c>
      <c r="O535">
        <v>0</v>
      </c>
      <c r="P535">
        <v>0</v>
      </c>
      <c r="Q535">
        <v>0</v>
      </c>
      <c r="R535">
        <v>366</v>
      </c>
      <c r="S535">
        <v>115</v>
      </c>
      <c r="T535">
        <v>4227</v>
      </c>
      <c r="U535">
        <v>5</v>
      </c>
      <c r="V535">
        <v>27</v>
      </c>
      <c r="W535">
        <v>1191</v>
      </c>
      <c r="X535">
        <f>NHS_AE_2024_2025[[#This Row],[A&amp;E attendances Type 1]]+
NHS_AE_2024_2025[[#This Row],[A&amp;E attendances Type 2]]+
NHS_AE_2024_2025[[#This Row],[A&amp;E attendances Other A&amp;E Department]]</f>
        <v>13741</v>
      </c>
      <c r="Y535">
        <f t="shared" si="16"/>
        <v>5755</v>
      </c>
      <c r="Z535">
        <f t="shared" si="17"/>
        <v>5450</v>
      </c>
    </row>
    <row r="536" spans="1:26" x14ac:dyDescent="0.2">
      <c r="A536" t="s">
        <v>432</v>
      </c>
      <c r="B536" t="s">
        <v>433</v>
      </c>
      <c r="C536" t="s">
        <v>374</v>
      </c>
      <c r="D536" t="s">
        <v>37</v>
      </c>
      <c r="E536" t="s">
        <v>375</v>
      </c>
      <c r="F536">
        <v>12287</v>
      </c>
      <c r="G536">
        <v>0</v>
      </c>
      <c r="H536">
        <v>4001</v>
      </c>
      <c r="I536">
        <v>0</v>
      </c>
      <c r="J536">
        <v>0</v>
      </c>
      <c r="K536">
        <v>0</v>
      </c>
      <c r="L536">
        <v>4429</v>
      </c>
      <c r="M536">
        <v>0</v>
      </c>
      <c r="N536">
        <v>63</v>
      </c>
      <c r="O536">
        <v>0</v>
      </c>
      <c r="P536">
        <v>0</v>
      </c>
      <c r="Q536">
        <v>0</v>
      </c>
      <c r="R536">
        <v>589</v>
      </c>
      <c r="S536">
        <v>304</v>
      </c>
      <c r="T536">
        <v>3461</v>
      </c>
      <c r="U536">
        <v>0</v>
      </c>
      <c r="V536">
        <v>0</v>
      </c>
      <c r="W536">
        <v>441</v>
      </c>
      <c r="X536">
        <f>NHS_AE_2024_2025[[#This Row],[A&amp;E attendances Type 1]]+
NHS_AE_2024_2025[[#This Row],[A&amp;E attendances Type 2]]+
NHS_AE_2024_2025[[#This Row],[A&amp;E attendances Other A&amp;E Department]]</f>
        <v>16288</v>
      </c>
      <c r="Y536">
        <f t="shared" si="16"/>
        <v>4492</v>
      </c>
      <c r="Z536">
        <f t="shared" si="17"/>
        <v>3902</v>
      </c>
    </row>
    <row r="537" spans="1:26" x14ac:dyDescent="0.2">
      <c r="A537" t="s">
        <v>432</v>
      </c>
      <c r="B537" t="s">
        <v>433</v>
      </c>
      <c r="C537" t="s">
        <v>162</v>
      </c>
      <c r="D537" t="s">
        <v>29</v>
      </c>
      <c r="E537" t="s">
        <v>163</v>
      </c>
      <c r="F537">
        <v>0</v>
      </c>
      <c r="G537">
        <v>5063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81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</v>
      </c>
      <c r="V537">
        <v>0</v>
      </c>
      <c r="W537">
        <v>204</v>
      </c>
      <c r="X537">
        <f>NHS_AE_2024_2025[[#This Row],[A&amp;E attendances Type 1]]+
NHS_AE_2024_2025[[#This Row],[A&amp;E attendances Type 2]]+
NHS_AE_2024_2025[[#This Row],[A&amp;E attendances Other A&amp;E Department]]</f>
        <v>5063</v>
      </c>
      <c r="Y537">
        <f t="shared" si="16"/>
        <v>81</v>
      </c>
      <c r="Z537">
        <f t="shared" si="17"/>
        <v>206</v>
      </c>
    </row>
    <row r="538" spans="1:26" x14ac:dyDescent="0.2">
      <c r="A538" t="s">
        <v>432</v>
      </c>
      <c r="B538" t="s">
        <v>433</v>
      </c>
      <c r="C538" t="s">
        <v>324</v>
      </c>
      <c r="D538" t="s">
        <v>37</v>
      </c>
      <c r="E538" t="s">
        <v>325</v>
      </c>
      <c r="F538">
        <v>8605</v>
      </c>
      <c r="G538">
        <v>0</v>
      </c>
      <c r="H538">
        <v>6738</v>
      </c>
      <c r="I538">
        <v>287</v>
      </c>
      <c r="J538">
        <v>0</v>
      </c>
      <c r="K538">
        <v>1200</v>
      </c>
      <c r="L538">
        <v>3619</v>
      </c>
      <c r="M538">
        <v>0</v>
      </c>
      <c r="N538">
        <v>705</v>
      </c>
      <c r="O538">
        <v>87</v>
      </c>
      <c r="P538">
        <v>0</v>
      </c>
      <c r="Q538">
        <v>0</v>
      </c>
      <c r="R538">
        <v>341</v>
      </c>
      <c r="S538">
        <v>771</v>
      </c>
      <c r="T538">
        <v>1896</v>
      </c>
      <c r="U538">
        <v>0</v>
      </c>
      <c r="V538">
        <v>0</v>
      </c>
      <c r="W538">
        <v>473</v>
      </c>
      <c r="X538">
        <f>NHS_AE_2024_2025[[#This Row],[A&amp;E attendances Type 1]]+
NHS_AE_2024_2025[[#This Row],[A&amp;E attendances Type 2]]+
NHS_AE_2024_2025[[#This Row],[A&amp;E attendances Other A&amp;E Department]]</f>
        <v>15343</v>
      </c>
      <c r="Y538">
        <f t="shared" si="16"/>
        <v>4324</v>
      </c>
      <c r="Z538">
        <f t="shared" si="17"/>
        <v>2369</v>
      </c>
    </row>
    <row r="539" spans="1:26" x14ac:dyDescent="0.2">
      <c r="A539" t="s">
        <v>432</v>
      </c>
      <c r="B539" t="s">
        <v>433</v>
      </c>
      <c r="C539" t="s">
        <v>410</v>
      </c>
      <c r="D539" t="s">
        <v>32</v>
      </c>
      <c r="E539" t="s">
        <v>411</v>
      </c>
      <c r="F539">
        <v>5924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2003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44</v>
      </c>
      <c r="T539">
        <v>996</v>
      </c>
      <c r="U539">
        <v>0</v>
      </c>
      <c r="V539">
        <v>0</v>
      </c>
      <c r="W539">
        <v>133</v>
      </c>
      <c r="X539">
        <f>NHS_AE_2024_2025[[#This Row],[A&amp;E attendances Type 1]]+
NHS_AE_2024_2025[[#This Row],[A&amp;E attendances Type 2]]+
NHS_AE_2024_2025[[#This Row],[A&amp;E attendances Other A&amp;E Department]]</f>
        <v>5924</v>
      </c>
      <c r="Y539">
        <f t="shared" si="16"/>
        <v>2003</v>
      </c>
      <c r="Z539">
        <f t="shared" si="17"/>
        <v>1129</v>
      </c>
    </row>
    <row r="540" spans="1:26" x14ac:dyDescent="0.2">
      <c r="A540" t="s">
        <v>432</v>
      </c>
      <c r="B540" t="s">
        <v>433</v>
      </c>
      <c r="C540" t="s">
        <v>206</v>
      </c>
      <c r="D540" t="s">
        <v>32</v>
      </c>
      <c r="E540" t="s">
        <v>207</v>
      </c>
      <c r="F540">
        <v>35503</v>
      </c>
      <c r="G540">
        <v>318</v>
      </c>
      <c r="H540">
        <v>1395</v>
      </c>
      <c r="I540">
        <v>0</v>
      </c>
      <c r="J540">
        <v>0</v>
      </c>
      <c r="K540">
        <v>285</v>
      </c>
      <c r="L540">
        <v>15632</v>
      </c>
      <c r="M540">
        <v>0</v>
      </c>
      <c r="N540">
        <v>19</v>
      </c>
      <c r="O540">
        <v>0</v>
      </c>
      <c r="P540">
        <v>0</v>
      </c>
      <c r="Q540">
        <v>8</v>
      </c>
      <c r="R540">
        <v>2940</v>
      </c>
      <c r="S540">
        <v>1894</v>
      </c>
      <c r="T540">
        <v>10608</v>
      </c>
      <c r="U540">
        <v>0</v>
      </c>
      <c r="V540">
        <v>0</v>
      </c>
      <c r="W540">
        <v>6740</v>
      </c>
      <c r="X540">
        <f>NHS_AE_2024_2025[[#This Row],[A&amp;E attendances Type 1]]+
NHS_AE_2024_2025[[#This Row],[A&amp;E attendances Type 2]]+
NHS_AE_2024_2025[[#This Row],[A&amp;E attendances Other A&amp;E Department]]</f>
        <v>37216</v>
      </c>
      <c r="Y540">
        <f t="shared" si="16"/>
        <v>15651</v>
      </c>
      <c r="Z540">
        <f t="shared" si="17"/>
        <v>17348</v>
      </c>
    </row>
    <row r="541" spans="1:26" x14ac:dyDescent="0.2">
      <c r="A541" t="s">
        <v>432</v>
      </c>
      <c r="B541" t="s">
        <v>433</v>
      </c>
      <c r="C541" t="s">
        <v>208</v>
      </c>
      <c r="D541" t="s">
        <v>32</v>
      </c>
      <c r="E541" t="s">
        <v>209</v>
      </c>
      <c r="F541">
        <v>19558</v>
      </c>
      <c r="G541">
        <v>0</v>
      </c>
      <c r="H541">
        <v>10236</v>
      </c>
      <c r="I541">
        <v>2143</v>
      </c>
      <c r="J541">
        <v>0</v>
      </c>
      <c r="K541">
        <v>23</v>
      </c>
      <c r="L541">
        <v>9741</v>
      </c>
      <c r="M541">
        <v>0</v>
      </c>
      <c r="N541">
        <v>4</v>
      </c>
      <c r="O541">
        <v>523</v>
      </c>
      <c r="P541">
        <v>0</v>
      </c>
      <c r="Q541">
        <v>0</v>
      </c>
      <c r="R541">
        <v>1043</v>
      </c>
      <c r="S541">
        <v>1279</v>
      </c>
      <c r="T541">
        <v>3989</v>
      </c>
      <c r="U541">
        <v>0</v>
      </c>
      <c r="V541">
        <v>2</v>
      </c>
      <c r="W541">
        <v>1956</v>
      </c>
      <c r="X541">
        <f>NHS_AE_2024_2025[[#This Row],[A&amp;E attendances Type 1]]+
NHS_AE_2024_2025[[#This Row],[A&amp;E attendances Type 2]]+
NHS_AE_2024_2025[[#This Row],[A&amp;E attendances Other A&amp;E Department]]</f>
        <v>29794</v>
      </c>
      <c r="Y541">
        <f t="shared" si="16"/>
        <v>9745</v>
      </c>
      <c r="Z541">
        <f t="shared" si="17"/>
        <v>5947</v>
      </c>
    </row>
    <row r="542" spans="1:26" x14ac:dyDescent="0.2">
      <c r="A542" t="s">
        <v>432</v>
      </c>
      <c r="B542" t="s">
        <v>433</v>
      </c>
      <c r="C542" t="s">
        <v>424</v>
      </c>
      <c r="D542" t="s">
        <v>37</v>
      </c>
      <c r="E542" t="s">
        <v>425</v>
      </c>
      <c r="F542">
        <v>12478</v>
      </c>
      <c r="G542">
        <v>1562</v>
      </c>
      <c r="H542">
        <v>2477</v>
      </c>
      <c r="I542">
        <v>1746</v>
      </c>
      <c r="J542">
        <v>0</v>
      </c>
      <c r="K542">
        <v>145</v>
      </c>
      <c r="L542">
        <v>5477</v>
      </c>
      <c r="M542">
        <v>0</v>
      </c>
      <c r="N542">
        <v>15</v>
      </c>
      <c r="O542">
        <v>644</v>
      </c>
      <c r="P542">
        <v>0</v>
      </c>
      <c r="Q542">
        <v>1</v>
      </c>
      <c r="R542">
        <v>977</v>
      </c>
      <c r="S542">
        <v>0</v>
      </c>
      <c r="T542">
        <v>4684</v>
      </c>
      <c r="U542">
        <v>116</v>
      </c>
      <c r="V542">
        <v>14</v>
      </c>
      <c r="W542">
        <v>4281</v>
      </c>
      <c r="X542">
        <f>NHS_AE_2024_2025[[#This Row],[A&amp;E attendances Type 1]]+
NHS_AE_2024_2025[[#This Row],[A&amp;E attendances Type 2]]+
NHS_AE_2024_2025[[#This Row],[A&amp;E attendances Other A&amp;E Department]]</f>
        <v>16517</v>
      </c>
      <c r="Y542">
        <f t="shared" si="16"/>
        <v>5492</v>
      </c>
      <c r="Z542">
        <f t="shared" si="17"/>
        <v>9095</v>
      </c>
    </row>
    <row r="543" spans="1:26" x14ac:dyDescent="0.2">
      <c r="A543" t="s">
        <v>432</v>
      </c>
      <c r="B543" t="s">
        <v>433</v>
      </c>
      <c r="C543" t="s">
        <v>260</v>
      </c>
      <c r="D543" t="s">
        <v>37</v>
      </c>
      <c r="E543" t="s">
        <v>261</v>
      </c>
      <c r="F543">
        <v>10917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4022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558</v>
      </c>
      <c r="S543">
        <v>336</v>
      </c>
      <c r="T543">
        <v>2838</v>
      </c>
      <c r="U543">
        <v>0</v>
      </c>
      <c r="V543">
        <v>0</v>
      </c>
      <c r="W543">
        <v>552</v>
      </c>
      <c r="X543">
        <f>NHS_AE_2024_2025[[#This Row],[A&amp;E attendances Type 1]]+
NHS_AE_2024_2025[[#This Row],[A&amp;E attendances Type 2]]+
NHS_AE_2024_2025[[#This Row],[A&amp;E attendances Other A&amp;E Department]]</f>
        <v>10917</v>
      </c>
      <c r="Y543">
        <f t="shared" si="16"/>
        <v>4022</v>
      </c>
      <c r="Z543">
        <f t="shared" si="17"/>
        <v>3390</v>
      </c>
    </row>
    <row r="544" spans="1:26" x14ac:dyDescent="0.2">
      <c r="A544" t="s">
        <v>432</v>
      </c>
      <c r="B544" t="s">
        <v>433</v>
      </c>
      <c r="C544" t="s">
        <v>210</v>
      </c>
      <c r="D544" t="s">
        <v>26</v>
      </c>
      <c r="E544" t="s">
        <v>211</v>
      </c>
      <c r="F544">
        <v>8633</v>
      </c>
      <c r="G544">
        <v>0</v>
      </c>
      <c r="H544">
        <v>0</v>
      </c>
      <c r="I544">
        <v>29</v>
      </c>
      <c r="J544">
        <v>0</v>
      </c>
      <c r="K544">
        <v>0</v>
      </c>
      <c r="L544">
        <v>3596</v>
      </c>
      <c r="M544">
        <v>0</v>
      </c>
      <c r="N544">
        <v>0</v>
      </c>
      <c r="O544">
        <v>12</v>
      </c>
      <c r="P544">
        <v>0</v>
      </c>
      <c r="Q544">
        <v>0</v>
      </c>
      <c r="R544">
        <v>564</v>
      </c>
      <c r="S544">
        <v>352</v>
      </c>
      <c r="T544">
        <v>2999</v>
      </c>
      <c r="U544">
        <v>0</v>
      </c>
      <c r="V544">
        <v>0</v>
      </c>
      <c r="W544">
        <v>2089</v>
      </c>
      <c r="X544">
        <f>NHS_AE_2024_2025[[#This Row],[A&amp;E attendances Type 1]]+
NHS_AE_2024_2025[[#This Row],[A&amp;E attendances Type 2]]+
NHS_AE_2024_2025[[#This Row],[A&amp;E attendances Other A&amp;E Department]]</f>
        <v>8633</v>
      </c>
      <c r="Y544">
        <f t="shared" si="16"/>
        <v>3596</v>
      </c>
      <c r="Z544">
        <f t="shared" si="17"/>
        <v>5088</v>
      </c>
    </row>
    <row r="545" spans="1:26" x14ac:dyDescent="0.2">
      <c r="A545" t="s">
        <v>432</v>
      </c>
      <c r="B545" t="s">
        <v>433</v>
      </c>
      <c r="C545" t="s">
        <v>342</v>
      </c>
      <c r="D545" t="s">
        <v>37</v>
      </c>
      <c r="E545" t="s">
        <v>343</v>
      </c>
      <c r="F545">
        <v>14042</v>
      </c>
      <c r="G545">
        <v>0</v>
      </c>
      <c r="H545">
        <v>12628</v>
      </c>
      <c r="I545">
        <v>0</v>
      </c>
      <c r="J545">
        <v>0</v>
      </c>
      <c r="K545">
        <v>0</v>
      </c>
      <c r="L545">
        <v>6359</v>
      </c>
      <c r="M545">
        <v>0</v>
      </c>
      <c r="N545">
        <v>456</v>
      </c>
      <c r="O545">
        <v>0</v>
      </c>
      <c r="P545">
        <v>0</v>
      </c>
      <c r="Q545">
        <v>0</v>
      </c>
      <c r="R545">
        <v>587</v>
      </c>
      <c r="S545">
        <v>1326</v>
      </c>
      <c r="T545">
        <v>3268</v>
      </c>
      <c r="U545">
        <v>0</v>
      </c>
      <c r="V545">
        <v>537</v>
      </c>
      <c r="W545">
        <v>515</v>
      </c>
      <c r="X545">
        <f>NHS_AE_2024_2025[[#This Row],[A&amp;E attendances Type 1]]+
NHS_AE_2024_2025[[#This Row],[A&amp;E attendances Type 2]]+
NHS_AE_2024_2025[[#This Row],[A&amp;E attendances Other A&amp;E Department]]</f>
        <v>26670</v>
      </c>
      <c r="Y545">
        <f t="shared" si="16"/>
        <v>6815</v>
      </c>
      <c r="Z545">
        <f t="shared" si="17"/>
        <v>4320</v>
      </c>
    </row>
    <row r="546" spans="1:26" x14ac:dyDescent="0.2">
      <c r="A546" t="s">
        <v>432</v>
      </c>
      <c r="B546" t="s">
        <v>433</v>
      </c>
      <c r="C546" t="s">
        <v>212</v>
      </c>
      <c r="D546" t="s">
        <v>50</v>
      </c>
      <c r="E546" t="s">
        <v>213</v>
      </c>
      <c r="F546">
        <v>5315</v>
      </c>
      <c r="G546">
        <v>0</v>
      </c>
      <c r="H546">
        <v>12316</v>
      </c>
      <c r="I546">
        <v>0</v>
      </c>
      <c r="J546">
        <v>0</v>
      </c>
      <c r="K546">
        <v>0</v>
      </c>
      <c r="L546">
        <v>3315</v>
      </c>
      <c r="M546">
        <v>0</v>
      </c>
      <c r="N546">
        <v>44</v>
      </c>
      <c r="O546">
        <v>0</v>
      </c>
      <c r="P546">
        <v>0</v>
      </c>
      <c r="Q546">
        <v>0</v>
      </c>
      <c r="R546">
        <v>265</v>
      </c>
      <c r="S546">
        <v>36</v>
      </c>
      <c r="T546">
        <v>1868</v>
      </c>
      <c r="U546">
        <v>0</v>
      </c>
      <c r="V546">
        <v>577</v>
      </c>
      <c r="W546">
        <v>2454</v>
      </c>
      <c r="X546">
        <f>NHS_AE_2024_2025[[#This Row],[A&amp;E attendances Type 1]]+
NHS_AE_2024_2025[[#This Row],[A&amp;E attendances Type 2]]+
NHS_AE_2024_2025[[#This Row],[A&amp;E attendances Other A&amp;E Department]]</f>
        <v>17631</v>
      </c>
      <c r="Y546">
        <f t="shared" si="16"/>
        <v>3359</v>
      </c>
      <c r="Z546">
        <f t="shared" si="17"/>
        <v>4899</v>
      </c>
    </row>
    <row r="547" spans="1:26" x14ac:dyDescent="0.2">
      <c r="A547" t="s">
        <v>432</v>
      </c>
      <c r="B547" t="s">
        <v>433</v>
      </c>
      <c r="C547" t="s">
        <v>348</v>
      </c>
      <c r="D547" t="s">
        <v>55</v>
      </c>
      <c r="E547" t="s">
        <v>349</v>
      </c>
      <c r="F547">
        <v>7831</v>
      </c>
      <c r="G547">
        <v>0</v>
      </c>
      <c r="H547">
        <v>1051</v>
      </c>
      <c r="I547">
        <v>303</v>
      </c>
      <c r="J547">
        <v>0</v>
      </c>
      <c r="K547">
        <v>77</v>
      </c>
      <c r="L547">
        <v>3273</v>
      </c>
      <c r="M547">
        <v>0</v>
      </c>
      <c r="N547">
        <v>47</v>
      </c>
      <c r="O547">
        <v>107</v>
      </c>
      <c r="P547">
        <v>0</v>
      </c>
      <c r="Q547">
        <v>2</v>
      </c>
      <c r="R547">
        <v>720</v>
      </c>
      <c r="S547">
        <v>479</v>
      </c>
      <c r="T547">
        <v>2783</v>
      </c>
      <c r="U547">
        <v>0</v>
      </c>
      <c r="V547">
        <v>76</v>
      </c>
      <c r="W547">
        <v>803</v>
      </c>
      <c r="X547">
        <f>NHS_AE_2024_2025[[#This Row],[A&amp;E attendances Type 1]]+
NHS_AE_2024_2025[[#This Row],[A&amp;E attendances Type 2]]+
NHS_AE_2024_2025[[#This Row],[A&amp;E attendances Other A&amp;E Department]]</f>
        <v>8882</v>
      </c>
      <c r="Y547">
        <f t="shared" si="16"/>
        <v>3320</v>
      </c>
      <c r="Z547">
        <f t="shared" si="17"/>
        <v>3662</v>
      </c>
    </row>
    <row r="548" spans="1:26" x14ac:dyDescent="0.2">
      <c r="A548" t="s">
        <v>432</v>
      </c>
      <c r="B548" t="s">
        <v>433</v>
      </c>
      <c r="C548" t="s">
        <v>168</v>
      </c>
      <c r="D548" t="s">
        <v>32</v>
      </c>
      <c r="E548" t="s">
        <v>169</v>
      </c>
      <c r="F548">
        <v>13483</v>
      </c>
      <c r="G548">
        <v>0</v>
      </c>
      <c r="H548">
        <v>4876</v>
      </c>
      <c r="I548">
        <v>0</v>
      </c>
      <c r="J548">
        <v>0</v>
      </c>
      <c r="K548">
        <v>0</v>
      </c>
      <c r="L548">
        <v>8592</v>
      </c>
      <c r="M548">
        <v>0</v>
      </c>
      <c r="N548">
        <v>38</v>
      </c>
      <c r="O548">
        <v>0</v>
      </c>
      <c r="P548">
        <v>0</v>
      </c>
      <c r="Q548">
        <v>0</v>
      </c>
      <c r="R548">
        <v>1186</v>
      </c>
      <c r="S548">
        <v>525</v>
      </c>
      <c r="T548">
        <v>2916</v>
      </c>
      <c r="U548">
        <v>0</v>
      </c>
      <c r="V548">
        <v>0</v>
      </c>
      <c r="W548">
        <v>821</v>
      </c>
      <c r="X548">
        <f>NHS_AE_2024_2025[[#This Row],[A&amp;E attendances Type 1]]+
NHS_AE_2024_2025[[#This Row],[A&amp;E attendances Type 2]]+
NHS_AE_2024_2025[[#This Row],[A&amp;E attendances Other A&amp;E Department]]</f>
        <v>18359</v>
      </c>
      <c r="Y548">
        <f t="shared" si="16"/>
        <v>8630</v>
      </c>
      <c r="Z548">
        <f t="shared" si="17"/>
        <v>3737</v>
      </c>
    </row>
    <row r="549" spans="1:26" x14ac:dyDescent="0.2">
      <c r="A549" t="s">
        <v>432</v>
      </c>
      <c r="B549" t="s">
        <v>433</v>
      </c>
      <c r="C549" t="s">
        <v>172</v>
      </c>
      <c r="D549" t="s">
        <v>37</v>
      </c>
      <c r="E549" t="s">
        <v>173</v>
      </c>
      <c r="F549">
        <v>8642</v>
      </c>
      <c r="G549">
        <v>0</v>
      </c>
      <c r="H549">
        <v>2048</v>
      </c>
      <c r="I549">
        <v>2195</v>
      </c>
      <c r="J549">
        <v>0</v>
      </c>
      <c r="K549">
        <v>1681</v>
      </c>
      <c r="L549">
        <v>4456</v>
      </c>
      <c r="M549">
        <v>0</v>
      </c>
      <c r="N549">
        <v>89</v>
      </c>
      <c r="O549">
        <v>0</v>
      </c>
      <c r="P549">
        <v>0</v>
      </c>
      <c r="Q549">
        <v>0</v>
      </c>
      <c r="R549">
        <v>275</v>
      </c>
      <c r="S549">
        <v>42</v>
      </c>
      <c r="T549">
        <v>3232</v>
      </c>
      <c r="U549">
        <v>0</v>
      </c>
      <c r="V549">
        <v>0</v>
      </c>
      <c r="W549">
        <v>343</v>
      </c>
      <c r="X549">
        <f>NHS_AE_2024_2025[[#This Row],[A&amp;E attendances Type 1]]+
NHS_AE_2024_2025[[#This Row],[A&amp;E attendances Type 2]]+
NHS_AE_2024_2025[[#This Row],[A&amp;E attendances Other A&amp;E Department]]</f>
        <v>10690</v>
      </c>
      <c r="Y549">
        <f t="shared" si="16"/>
        <v>4545</v>
      </c>
      <c r="Z549">
        <f t="shared" si="17"/>
        <v>3575</v>
      </c>
    </row>
    <row r="550" spans="1:26" x14ac:dyDescent="0.2">
      <c r="A550" t="s">
        <v>432</v>
      </c>
      <c r="B550" t="s">
        <v>433</v>
      </c>
      <c r="C550" t="s">
        <v>176</v>
      </c>
      <c r="D550" t="s">
        <v>55</v>
      </c>
      <c r="E550" t="s">
        <v>177</v>
      </c>
      <c r="F550">
        <v>9075</v>
      </c>
      <c r="G550">
        <v>0</v>
      </c>
      <c r="H550">
        <v>9684</v>
      </c>
      <c r="I550">
        <v>346</v>
      </c>
      <c r="J550">
        <v>0</v>
      </c>
      <c r="K550">
        <v>336</v>
      </c>
      <c r="L550">
        <v>4300</v>
      </c>
      <c r="M550">
        <v>0</v>
      </c>
      <c r="N550">
        <v>110</v>
      </c>
      <c r="O550">
        <v>105</v>
      </c>
      <c r="P550">
        <v>0</v>
      </c>
      <c r="Q550">
        <v>0</v>
      </c>
      <c r="R550">
        <v>438</v>
      </c>
      <c r="S550">
        <v>748</v>
      </c>
      <c r="T550">
        <v>2688</v>
      </c>
      <c r="U550">
        <v>0</v>
      </c>
      <c r="V550">
        <v>0</v>
      </c>
      <c r="W550">
        <v>1571</v>
      </c>
      <c r="X550">
        <f>NHS_AE_2024_2025[[#This Row],[A&amp;E attendances Type 1]]+
NHS_AE_2024_2025[[#This Row],[A&amp;E attendances Type 2]]+
NHS_AE_2024_2025[[#This Row],[A&amp;E attendances Other A&amp;E Department]]</f>
        <v>18759</v>
      </c>
      <c r="Y550">
        <f t="shared" si="16"/>
        <v>4410</v>
      </c>
      <c r="Z550">
        <f t="shared" si="17"/>
        <v>4259</v>
      </c>
    </row>
    <row r="551" spans="1:26" x14ac:dyDescent="0.2">
      <c r="A551" t="s">
        <v>432</v>
      </c>
      <c r="B551" t="s">
        <v>433</v>
      </c>
      <c r="C551" t="s">
        <v>54</v>
      </c>
      <c r="D551" t="s">
        <v>55</v>
      </c>
      <c r="E551" t="s">
        <v>56</v>
      </c>
      <c r="F551">
        <v>0</v>
      </c>
      <c r="G551">
        <v>0</v>
      </c>
      <c r="H551">
        <v>4247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236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f>NHS_AE_2024_2025[[#This Row],[A&amp;E attendances Type 1]]+
NHS_AE_2024_2025[[#This Row],[A&amp;E attendances Type 2]]+
NHS_AE_2024_2025[[#This Row],[A&amp;E attendances Other A&amp;E Department]]</f>
        <v>4247</v>
      </c>
      <c r="Y551">
        <f t="shared" si="16"/>
        <v>236</v>
      </c>
      <c r="Z551">
        <f t="shared" si="17"/>
        <v>0</v>
      </c>
    </row>
    <row r="552" spans="1:26" x14ac:dyDescent="0.2">
      <c r="A552" t="s">
        <v>432</v>
      </c>
      <c r="B552" t="s">
        <v>433</v>
      </c>
      <c r="C552" t="s">
        <v>356</v>
      </c>
      <c r="D552" t="s">
        <v>32</v>
      </c>
      <c r="E552" t="s">
        <v>357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5</v>
      </c>
      <c r="W552">
        <v>68</v>
      </c>
      <c r="X552">
        <f>NHS_AE_2024_2025[[#This Row],[A&amp;E attendances Type 1]]+
NHS_AE_2024_2025[[#This Row],[A&amp;E attendances Type 2]]+
NHS_AE_2024_2025[[#This Row],[A&amp;E attendances Other A&amp;E Department]]</f>
        <v>0</v>
      </c>
      <c r="Y552">
        <f t="shared" si="16"/>
        <v>0</v>
      </c>
      <c r="Z552">
        <f t="shared" si="17"/>
        <v>73</v>
      </c>
    </row>
    <row r="553" spans="1:26" x14ac:dyDescent="0.2">
      <c r="A553" t="s">
        <v>432</v>
      </c>
      <c r="B553" t="s">
        <v>433</v>
      </c>
      <c r="C553" t="s">
        <v>358</v>
      </c>
      <c r="D553" t="s">
        <v>29</v>
      </c>
      <c r="E553" t="s">
        <v>359</v>
      </c>
      <c r="F553">
        <v>12417</v>
      </c>
      <c r="G553">
        <v>3351</v>
      </c>
      <c r="H553">
        <v>7386</v>
      </c>
      <c r="I553">
        <v>0</v>
      </c>
      <c r="J553">
        <v>0</v>
      </c>
      <c r="K553">
        <v>506</v>
      </c>
      <c r="L553">
        <v>5230</v>
      </c>
      <c r="M553">
        <v>1</v>
      </c>
      <c r="N553">
        <v>641</v>
      </c>
      <c r="O553">
        <v>0</v>
      </c>
      <c r="P553">
        <v>0</v>
      </c>
      <c r="Q553">
        <v>0</v>
      </c>
      <c r="R553">
        <v>726</v>
      </c>
      <c r="S553">
        <v>409</v>
      </c>
      <c r="T553">
        <v>3792</v>
      </c>
      <c r="U553">
        <v>0</v>
      </c>
      <c r="V553">
        <v>0</v>
      </c>
      <c r="W553">
        <v>1138</v>
      </c>
      <c r="X553">
        <f>NHS_AE_2024_2025[[#This Row],[A&amp;E attendances Type 1]]+
NHS_AE_2024_2025[[#This Row],[A&amp;E attendances Type 2]]+
NHS_AE_2024_2025[[#This Row],[A&amp;E attendances Other A&amp;E Department]]</f>
        <v>23154</v>
      </c>
      <c r="Y553">
        <f t="shared" si="16"/>
        <v>5872</v>
      </c>
      <c r="Z553">
        <f t="shared" si="17"/>
        <v>4930</v>
      </c>
    </row>
    <row r="554" spans="1:26" x14ac:dyDescent="0.2">
      <c r="A554" t="s">
        <v>432</v>
      </c>
      <c r="B554" t="s">
        <v>433</v>
      </c>
      <c r="C554" t="s">
        <v>34</v>
      </c>
      <c r="D554" t="s">
        <v>29</v>
      </c>
      <c r="E554" t="s">
        <v>35</v>
      </c>
      <c r="F554">
        <v>0</v>
      </c>
      <c r="G554">
        <v>0</v>
      </c>
      <c r="H554">
        <v>3976</v>
      </c>
      <c r="I554">
        <v>0</v>
      </c>
      <c r="J554">
        <v>0</v>
      </c>
      <c r="K554">
        <v>76</v>
      </c>
      <c r="L554">
        <v>0</v>
      </c>
      <c r="M554">
        <v>0</v>
      </c>
      <c r="N554">
        <v>76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f>NHS_AE_2024_2025[[#This Row],[A&amp;E attendances Type 1]]+
NHS_AE_2024_2025[[#This Row],[A&amp;E attendances Type 2]]+
NHS_AE_2024_2025[[#This Row],[A&amp;E attendances Other A&amp;E Department]]</f>
        <v>3976</v>
      </c>
      <c r="Y554">
        <f t="shared" si="16"/>
        <v>76</v>
      </c>
      <c r="Z554">
        <f t="shared" si="17"/>
        <v>0</v>
      </c>
    </row>
    <row r="555" spans="1:26" x14ac:dyDescent="0.2">
      <c r="A555" t="s">
        <v>432</v>
      </c>
      <c r="B555" t="s">
        <v>433</v>
      </c>
      <c r="C555" t="s">
        <v>224</v>
      </c>
      <c r="D555" t="s">
        <v>29</v>
      </c>
      <c r="E555" t="s">
        <v>225</v>
      </c>
      <c r="F555">
        <v>25805</v>
      </c>
      <c r="G555">
        <v>865</v>
      </c>
      <c r="H555">
        <v>18338</v>
      </c>
      <c r="I555">
        <v>0</v>
      </c>
      <c r="J555">
        <v>0</v>
      </c>
      <c r="K555">
        <v>0</v>
      </c>
      <c r="L555">
        <v>11989</v>
      </c>
      <c r="M555">
        <v>43</v>
      </c>
      <c r="N555">
        <v>1333</v>
      </c>
      <c r="O555">
        <v>0</v>
      </c>
      <c r="P555">
        <v>0</v>
      </c>
      <c r="Q555">
        <v>0</v>
      </c>
      <c r="R555">
        <v>1156</v>
      </c>
      <c r="S555">
        <v>1199</v>
      </c>
      <c r="T555">
        <v>4669</v>
      </c>
      <c r="U555">
        <v>4</v>
      </c>
      <c r="V555">
        <v>25</v>
      </c>
      <c r="W555">
        <v>1206</v>
      </c>
      <c r="X555">
        <f>NHS_AE_2024_2025[[#This Row],[A&amp;E attendances Type 1]]+
NHS_AE_2024_2025[[#This Row],[A&amp;E attendances Type 2]]+
NHS_AE_2024_2025[[#This Row],[A&amp;E attendances Other A&amp;E Department]]</f>
        <v>45008</v>
      </c>
      <c r="Y555">
        <f t="shared" si="16"/>
        <v>13365</v>
      </c>
      <c r="Z555">
        <f t="shared" si="17"/>
        <v>5904</v>
      </c>
    </row>
    <row r="556" spans="1:26" x14ac:dyDescent="0.2">
      <c r="A556" t="s">
        <v>432</v>
      </c>
      <c r="B556" t="s">
        <v>433</v>
      </c>
      <c r="C556" t="s">
        <v>288</v>
      </c>
      <c r="D556" t="s">
        <v>29</v>
      </c>
      <c r="E556" t="s">
        <v>289</v>
      </c>
      <c r="F556">
        <v>14095</v>
      </c>
      <c r="G556">
        <v>0</v>
      </c>
      <c r="H556">
        <v>15063</v>
      </c>
      <c r="I556">
        <v>0</v>
      </c>
      <c r="J556">
        <v>0</v>
      </c>
      <c r="K556">
        <v>0</v>
      </c>
      <c r="L556">
        <v>8643</v>
      </c>
      <c r="M556">
        <v>0</v>
      </c>
      <c r="N556">
        <v>364</v>
      </c>
      <c r="O556">
        <v>0</v>
      </c>
      <c r="P556">
        <v>0</v>
      </c>
      <c r="Q556">
        <v>0</v>
      </c>
      <c r="R556">
        <v>808</v>
      </c>
      <c r="S556">
        <v>615</v>
      </c>
      <c r="T556">
        <v>6234</v>
      </c>
      <c r="U556">
        <v>0</v>
      </c>
      <c r="V556">
        <v>0</v>
      </c>
      <c r="W556">
        <v>163</v>
      </c>
      <c r="X556">
        <f>NHS_AE_2024_2025[[#This Row],[A&amp;E attendances Type 1]]+
NHS_AE_2024_2025[[#This Row],[A&amp;E attendances Type 2]]+
NHS_AE_2024_2025[[#This Row],[A&amp;E attendances Other A&amp;E Department]]</f>
        <v>29158</v>
      </c>
      <c r="Y556">
        <f t="shared" si="16"/>
        <v>9007</v>
      </c>
      <c r="Z556">
        <f t="shared" si="17"/>
        <v>6397</v>
      </c>
    </row>
    <row r="557" spans="1:26" x14ac:dyDescent="0.2">
      <c r="A557" t="s">
        <v>432</v>
      </c>
      <c r="B557" t="s">
        <v>433</v>
      </c>
      <c r="C557" t="s">
        <v>380</v>
      </c>
      <c r="D557" t="s">
        <v>55</v>
      </c>
      <c r="E557" t="s">
        <v>381</v>
      </c>
      <c r="F557">
        <v>16950</v>
      </c>
      <c r="G557">
        <v>0</v>
      </c>
      <c r="H557">
        <v>7181</v>
      </c>
      <c r="I557">
        <v>538</v>
      </c>
      <c r="J557">
        <v>0</v>
      </c>
      <c r="K557">
        <v>0</v>
      </c>
      <c r="L557">
        <v>6749</v>
      </c>
      <c r="M557">
        <v>0</v>
      </c>
      <c r="N557">
        <v>214</v>
      </c>
      <c r="O557">
        <v>94</v>
      </c>
      <c r="P557">
        <v>0</v>
      </c>
      <c r="Q557">
        <v>0</v>
      </c>
      <c r="R557">
        <v>594</v>
      </c>
      <c r="S557">
        <v>426</v>
      </c>
      <c r="T557">
        <v>7586</v>
      </c>
      <c r="U557">
        <v>0</v>
      </c>
      <c r="V557">
        <v>0</v>
      </c>
      <c r="W557">
        <v>600</v>
      </c>
      <c r="X557">
        <f>NHS_AE_2024_2025[[#This Row],[A&amp;E attendances Type 1]]+
NHS_AE_2024_2025[[#This Row],[A&amp;E attendances Type 2]]+
NHS_AE_2024_2025[[#This Row],[A&amp;E attendances Other A&amp;E Department]]</f>
        <v>24131</v>
      </c>
      <c r="Y557">
        <f t="shared" si="16"/>
        <v>6963</v>
      </c>
      <c r="Z557">
        <f t="shared" si="17"/>
        <v>8186</v>
      </c>
    </row>
    <row r="558" spans="1:26" x14ac:dyDescent="0.2">
      <c r="A558" t="s">
        <v>432</v>
      </c>
      <c r="B558" t="s">
        <v>433</v>
      </c>
      <c r="C558" t="s">
        <v>150</v>
      </c>
      <c r="D558" t="s">
        <v>55</v>
      </c>
      <c r="E558" t="s">
        <v>151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716</v>
      </c>
      <c r="X558">
        <f>NHS_AE_2024_2025[[#This Row],[A&amp;E attendances Type 1]]+
NHS_AE_2024_2025[[#This Row],[A&amp;E attendances Type 2]]+
NHS_AE_2024_2025[[#This Row],[A&amp;E attendances Other A&amp;E Department]]</f>
        <v>0</v>
      </c>
      <c r="Y558">
        <f t="shared" si="16"/>
        <v>0</v>
      </c>
      <c r="Z558">
        <f t="shared" si="17"/>
        <v>716</v>
      </c>
    </row>
    <row r="559" spans="1:26" x14ac:dyDescent="0.2">
      <c r="A559" t="s">
        <v>432</v>
      </c>
      <c r="B559" t="s">
        <v>433</v>
      </c>
      <c r="C559" t="s">
        <v>296</v>
      </c>
      <c r="D559" t="s">
        <v>70</v>
      </c>
      <c r="E559" t="s">
        <v>297</v>
      </c>
      <c r="F559">
        <v>13344</v>
      </c>
      <c r="G559">
        <v>0</v>
      </c>
      <c r="H559">
        <v>15606</v>
      </c>
      <c r="I559">
        <v>990</v>
      </c>
      <c r="J559">
        <v>0</v>
      </c>
      <c r="K559">
        <v>695</v>
      </c>
      <c r="L559">
        <v>7644</v>
      </c>
      <c r="M559">
        <v>0</v>
      </c>
      <c r="N559">
        <v>371</v>
      </c>
      <c r="O559">
        <v>0</v>
      </c>
      <c r="P559">
        <v>0</v>
      </c>
      <c r="Q559">
        <v>0</v>
      </c>
      <c r="R559">
        <v>1239</v>
      </c>
      <c r="S559">
        <v>851</v>
      </c>
      <c r="T559">
        <v>6620</v>
      </c>
      <c r="U559">
        <v>0</v>
      </c>
      <c r="V559">
        <v>468</v>
      </c>
      <c r="W559">
        <v>1054</v>
      </c>
      <c r="X559">
        <f>NHS_AE_2024_2025[[#This Row],[A&amp;E attendances Type 1]]+
NHS_AE_2024_2025[[#This Row],[A&amp;E attendances Type 2]]+
NHS_AE_2024_2025[[#This Row],[A&amp;E attendances Other A&amp;E Department]]</f>
        <v>28950</v>
      </c>
      <c r="Y559">
        <f t="shared" si="16"/>
        <v>8015</v>
      </c>
      <c r="Z559">
        <f t="shared" si="17"/>
        <v>8142</v>
      </c>
    </row>
    <row r="560" spans="1:26" x14ac:dyDescent="0.2">
      <c r="A560" t="s">
        <v>432</v>
      </c>
      <c r="B560" t="s">
        <v>433</v>
      </c>
      <c r="C560" t="s">
        <v>364</v>
      </c>
      <c r="D560" t="s">
        <v>37</v>
      </c>
      <c r="E560" t="s">
        <v>365</v>
      </c>
      <c r="F560">
        <v>0</v>
      </c>
      <c r="G560">
        <v>0</v>
      </c>
      <c r="H560">
        <v>11386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139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f>NHS_AE_2024_2025[[#This Row],[A&amp;E attendances Type 1]]+
NHS_AE_2024_2025[[#This Row],[A&amp;E attendances Type 2]]+
NHS_AE_2024_2025[[#This Row],[A&amp;E attendances Other A&amp;E Department]]</f>
        <v>11386</v>
      </c>
      <c r="Y560">
        <f t="shared" si="16"/>
        <v>139</v>
      </c>
      <c r="Z560">
        <f t="shared" si="17"/>
        <v>0</v>
      </c>
    </row>
    <row r="561" spans="1:26" x14ac:dyDescent="0.2">
      <c r="A561" t="s">
        <v>432</v>
      </c>
      <c r="B561" t="s">
        <v>433</v>
      </c>
      <c r="C561" t="s">
        <v>196</v>
      </c>
      <c r="D561" t="s">
        <v>37</v>
      </c>
      <c r="E561" t="s">
        <v>197</v>
      </c>
      <c r="F561">
        <v>23744</v>
      </c>
      <c r="G561">
        <v>760</v>
      </c>
      <c r="H561">
        <v>11284</v>
      </c>
      <c r="I561">
        <v>0</v>
      </c>
      <c r="J561">
        <v>0</v>
      </c>
      <c r="K561">
        <v>0</v>
      </c>
      <c r="L561">
        <v>9813</v>
      </c>
      <c r="M561">
        <v>0</v>
      </c>
      <c r="N561">
        <v>348</v>
      </c>
      <c r="O561">
        <v>0</v>
      </c>
      <c r="P561">
        <v>0</v>
      </c>
      <c r="Q561">
        <v>0</v>
      </c>
      <c r="R561">
        <v>1562</v>
      </c>
      <c r="S561">
        <v>328</v>
      </c>
      <c r="T561">
        <v>6492</v>
      </c>
      <c r="U561">
        <v>0</v>
      </c>
      <c r="V561">
        <v>0</v>
      </c>
      <c r="W561">
        <v>112</v>
      </c>
      <c r="X561">
        <f>NHS_AE_2024_2025[[#This Row],[A&amp;E attendances Type 1]]+
NHS_AE_2024_2025[[#This Row],[A&amp;E attendances Type 2]]+
NHS_AE_2024_2025[[#This Row],[A&amp;E attendances Other A&amp;E Department]]</f>
        <v>35788</v>
      </c>
      <c r="Y561">
        <f t="shared" si="16"/>
        <v>10161</v>
      </c>
      <c r="Z561">
        <f t="shared" si="17"/>
        <v>6604</v>
      </c>
    </row>
    <row r="562" spans="1:26" x14ac:dyDescent="0.2">
      <c r="A562" t="s">
        <v>432</v>
      </c>
      <c r="B562" t="s">
        <v>433</v>
      </c>
      <c r="C562" t="s">
        <v>366</v>
      </c>
      <c r="D562" t="s">
        <v>29</v>
      </c>
      <c r="E562" t="s">
        <v>367</v>
      </c>
      <c r="F562">
        <v>14055</v>
      </c>
      <c r="G562">
        <v>2222</v>
      </c>
      <c r="H562">
        <v>14557</v>
      </c>
      <c r="I562">
        <v>0</v>
      </c>
      <c r="J562">
        <v>0</v>
      </c>
      <c r="K562">
        <v>0</v>
      </c>
      <c r="L562">
        <v>6446</v>
      </c>
      <c r="M562">
        <v>184</v>
      </c>
      <c r="N562">
        <v>174</v>
      </c>
      <c r="O562">
        <v>0</v>
      </c>
      <c r="P562">
        <v>0</v>
      </c>
      <c r="Q562">
        <v>0</v>
      </c>
      <c r="R562">
        <v>727</v>
      </c>
      <c r="S562">
        <v>951</v>
      </c>
      <c r="T562">
        <v>7952</v>
      </c>
      <c r="U562">
        <v>0</v>
      </c>
      <c r="V562">
        <v>0</v>
      </c>
      <c r="W562">
        <v>411</v>
      </c>
      <c r="X562">
        <f>NHS_AE_2024_2025[[#This Row],[A&amp;E attendances Type 1]]+
NHS_AE_2024_2025[[#This Row],[A&amp;E attendances Type 2]]+
NHS_AE_2024_2025[[#This Row],[A&amp;E attendances Other A&amp;E Department]]</f>
        <v>30834</v>
      </c>
      <c r="Y562">
        <f t="shared" si="16"/>
        <v>6804</v>
      </c>
      <c r="Z562">
        <f t="shared" si="17"/>
        <v>8363</v>
      </c>
    </row>
    <row r="563" spans="1:26" x14ac:dyDescent="0.2">
      <c r="A563" t="s">
        <v>432</v>
      </c>
      <c r="B563" t="s">
        <v>433</v>
      </c>
      <c r="C563" t="s">
        <v>122</v>
      </c>
      <c r="D563" t="s">
        <v>50</v>
      </c>
      <c r="E563" t="s">
        <v>123</v>
      </c>
      <c r="F563">
        <v>9222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3883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727</v>
      </c>
      <c r="S563">
        <v>74</v>
      </c>
      <c r="T563">
        <v>2039</v>
      </c>
      <c r="U563">
        <v>0</v>
      </c>
      <c r="V563">
        <v>0</v>
      </c>
      <c r="W563">
        <v>333</v>
      </c>
      <c r="X563">
        <f>NHS_AE_2024_2025[[#This Row],[A&amp;E attendances Type 1]]+
NHS_AE_2024_2025[[#This Row],[A&amp;E attendances Type 2]]+
NHS_AE_2024_2025[[#This Row],[A&amp;E attendances Other A&amp;E Department]]</f>
        <v>9222</v>
      </c>
      <c r="Y563">
        <f t="shared" si="16"/>
        <v>3883</v>
      </c>
      <c r="Z563">
        <f t="shared" si="17"/>
        <v>2372</v>
      </c>
    </row>
    <row r="564" spans="1:26" x14ac:dyDescent="0.2">
      <c r="A564" t="s">
        <v>432</v>
      </c>
      <c r="B564" t="s">
        <v>433</v>
      </c>
      <c r="C564" t="s">
        <v>244</v>
      </c>
      <c r="D564" t="s">
        <v>70</v>
      </c>
      <c r="E564" t="s">
        <v>245</v>
      </c>
      <c r="F564">
        <v>15552</v>
      </c>
      <c r="G564">
        <v>0</v>
      </c>
      <c r="H564">
        <v>4302</v>
      </c>
      <c r="I564">
        <v>340</v>
      </c>
      <c r="J564">
        <v>0</v>
      </c>
      <c r="K564">
        <v>529</v>
      </c>
      <c r="L564">
        <v>7545</v>
      </c>
      <c r="M564">
        <v>0</v>
      </c>
      <c r="N564">
        <v>288</v>
      </c>
      <c r="O564">
        <v>108</v>
      </c>
      <c r="P564">
        <v>0</v>
      </c>
      <c r="Q564">
        <v>32</v>
      </c>
      <c r="R564">
        <v>591</v>
      </c>
      <c r="S564">
        <v>710</v>
      </c>
      <c r="T564">
        <v>3779</v>
      </c>
      <c r="U564">
        <v>0</v>
      </c>
      <c r="V564">
        <v>30</v>
      </c>
      <c r="W564">
        <v>1702</v>
      </c>
      <c r="X564">
        <f>NHS_AE_2024_2025[[#This Row],[A&amp;E attendances Type 1]]+
NHS_AE_2024_2025[[#This Row],[A&amp;E attendances Type 2]]+
NHS_AE_2024_2025[[#This Row],[A&amp;E attendances Other A&amp;E Department]]</f>
        <v>19854</v>
      </c>
      <c r="Y564">
        <f t="shared" si="16"/>
        <v>7833</v>
      </c>
      <c r="Z564">
        <f t="shared" si="17"/>
        <v>5511</v>
      </c>
    </row>
    <row r="565" spans="1:26" x14ac:dyDescent="0.2">
      <c r="A565" t="s">
        <v>432</v>
      </c>
      <c r="B565" t="s">
        <v>433</v>
      </c>
      <c r="C565" t="s">
        <v>154</v>
      </c>
      <c r="D565" t="s">
        <v>70</v>
      </c>
      <c r="E565" t="s">
        <v>155</v>
      </c>
      <c r="F565">
        <v>7082</v>
      </c>
      <c r="G565">
        <v>0</v>
      </c>
      <c r="H565">
        <v>1467</v>
      </c>
      <c r="I565">
        <v>0</v>
      </c>
      <c r="J565">
        <v>0</v>
      </c>
      <c r="K565">
        <v>0</v>
      </c>
      <c r="L565">
        <v>3242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532</v>
      </c>
      <c r="S565">
        <v>428</v>
      </c>
      <c r="T565">
        <v>1651</v>
      </c>
      <c r="U565">
        <v>0</v>
      </c>
      <c r="V565">
        <v>0</v>
      </c>
      <c r="W565">
        <v>424</v>
      </c>
      <c r="X565">
        <f>NHS_AE_2024_2025[[#This Row],[A&amp;E attendances Type 1]]+
NHS_AE_2024_2025[[#This Row],[A&amp;E attendances Type 2]]+
NHS_AE_2024_2025[[#This Row],[A&amp;E attendances Other A&amp;E Department]]</f>
        <v>8549</v>
      </c>
      <c r="Y565">
        <f t="shared" si="16"/>
        <v>3242</v>
      </c>
      <c r="Z565">
        <f t="shared" si="17"/>
        <v>2075</v>
      </c>
    </row>
    <row r="566" spans="1:26" x14ac:dyDescent="0.2">
      <c r="A566" t="s">
        <v>432</v>
      </c>
      <c r="B566" t="s">
        <v>433</v>
      </c>
      <c r="C566" t="s">
        <v>246</v>
      </c>
      <c r="D566" t="s">
        <v>70</v>
      </c>
      <c r="E566" t="s">
        <v>247</v>
      </c>
      <c r="F566">
        <v>10649</v>
      </c>
      <c r="G566">
        <v>0</v>
      </c>
      <c r="H566">
        <v>5400</v>
      </c>
      <c r="I566">
        <v>309</v>
      </c>
      <c r="J566">
        <v>0</v>
      </c>
      <c r="K566">
        <v>325</v>
      </c>
      <c r="L566">
        <v>5205</v>
      </c>
      <c r="M566">
        <v>0</v>
      </c>
      <c r="N566">
        <v>84</v>
      </c>
      <c r="O566">
        <v>96</v>
      </c>
      <c r="P566">
        <v>0</v>
      </c>
      <c r="Q566">
        <v>4</v>
      </c>
      <c r="R566">
        <v>605</v>
      </c>
      <c r="S566">
        <v>606</v>
      </c>
      <c r="T566">
        <v>2930</v>
      </c>
      <c r="U566">
        <v>0</v>
      </c>
      <c r="V566">
        <v>26</v>
      </c>
      <c r="W566">
        <v>441</v>
      </c>
      <c r="X566">
        <f>NHS_AE_2024_2025[[#This Row],[A&amp;E attendances Type 1]]+
NHS_AE_2024_2025[[#This Row],[A&amp;E attendances Type 2]]+
NHS_AE_2024_2025[[#This Row],[A&amp;E attendances Other A&amp;E Department]]</f>
        <v>16049</v>
      </c>
      <c r="Y566">
        <f t="shared" si="16"/>
        <v>5289</v>
      </c>
      <c r="Z566">
        <f t="shared" si="17"/>
        <v>3397</v>
      </c>
    </row>
    <row r="567" spans="1:26" x14ac:dyDescent="0.2">
      <c r="A567" t="s">
        <v>432</v>
      </c>
      <c r="B567" t="s">
        <v>433</v>
      </c>
      <c r="C567" t="s">
        <v>404</v>
      </c>
      <c r="D567" t="s">
        <v>26</v>
      </c>
      <c r="E567" t="s">
        <v>405</v>
      </c>
      <c r="F567">
        <v>12262</v>
      </c>
      <c r="G567">
        <v>0</v>
      </c>
      <c r="H567">
        <v>3964</v>
      </c>
      <c r="I567">
        <v>1334</v>
      </c>
      <c r="J567">
        <v>0</v>
      </c>
      <c r="K567">
        <v>89</v>
      </c>
      <c r="L567">
        <v>5734</v>
      </c>
      <c r="M567">
        <v>0</v>
      </c>
      <c r="N567">
        <v>12</v>
      </c>
      <c r="O567">
        <v>544</v>
      </c>
      <c r="P567">
        <v>0</v>
      </c>
      <c r="Q567">
        <v>0</v>
      </c>
      <c r="R567">
        <v>1768</v>
      </c>
      <c r="S567">
        <v>135</v>
      </c>
      <c r="T567">
        <v>4147</v>
      </c>
      <c r="U567">
        <v>0</v>
      </c>
      <c r="V567">
        <v>0</v>
      </c>
      <c r="W567">
        <v>2002</v>
      </c>
      <c r="X567">
        <f>NHS_AE_2024_2025[[#This Row],[A&amp;E attendances Type 1]]+
NHS_AE_2024_2025[[#This Row],[A&amp;E attendances Type 2]]+
NHS_AE_2024_2025[[#This Row],[A&amp;E attendances Other A&amp;E Department]]</f>
        <v>16226</v>
      </c>
      <c r="Y567">
        <f t="shared" si="16"/>
        <v>5746</v>
      </c>
      <c r="Z567">
        <f t="shared" si="17"/>
        <v>6149</v>
      </c>
    </row>
    <row r="568" spans="1:26" x14ac:dyDescent="0.2">
      <c r="A568" t="s">
        <v>432</v>
      </c>
      <c r="B568" t="s">
        <v>433</v>
      </c>
      <c r="C568" t="s">
        <v>420</v>
      </c>
      <c r="D568" t="s">
        <v>37</v>
      </c>
      <c r="E568" t="s">
        <v>421</v>
      </c>
      <c r="F568">
        <v>10244</v>
      </c>
      <c r="G568">
        <v>788</v>
      </c>
      <c r="H568">
        <v>2667</v>
      </c>
      <c r="I568">
        <v>1623</v>
      </c>
      <c r="J568">
        <v>0</v>
      </c>
      <c r="K568">
        <v>898</v>
      </c>
      <c r="L568">
        <v>5116</v>
      </c>
      <c r="M568">
        <v>1</v>
      </c>
      <c r="N568">
        <v>111</v>
      </c>
      <c r="O568">
        <v>659</v>
      </c>
      <c r="P568">
        <v>0</v>
      </c>
      <c r="Q568">
        <v>15</v>
      </c>
      <c r="R568">
        <v>1513</v>
      </c>
      <c r="S568">
        <v>118</v>
      </c>
      <c r="T568">
        <v>3600</v>
      </c>
      <c r="U568">
        <v>0</v>
      </c>
      <c r="V568">
        <v>0</v>
      </c>
      <c r="W568">
        <v>2420</v>
      </c>
      <c r="X568">
        <f>NHS_AE_2024_2025[[#This Row],[A&amp;E attendances Type 1]]+
NHS_AE_2024_2025[[#This Row],[A&amp;E attendances Type 2]]+
NHS_AE_2024_2025[[#This Row],[A&amp;E attendances Other A&amp;E Department]]</f>
        <v>13699</v>
      </c>
      <c r="Y568">
        <f t="shared" si="16"/>
        <v>5228</v>
      </c>
      <c r="Z568">
        <f t="shared" si="17"/>
        <v>6020</v>
      </c>
    </row>
    <row r="569" spans="1:26" x14ac:dyDescent="0.2">
      <c r="A569" t="s">
        <v>432</v>
      </c>
      <c r="B569" t="s">
        <v>433</v>
      </c>
      <c r="C569" t="s">
        <v>250</v>
      </c>
      <c r="D569" t="s">
        <v>32</v>
      </c>
      <c r="E569" t="s">
        <v>251</v>
      </c>
      <c r="F569">
        <v>10440</v>
      </c>
      <c r="G569">
        <v>0</v>
      </c>
      <c r="H569">
        <v>5875</v>
      </c>
      <c r="I569">
        <v>397</v>
      </c>
      <c r="J569">
        <v>0</v>
      </c>
      <c r="K569">
        <v>153</v>
      </c>
      <c r="L569">
        <v>5527</v>
      </c>
      <c r="M569">
        <v>0</v>
      </c>
      <c r="N569">
        <v>732</v>
      </c>
      <c r="O569">
        <v>201</v>
      </c>
      <c r="P569">
        <v>0</v>
      </c>
      <c r="Q569">
        <v>7</v>
      </c>
      <c r="R569">
        <v>886</v>
      </c>
      <c r="S569">
        <v>294</v>
      </c>
      <c r="T569">
        <v>3797</v>
      </c>
      <c r="U569">
        <v>0</v>
      </c>
      <c r="V569">
        <v>0</v>
      </c>
      <c r="W569">
        <v>251</v>
      </c>
      <c r="X569">
        <f>NHS_AE_2024_2025[[#This Row],[A&amp;E attendances Type 1]]+
NHS_AE_2024_2025[[#This Row],[A&amp;E attendances Type 2]]+
NHS_AE_2024_2025[[#This Row],[A&amp;E attendances Other A&amp;E Department]]</f>
        <v>16315</v>
      </c>
      <c r="Y569">
        <f t="shared" si="16"/>
        <v>6259</v>
      </c>
      <c r="Z569">
        <f t="shared" si="17"/>
        <v>4048</v>
      </c>
    </row>
    <row r="570" spans="1:26" x14ac:dyDescent="0.2">
      <c r="A570" t="s">
        <v>432</v>
      </c>
      <c r="B570" t="s">
        <v>433</v>
      </c>
      <c r="C570" t="s">
        <v>314</v>
      </c>
      <c r="D570" t="s">
        <v>32</v>
      </c>
      <c r="E570" t="s">
        <v>315</v>
      </c>
      <c r="F570">
        <v>7472</v>
      </c>
      <c r="G570">
        <v>0</v>
      </c>
      <c r="H570">
        <v>1626</v>
      </c>
      <c r="I570">
        <v>0</v>
      </c>
      <c r="J570">
        <v>0</v>
      </c>
      <c r="K570">
        <v>0</v>
      </c>
      <c r="L570">
        <v>2886</v>
      </c>
      <c r="M570">
        <v>0</v>
      </c>
      <c r="N570">
        <v>5</v>
      </c>
      <c r="O570">
        <v>0</v>
      </c>
      <c r="P570">
        <v>0</v>
      </c>
      <c r="Q570">
        <v>0</v>
      </c>
      <c r="R570">
        <v>507</v>
      </c>
      <c r="S570">
        <v>345</v>
      </c>
      <c r="T570">
        <v>1248</v>
      </c>
      <c r="U570">
        <v>0</v>
      </c>
      <c r="V570">
        <v>0</v>
      </c>
      <c r="W570">
        <v>0</v>
      </c>
      <c r="X570">
        <f>NHS_AE_2024_2025[[#This Row],[A&amp;E attendances Type 1]]+
NHS_AE_2024_2025[[#This Row],[A&amp;E attendances Type 2]]+
NHS_AE_2024_2025[[#This Row],[A&amp;E attendances Other A&amp;E Department]]</f>
        <v>9098</v>
      </c>
      <c r="Y570">
        <f t="shared" si="16"/>
        <v>2891</v>
      </c>
      <c r="Z570">
        <f t="shared" si="17"/>
        <v>1248</v>
      </c>
    </row>
    <row r="571" spans="1:26" x14ac:dyDescent="0.2">
      <c r="A571" t="s">
        <v>432</v>
      </c>
      <c r="B571" t="s">
        <v>433</v>
      </c>
      <c r="C571" t="s">
        <v>322</v>
      </c>
      <c r="D571" t="s">
        <v>50</v>
      </c>
      <c r="E571" t="s">
        <v>323</v>
      </c>
      <c r="F571">
        <v>13547</v>
      </c>
      <c r="G571">
        <v>0</v>
      </c>
      <c r="H571">
        <v>4329</v>
      </c>
      <c r="I571">
        <v>0</v>
      </c>
      <c r="J571">
        <v>0</v>
      </c>
      <c r="K571">
        <v>0</v>
      </c>
      <c r="L571">
        <v>5359</v>
      </c>
      <c r="M571">
        <v>0</v>
      </c>
      <c r="N571">
        <v>2</v>
      </c>
      <c r="O571">
        <v>0</v>
      </c>
      <c r="P571">
        <v>0</v>
      </c>
      <c r="Q571">
        <v>0</v>
      </c>
      <c r="R571">
        <v>1212</v>
      </c>
      <c r="S571">
        <v>288</v>
      </c>
      <c r="T571">
        <v>4414</v>
      </c>
      <c r="U571">
        <v>0</v>
      </c>
      <c r="V571">
        <v>506</v>
      </c>
      <c r="W571">
        <v>1162</v>
      </c>
      <c r="X571">
        <f>NHS_AE_2024_2025[[#This Row],[A&amp;E attendances Type 1]]+
NHS_AE_2024_2025[[#This Row],[A&amp;E attendances Type 2]]+
NHS_AE_2024_2025[[#This Row],[A&amp;E attendances Other A&amp;E Department]]</f>
        <v>17876</v>
      </c>
      <c r="Y571">
        <f t="shared" si="16"/>
        <v>5361</v>
      </c>
      <c r="Z571">
        <f t="shared" si="17"/>
        <v>6082</v>
      </c>
    </row>
    <row r="572" spans="1:26" x14ac:dyDescent="0.2">
      <c r="A572" t="s">
        <v>432</v>
      </c>
      <c r="B572" t="s">
        <v>433</v>
      </c>
      <c r="C572" t="s">
        <v>326</v>
      </c>
      <c r="D572" t="s">
        <v>29</v>
      </c>
      <c r="E572" t="s">
        <v>327</v>
      </c>
      <c r="F572">
        <v>20077</v>
      </c>
      <c r="G572">
        <v>0</v>
      </c>
      <c r="H572">
        <v>6731</v>
      </c>
      <c r="I572">
        <v>530</v>
      </c>
      <c r="J572">
        <v>0</v>
      </c>
      <c r="K572">
        <v>0</v>
      </c>
      <c r="L572">
        <v>6433</v>
      </c>
      <c r="M572">
        <v>0</v>
      </c>
      <c r="N572">
        <v>239</v>
      </c>
      <c r="O572">
        <v>0</v>
      </c>
      <c r="P572">
        <v>0</v>
      </c>
      <c r="Q572">
        <v>0</v>
      </c>
      <c r="R572">
        <v>1078</v>
      </c>
      <c r="S572">
        <v>62</v>
      </c>
      <c r="T572">
        <v>2779</v>
      </c>
      <c r="U572">
        <v>0</v>
      </c>
      <c r="V572">
        <v>0</v>
      </c>
      <c r="W572">
        <v>361</v>
      </c>
      <c r="X572">
        <f>NHS_AE_2024_2025[[#This Row],[A&amp;E attendances Type 1]]+
NHS_AE_2024_2025[[#This Row],[A&amp;E attendances Type 2]]+
NHS_AE_2024_2025[[#This Row],[A&amp;E attendances Other A&amp;E Department]]</f>
        <v>26808</v>
      </c>
      <c r="Y572">
        <f t="shared" si="16"/>
        <v>6672</v>
      </c>
      <c r="Z572">
        <f t="shared" si="17"/>
        <v>3140</v>
      </c>
    </row>
    <row r="573" spans="1:26" x14ac:dyDescent="0.2">
      <c r="A573" t="s">
        <v>432</v>
      </c>
      <c r="B573" t="s">
        <v>433</v>
      </c>
      <c r="C573" t="s">
        <v>332</v>
      </c>
      <c r="D573" t="s">
        <v>55</v>
      </c>
      <c r="E573" t="s">
        <v>333</v>
      </c>
      <c r="F573">
        <v>7302</v>
      </c>
      <c r="G573">
        <v>0</v>
      </c>
      <c r="H573">
        <v>5612</v>
      </c>
      <c r="I573">
        <v>0</v>
      </c>
      <c r="J573">
        <v>0</v>
      </c>
      <c r="K573">
        <v>0</v>
      </c>
      <c r="L573">
        <v>4001</v>
      </c>
      <c r="M573">
        <v>0</v>
      </c>
      <c r="N573">
        <v>89</v>
      </c>
      <c r="O573">
        <v>0</v>
      </c>
      <c r="P573">
        <v>0</v>
      </c>
      <c r="Q573">
        <v>0</v>
      </c>
      <c r="R573">
        <v>1155</v>
      </c>
      <c r="S573">
        <v>508</v>
      </c>
      <c r="T573">
        <v>2083</v>
      </c>
      <c r="U573">
        <v>0</v>
      </c>
      <c r="V573">
        <v>0</v>
      </c>
      <c r="W573">
        <v>807</v>
      </c>
      <c r="X573">
        <f>NHS_AE_2024_2025[[#This Row],[A&amp;E attendances Type 1]]+
NHS_AE_2024_2025[[#This Row],[A&amp;E attendances Type 2]]+
NHS_AE_2024_2025[[#This Row],[A&amp;E attendances Other A&amp;E Department]]</f>
        <v>12914</v>
      </c>
      <c r="Y573">
        <f t="shared" si="16"/>
        <v>4090</v>
      </c>
      <c r="Z573">
        <f t="shared" si="17"/>
        <v>2890</v>
      </c>
    </row>
    <row r="574" spans="1:26" x14ac:dyDescent="0.2">
      <c r="A574" t="s">
        <v>432</v>
      </c>
      <c r="B574" t="s">
        <v>433</v>
      </c>
      <c r="C574" t="s">
        <v>88</v>
      </c>
      <c r="D574" t="s">
        <v>29</v>
      </c>
      <c r="E574" t="s">
        <v>89</v>
      </c>
      <c r="F574">
        <v>12822</v>
      </c>
      <c r="G574">
        <v>0</v>
      </c>
      <c r="H574">
        <v>0</v>
      </c>
      <c r="I574">
        <v>399</v>
      </c>
      <c r="J574">
        <v>0</v>
      </c>
      <c r="K574">
        <v>0</v>
      </c>
      <c r="L574">
        <v>3911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392</v>
      </c>
      <c r="S574">
        <v>184</v>
      </c>
      <c r="T574">
        <v>1387</v>
      </c>
      <c r="U574">
        <v>0</v>
      </c>
      <c r="V574">
        <v>0</v>
      </c>
      <c r="W574">
        <v>262</v>
      </c>
      <c r="X574">
        <f>NHS_AE_2024_2025[[#This Row],[A&amp;E attendances Type 1]]+
NHS_AE_2024_2025[[#This Row],[A&amp;E attendances Type 2]]+
NHS_AE_2024_2025[[#This Row],[A&amp;E attendances Other A&amp;E Department]]</f>
        <v>12822</v>
      </c>
      <c r="Y574">
        <f t="shared" si="16"/>
        <v>3911</v>
      </c>
      <c r="Z574">
        <f t="shared" si="17"/>
        <v>1649</v>
      </c>
    </row>
    <row r="575" spans="1:26" x14ac:dyDescent="0.2">
      <c r="A575" t="s">
        <v>432</v>
      </c>
      <c r="B575" t="s">
        <v>433</v>
      </c>
      <c r="C575" t="s">
        <v>392</v>
      </c>
      <c r="D575" t="s">
        <v>50</v>
      </c>
      <c r="E575" t="s">
        <v>393</v>
      </c>
      <c r="F575">
        <v>12259</v>
      </c>
      <c r="G575">
        <v>1430</v>
      </c>
      <c r="H575">
        <v>5573</v>
      </c>
      <c r="I575">
        <v>0</v>
      </c>
      <c r="J575">
        <v>0</v>
      </c>
      <c r="K575">
        <v>1004</v>
      </c>
      <c r="L575">
        <v>5013</v>
      </c>
      <c r="M575">
        <v>67</v>
      </c>
      <c r="N575">
        <v>0</v>
      </c>
      <c r="O575">
        <v>0</v>
      </c>
      <c r="P575">
        <v>0</v>
      </c>
      <c r="Q575">
        <v>0</v>
      </c>
      <c r="R575">
        <v>639</v>
      </c>
      <c r="S575">
        <v>53</v>
      </c>
      <c r="T575">
        <v>3668</v>
      </c>
      <c r="U575">
        <v>18</v>
      </c>
      <c r="V575">
        <v>0</v>
      </c>
      <c r="W575">
        <v>2877</v>
      </c>
      <c r="X575">
        <f>NHS_AE_2024_2025[[#This Row],[A&amp;E attendances Type 1]]+
NHS_AE_2024_2025[[#This Row],[A&amp;E attendances Type 2]]+
NHS_AE_2024_2025[[#This Row],[A&amp;E attendances Other A&amp;E Department]]</f>
        <v>19262</v>
      </c>
      <c r="Y575">
        <f t="shared" si="16"/>
        <v>5080</v>
      </c>
      <c r="Z575">
        <f t="shared" si="17"/>
        <v>6563</v>
      </c>
    </row>
    <row r="576" spans="1:26" x14ac:dyDescent="0.2">
      <c r="A576" t="s">
        <v>432</v>
      </c>
      <c r="B576" t="s">
        <v>433</v>
      </c>
      <c r="C576" t="s">
        <v>334</v>
      </c>
      <c r="D576" t="s">
        <v>26</v>
      </c>
      <c r="E576" t="s">
        <v>335</v>
      </c>
      <c r="F576">
        <v>13604</v>
      </c>
      <c r="G576">
        <v>0</v>
      </c>
      <c r="H576">
        <v>0</v>
      </c>
      <c r="I576">
        <v>189</v>
      </c>
      <c r="J576">
        <v>0</v>
      </c>
      <c r="K576">
        <v>0</v>
      </c>
      <c r="L576">
        <v>5318</v>
      </c>
      <c r="M576">
        <v>0</v>
      </c>
      <c r="N576">
        <v>0</v>
      </c>
      <c r="O576">
        <v>42</v>
      </c>
      <c r="P576">
        <v>0</v>
      </c>
      <c r="Q576">
        <v>0</v>
      </c>
      <c r="R576">
        <v>444</v>
      </c>
      <c r="S576">
        <v>536</v>
      </c>
      <c r="T576">
        <v>2700</v>
      </c>
      <c r="U576">
        <v>0</v>
      </c>
      <c r="V576">
        <v>0</v>
      </c>
      <c r="W576">
        <v>2168</v>
      </c>
      <c r="X576">
        <f>NHS_AE_2024_2025[[#This Row],[A&amp;E attendances Type 1]]+
NHS_AE_2024_2025[[#This Row],[A&amp;E attendances Type 2]]+
NHS_AE_2024_2025[[#This Row],[A&amp;E attendances Other A&amp;E Department]]</f>
        <v>13604</v>
      </c>
      <c r="Y576">
        <f t="shared" si="16"/>
        <v>5318</v>
      </c>
      <c r="Z576">
        <f t="shared" si="17"/>
        <v>4868</v>
      </c>
    </row>
    <row r="577" spans="1:26" x14ac:dyDescent="0.2">
      <c r="A577" t="s">
        <v>432</v>
      </c>
      <c r="B577" t="s">
        <v>433</v>
      </c>
      <c r="C577" t="s">
        <v>344</v>
      </c>
      <c r="D577" t="s">
        <v>32</v>
      </c>
      <c r="E577" t="s">
        <v>436</v>
      </c>
      <c r="F577">
        <v>11294</v>
      </c>
      <c r="G577">
        <v>0</v>
      </c>
      <c r="H577">
        <v>9925</v>
      </c>
      <c r="I577">
        <v>0</v>
      </c>
      <c r="J577">
        <v>0</v>
      </c>
      <c r="K577">
        <v>0</v>
      </c>
      <c r="L577">
        <v>6830</v>
      </c>
      <c r="M577">
        <v>0</v>
      </c>
      <c r="N577">
        <v>1564</v>
      </c>
      <c r="O577">
        <v>0</v>
      </c>
      <c r="P577">
        <v>0</v>
      </c>
      <c r="Q577">
        <v>0</v>
      </c>
      <c r="R577">
        <v>1093</v>
      </c>
      <c r="S577">
        <v>1049</v>
      </c>
      <c r="T577">
        <v>4770</v>
      </c>
      <c r="U577">
        <v>0</v>
      </c>
      <c r="V577">
        <v>0</v>
      </c>
      <c r="W577">
        <v>1057</v>
      </c>
      <c r="X577">
        <f>NHS_AE_2024_2025[[#This Row],[A&amp;E attendances Type 1]]+
NHS_AE_2024_2025[[#This Row],[A&amp;E attendances Type 2]]+
NHS_AE_2024_2025[[#This Row],[A&amp;E attendances Other A&amp;E Department]]</f>
        <v>21219</v>
      </c>
      <c r="Y577">
        <f t="shared" si="16"/>
        <v>8394</v>
      </c>
      <c r="Z577">
        <f t="shared" si="17"/>
        <v>5827</v>
      </c>
    </row>
    <row r="578" spans="1:26" x14ac:dyDescent="0.2">
      <c r="A578" t="s">
        <v>432</v>
      </c>
      <c r="B578" t="s">
        <v>433</v>
      </c>
      <c r="C578" t="s">
        <v>346</v>
      </c>
      <c r="D578" t="s">
        <v>70</v>
      </c>
      <c r="E578" t="s">
        <v>347</v>
      </c>
      <c r="F578">
        <v>9297</v>
      </c>
      <c r="G578">
        <v>0</v>
      </c>
      <c r="H578">
        <v>7603</v>
      </c>
      <c r="I578">
        <v>0</v>
      </c>
      <c r="J578">
        <v>0</v>
      </c>
      <c r="K578">
        <v>0</v>
      </c>
      <c r="L578">
        <v>5480</v>
      </c>
      <c r="M578">
        <v>0</v>
      </c>
      <c r="N578">
        <v>168</v>
      </c>
      <c r="O578">
        <v>0</v>
      </c>
      <c r="P578">
        <v>0</v>
      </c>
      <c r="Q578">
        <v>0</v>
      </c>
      <c r="R578">
        <v>681</v>
      </c>
      <c r="S578">
        <v>247</v>
      </c>
      <c r="T578">
        <v>2953</v>
      </c>
      <c r="U578">
        <v>0</v>
      </c>
      <c r="V578">
        <v>20</v>
      </c>
      <c r="W578">
        <v>227</v>
      </c>
      <c r="X578">
        <f>NHS_AE_2024_2025[[#This Row],[A&amp;E attendances Type 1]]+
NHS_AE_2024_2025[[#This Row],[A&amp;E attendances Type 2]]+
NHS_AE_2024_2025[[#This Row],[A&amp;E attendances Other A&amp;E Department]]</f>
        <v>16900</v>
      </c>
      <c r="Y578">
        <f t="shared" ref="Y578:Y641" si="18">L578+M578+N578</f>
        <v>5648</v>
      </c>
      <c r="Z578">
        <f t="shared" ref="Z578:Z641" si="19">T578+U578+V578+W578</f>
        <v>3200</v>
      </c>
    </row>
    <row r="579" spans="1:26" x14ac:dyDescent="0.2">
      <c r="A579" t="s">
        <v>432</v>
      </c>
      <c r="B579" t="s">
        <v>433</v>
      </c>
      <c r="C579" t="s">
        <v>378</v>
      </c>
      <c r="D579" t="s">
        <v>37</v>
      </c>
      <c r="E579" t="s">
        <v>379</v>
      </c>
      <c r="F579">
        <v>0</v>
      </c>
      <c r="G579">
        <v>0</v>
      </c>
      <c r="H579">
        <v>1133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32</v>
      </c>
      <c r="W579">
        <v>0</v>
      </c>
      <c r="X579">
        <f>NHS_AE_2024_2025[[#This Row],[A&amp;E attendances Type 1]]+
NHS_AE_2024_2025[[#This Row],[A&amp;E attendances Type 2]]+
NHS_AE_2024_2025[[#This Row],[A&amp;E attendances Other A&amp;E Department]]</f>
        <v>1133</v>
      </c>
      <c r="Y579">
        <f t="shared" si="18"/>
        <v>11</v>
      </c>
      <c r="Z579">
        <f t="shared" si="19"/>
        <v>32</v>
      </c>
    </row>
    <row r="580" spans="1:26" x14ac:dyDescent="0.2">
      <c r="A580" t="s">
        <v>432</v>
      </c>
      <c r="B580" t="s">
        <v>433</v>
      </c>
      <c r="C580" t="s">
        <v>354</v>
      </c>
      <c r="D580" t="s">
        <v>50</v>
      </c>
      <c r="E580" t="s">
        <v>355</v>
      </c>
      <c r="F580">
        <v>12913</v>
      </c>
      <c r="G580">
        <v>0</v>
      </c>
      <c r="H580">
        <v>4414</v>
      </c>
      <c r="I580">
        <v>0</v>
      </c>
      <c r="J580">
        <v>0</v>
      </c>
      <c r="K580">
        <v>8470</v>
      </c>
      <c r="L580">
        <v>5933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2346</v>
      </c>
      <c r="S580">
        <v>17</v>
      </c>
      <c r="T580">
        <v>4607</v>
      </c>
      <c r="U580">
        <v>0</v>
      </c>
      <c r="V580">
        <v>0</v>
      </c>
      <c r="W580">
        <v>740</v>
      </c>
      <c r="X580">
        <f>NHS_AE_2024_2025[[#This Row],[A&amp;E attendances Type 1]]+
NHS_AE_2024_2025[[#This Row],[A&amp;E attendances Type 2]]+
NHS_AE_2024_2025[[#This Row],[A&amp;E attendances Other A&amp;E Department]]</f>
        <v>17327</v>
      </c>
      <c r="Y580">
        <f t="shared" si="18"/>
        <v>5933</v>
      </c>
      <c r="Z580">
        <f t="shared" si="19"/>
        <v>5347</v>
      </c>
    </row>
    <row r="581" spans="1:26" x14ac:dyDescent="0.2">
      <c r="A581" t="s">
        <v>432</v>
      </c>
      <c r="B581" t="s">
        <v>433</v>
      </c>
      <c r="C581" t="s">
        <v>67</v>
      </c>
      <c r="D581" t="s">
        <v>29</v>
      </c>
      <c r="E581" t="s">
        <v>68</v>
      </c>
      <c r="F581">
        <v>0</v>
      </c>
      <c r="G581">
        <v>0</v>
      </c>
      <c r="H581">
        <v>1035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f>NHS_AE_2024_2025[[#This Row],[A&amp;E attendances Type 1]]+
NHS_AE_2024_2025[[#This Row],[A&amp;E attendances Type 2]]+
NHS_AE_2024_2025[[#This Row],[A&amp;E attendances Other A&amp;E Department]]</f>
        <v>1035</v>
      </c>
      <c r="Y581">
        <f t="shared" si="18"/>
        <v>0</v>
      </c>
      <c r="Z581">
        <f t="shared" si="19"/>
        <v>0</v>
      </c>
    </row>
    <row r="582" spans="1:26" x14ac:dyDescent="0.2">
      <c r="A582" t="s">
        <v>432</v>
      </c>
      <c r="B582" t="s">
        <v>433</v>
      </c>
      <c r="C582" t="s">
        <v>290</v>
      </c>
      <c r="D582" t="s">
        <v>29</v>
      </c>
      <c r="E582" t="s">
        <v>291</v>
      </c>
      <c r="F582">
        <v>8518</v>
      </c>
      <c r="G582">
        <v>407</v>
      </c>
      <c r="H582">
        <v>7549</v>
      </c>
      <c r="I582">
        <v>75</v>
      </c>
      <c r="J582">
        <v>0</v>
      </c>
      <c r="K582">
        <v>87</v>
      </c>
      <c r="L582">
        <v>4980</v>
      </c>
      <c r="M582">
        <v>1</v>
      </c>
      <c r="N582">
        <v>1019</v>
      </c>
      <c r="O582">
        <v>39</v>
      </c>
      <c r="P582">
        <v>0</v>
      </c>
      <c r="Q582">
        <v>10</v>
      </c>
      <c r="R582">
        <v>250</v>
      </c>
      <c r="S582">
        <v>853</v>
      </c>
      <c r="T582">
        <v>1412</v>
      </c>
      <c r="U582">
        <v>0</v>
      </c>
      <c r="V582">
        <v>136</v>
      </c>
      <c r="W582">
        <v>64</v>
      </c>
      <c r="X582">
        <f>NHS_AE_2024_2025[[#This Row],[A&amp;E attendances Type 1]]+
NHS_AE_2024_2025[[#This Row],[A&amp;E attendances Type 2]]+
NHS_AE_2024_2025[[#This Row],[A&amp;E attendances Other A&amp;E Department]]</f>
        <v>16474</v>
      </c>
      <c r="Y582">
        <f t="shared" si="18"/>
        <v>6000</v>
      </c>
      <c r="Z582">
        <f t="shared" si="19"/>
        <v>1612</v>
      </c>
    </row>
    <row r="583" spans="1:26" x14ac:dyDescent="0.2">
      <c r="A583" t="s">
        <v>432</v>
      </c>
      <c r="B583" t="s">
        <v>433</v>
      </c>
      <c r="C583" t="s">
        <v>396</v>
      </c>
      <c r="D583" t="s">
        <v>29</v>
      </c>
      <c r="E583" t="s">
        <v>397</v>
      </c>
      <c r="F583">
        <v>6404</v>
      </c>
      <c r="G583">
        <v>0</v>
      </c>
      <c r="H583">
        <v>6714</v>
      </c>
      <c r="I583">
        <v>0</v>
      </c>
      <c r="J583">
        <v>0</v>
      </c>
      <c r="K583">
        <v>0</v>
      </c>
      <c r="L583">
        <v>3832</v>
      </c>
      <c r="M583">
        <v>0</v>
      </c>
      <c r="N583">
        <v>155</v>
      </c>
      <c r="O583">
        <v>0</v>
      </c>
      <c r="P583">
        <v>0</v>
      </c>
      <c r="Q583">
        <v>0</v>
      </c>
      <c r="R583">
        <v>724</v>
      </c>
      <c r="S583">
        <v>43</v>
      </c>
      <c r="T583">
        <v>2017</v>
      </c>
      <c r="U583">
        <v>0</v>
      </c>
      <c r="V583">
        <v>0</v>
      </c>
      <c r="W583">
        <v>76</v>
      </c>
      <c r="X583">
        <f>NHS_AE_2024_2025[[#This Row],[A&amp;E attendances Type 1]]+
NHS_AE_2024_2025[[#This Row],[A&amp;E attendances Type 2]]+
NHS_AE_2024_2025[[#This Row],[A&amp;E attendances Other A&amp;E Department]]</f>
        <v>13118</v>
      </c>
      <c r="Y583">
        <f t="shared" si="18"/>
        <v>3987</v>
      </c>
      <c r="Z583">
        <f t="shared" si="19"/>
        <v>2093</v>
      </c>
    </row>
    <row r="584" spans="1:26" x14ac:dyDescent="0.2">
      <c r="A584" t="s">
        <v>432</v>
      </c>
      <c r="B584" t="s">
        <v>433</v>
      </c>
      <c r="C584" t="s">
        <v>398</v>
      </c>
      <c r="D584" t="s">
        <v>55</v>
      </c>
      <c r="E584" t="s">
        <v>399</v>
      </c>
      <c r="F584">
        <v>7469</v>
      </c>
      <c r="G584">
        <v>0</v>
      </c>
      <c r="H584">
        <v>3156</v>
      </c>
      <c r="I584">
        <v>0</v>
      </c>
      <c r="J584">
        <v>0</v>
      </c>
      <c r="K584">
        <v>216</v>
      </c>
      <c r="L584">
        <v>4066</v>
      </c>
      <c r="M584">
        <v>0</v>
      </c>
      <c r="N584">
        <v>93</v>
      </c>
      <c r="O584">
        <v>0</v>
      </c>
      <c r="P584">
        <v>0</v>
      </c>
      <c r="Q584">
        <v>8</v>
      </c>
      <c r="R584">
        <v>401</v>
      </c>
      <c r="S584">
        <v>794</v>
      </c>
      <c r="T584">
        <v>2141</v>
      </c>
      <c r="U584">
        <v>0</v>
      </c>
      <c r="V584">
        <v>0</v>
      </c>
      <c r="W584">
        <v>1699</v>
      </c>
      <c r="X584">
        <f>NHS_AE_2024_2025[[#This Row],[A&amp;E attendances Type 1]]+
NHS_AE_2024_2025[[#This Row],[A&amp;E attendances Type 2]]+
NHS_AE_2024_2025[[#This Row],[A&amp;E attendances Other A&amp;E Department]]</f>
        <v>10625</v>
      </c>
      <c r="Y584">
        <f t="shared" si="18"/>
        <v>4159</v>
      </c>
      <c r="Z584">
        <f t="shared" si="19"/>
        <v>3840</v>
      </c>
    </row>
    <row r="585" spans="1:26" x14ac:dyDescent="0.2">
      <c r="A585" t="s">
        <v>432</v>
      </c>
      <c r="B585" t="s">
        <v>433</v>
      </c>
      <c r="C585" t="s">
        <v>192</v>
      </c>
      <c r="D585" t="s">
        <v>55</v>
      </c>
      <c r="E585" t="s">
        <v>193</v>
      </c>
      <c r="F585">
        <v>6181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1180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905</v>
      </c>
      <c r="U585">
        <v>0</v>
      </c>
      <c r="V585">
        <v>0</v>
      </c>
      <c r="W585">
        <v>312</v>
      </c>
      <c r="X585">
        <f>NHS_AE_2024_2025[[#This Row],[A&amp;E attendances Type 1]]+
NHS_AE_2024_2025[[#This Row],[A&amp;E attendances Type 2]]+
NHS_AE_2024_2025[[#This Row],[A&amp;E attendances Other A&amp;E Department]]</f>
        <v>6181</v>
      </c>
      <c r="Y585">
        <f t="shared" si="18"/>
        <v>1180</v>
      </c>
      <c r="Z585">
        <f t="shared" si="19"/>
        <v>1217</v>
      </c>
    </row>
    <row r="586" spans="1:26" x14ac:dyDescent="0.2">
      <c r="A586" t="s">
        <v>432</v>
      </c>
      <c r="B586" t="s">
        <v>433</v>
      </c>
      <c r="C586" t="s">
        <v>362</v>
      </c>
      <c r="D586" t="s">
        <v>26</v>
      </c>
      <c r="E586" t="s">
        <v>363</v>
      </c>
      <c r="F586">
        <v>8580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3891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798</v>
      </c>
      <c r="S586">
        <v>142</v>
      </c>
      <c r="T586">
        <v>2572</v>
      </c>
      <c r="U586">
        <v>0</v>
      </c>
      <c r="V586">
        <v>8</v>
      </c>
      <c r="W586">
        <v>1699</v>
      </c>
      <c r="X586">
        <f>NHS_AE_2024_2025[[#This Row],[A&amp;E attendances Type 1]]+
NHS_AE_2024_2025[[#This Row],[A&amp;E attendances Type 2]]+
NHS_AE_2024_2025[[#This Row],[A&amp;E attendances Other A&amp;E Department]]</f>
        <v>8580</v>
      </c>
      <c r="Y586">
        <f t="shared" si="18"/>
        <v>3891</v>
      </c>
      <c r="Z586">
        <f t="shared" si="19"/>
        <v>4279</v>
      </c>
    </row>
    <row r="587" spans="1:26" x14ac:dyDescent="0.2">
      <c r="A587" t="s">
        <v>432</v>
      </c>
      <c r="B587" t="s">
        <v>433</v>
      </c>
      <c r="C587" t="s">
        <v>316</v>
      </c>
      <c r="D587" t="s">
        <v>70</v>
      </c>
      <c r="E587" t="s">
        <v>317</v>
      </c>
      <c r="F587">
        <v>12479</v>
      </c>
      <c r="G587">
        <v>0</v>
      </c>
      <c r="H587">
        <v>8736</v>
      </c>
      <c r="I587">
        <v>0</v>
      </c>
      <c r="J587">
        <v>0</v>
      </c>
      <c r="K587">
        <v>0</v>
      </c>
      <c r="L587">
        <v>4166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1004</v>
      </c>
      <c r="S587">
        <v>372</v>
      </c>
      <c r="T587">
        <v>2611</v>
      </c>
      <c r="U587">
        <v>0</v>
      </c>
      <c r="V587">
        <v>0</v>
      </c>
      <c r="W587">
        <v>1607</v>
      </c>
      <c r="X587">
        <f>NHS_AE_2024_2025[[#This Row],[A&amp;E attendances Type 1]]+
NHS_AE_2024_2025[[#This Row],[A&amp;E attendances Type 2]]+
NHS_AE_2024_2025[[#This Row],[A&amp;E attendances Other A&amp;E Department]]</f>
        <v>21215</v>
      </c>
      <c r="Y587">
        <f t="shared" si="18"/>
        <v>4167</v>
      </c>
      <c r="Z587">
        <f t="shared" si="19"/>
        <v>4218</v>
      </c>
    </row>
    <row r="588" spans="1:26" x14ac:dyDescent="0.2">
      <c r="A588" t="s">
        <v>432</v>
      </c>
      <c r="B588" t="s">
        <v>433</v>
      </c>
      <c r="C588" t="s">
        <v>104</v>
      </c>
      <c r="D588" t="s">
        <v>29</v>
      </c>
      <c r="E588" t="s">
        <v>105</v>
      </c>
      <c r="F588">
        <v>11152</v>
      </c>
      <c r="G588">
        <v>0</v>
      </c>
      <c r="H588">
        <v>0</v>
      </c>
      <c r="I588">
        <v>12</v>
      </c>
      <c r="J588">
        <v>0</v>
      </c>
      <c r="K588">
        <v>0</v>
      </c>
      <c r="L588">
        <v>2904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275</v>
      </c>
      <c r="S588">
        <v>30</v>
      </c>
      <c r="T588">
        <v>1732</v>
      </c>
      <c r="U588">
        <v>0</v>
      </c>
      <c r="V588">
        <v>0</v>
      </c>
      <c r="W588">
        <v>344</v>
      </c>
      <c r="X588">
        <f>NHS_AE_2024_2025[[#This Row],[A&amp;E attendances Type 1]]+
NHS_AE_2024_2025[[#This Row],[A&amp;E attendances Type 2]]+
NHS_AE_2024_2025[[#This Row],[A&amp;E attendances Other A&amp;E Department]]</f>
        <v>11152</v>
      </c>
      <c r="Y588">
        <f t="shared" si="18"/>
        <v>2904</v>
      </c>
      <c r="Z588">
        <f t="shared" si="19"/>
        <v>2076</v>
      </c>
    </row>
    <row r="589" spans="1:26" x14ac:dyDescent="0.2">
      <c r="A589" t="s">
        <v>432</v>
      </c>
      <c r="B589" t="s">
        <v>433</v>
      </c>
      <c r="C589" t="s">
        <v>336</v>
      </c>
      <c r="D589" t="s">
        <v>50</v>
      </c>
      <c r="E589" t="s">
        <v>337</v>
      </c>
      <c r="F589">
        <v>10600</v>
      </c>
      <c r="G589">
        <v>0</v>
      </c>
      <c r="H589">
        <v>12302</v>
      </c>
      <c r="I589">
        <v>0</v>
      </c>
      <c r="J589">
        <v>0</v>
      </c>
      <c r="K589">
        <v>0</v>
      </c>
      <c r="L589">
        <v>3335</v>
      </c>
      <c r="M589">
        <v>0</v>
      </c>
      <c r="N589">
        <v>8</v>
      </c>
      <c r="O589">
        <v>0</v>
      </c>
      <c r="P589">
        <v>0</v>
      </c>
      <c r="Q589">
        <v>0</v>
      </c>
      <c r="R589">
        <v>145</v>
      </c>
      <c r="S589">
        <v>6</v>
      </c>
      <c r="T589">
        <v>4033</v>
      </c>
      <c r="U589">
        <v>0</v>
      </c>
      <c r="V589">
        <v>28</v>
      </c>
      <c r="W589">
        <v>491</v>
      </c>
      <c r="X589">
        <f>NHS_AE_2024_2025[[#This Row],[A&amp;E attendances Type 1]]+
NHS_AE_2024_2025[[#This Row],[A&amp;E attendances Type 2]]+
NHS_AE_2024_2025[[#This Row],[A&amp;E attendances Other A&amp;E Department]]</f>
        <v>22902</v>
      </c>
      <c r="Y589">
        <f t="shared" si="18"/>
        <v>3343</v>
      </c>
      <c r="Z589">
        <f t="shared" si="19"/>
        <v>4552</v>
      </c>
    </row>
    <row r="590" spans="1:26" x14ac:dyDescent="0.2">
      <c r="A590" t="s">
        <v>432</v>
      </c>
      <c r="B590" t="s">
        <v>433</v>
      </c>
      <c r="C590" t="s">
        <v>340</v>
      </c>
      <c r="D590" t="s">
        <v>29</v>
      </c>
      <c r="E590" t="s">
        <v>341</v>
      </c>
      <c r="F590">
        <v>11728</v>
      </c>
      <c r="G590">
        <v>282</v>
      </c>
      <c r="H590">
        <v>1309</v>
      </c>
      <c r="I590">
        <v>494</v>
      </c>
      <c r="J590">
        <v>0</v>
      </c>
      <c r="K590">
        <v>61</v>
      </c>
      <c r="L590">
        <v>3726</v>
      </c>
      <c r="M590">
        <v>0</v>
      </c>
      <c r="N590">
        <v>117</v>
      </c>
      <c r="O590">
        <v>64</v>
      </c>
      <c r="P590">
        <v>0</v>
      </c>
      <c r="Q590">
        <v>2</v>
      </c>
      <c r="R590">
        <v>357</v>
      </c>
      <c r="S590">
        <v>741</v>
      </c>
      <c r="T590">
        <v>2115</v>
      </c>
      <c r="U590">
        <v>1</v>
      </c>
      <c r="V590">
        <v>0</v>
      </c>
      <c r="W590">
        <v>147</v>
      </c>
      <c r="X590">
        <f>NHS_AE_2024_2025[[#This Row],[A&amp;E attendances Type 1]]+
NHS_AE_2024_2025[[#This Row],[A&amp;E attendances Type 2]]+
NHS_AE_2024_2025[[#This Row],[A&amp;E attendances Other A&amp;E Department]]</f>
        <v>13319</v>
      </c>
      <c r="Y590">
        <f t="shared" si="18"/>
        <v>3843</v>
      </c>
      <c r="Z590">
        <f t="shared" si="19"/>
        <v>2263</v>
      </c>
    </row>
    <row r="591" spans="1:26" x14ac:dyDescent="0.2">
      <c r="A591" t="s">
        <v>432</v>
      </c>
      <c r="B591" t="s">
        <v>433</v>
      </c>
      <c r="C591" t="s">
        <v>258</v>
      </c>
      <c r="D591" t="s">
        <v>50</v>
      </c>
      <c r="E591" t="s">
        <v>259</v>
      </c>
      <c r="F591">
        <v>6573</v>
      </c>
      <c r="G591">
        <v>0</v>
      </c>
      <c r="H591">
        <v>3274</v>
      </c>
      <c r="I591">
        <v>26</v>
      </c>
      <c r="J591">
        <v>0</v>
      </c>
      <c r="K591">
        <v>3</v>
      </c>
      <c r="L591">
        <v>3334</v>
      </c>
      <c r="M591">
        <v>0</v>
      </c>
      <c r="N591">
        <v>50</v>
      </c>
      <c r="O591">
        <v>15</v>
      </c>
      <c r="P591">
        <v>0</v>
      </c>
      <c r="Q591">
        <v>0</v>
      </c>
      <c r="R591">
        <v>1227</v>
      </c>
      <c r="S591">
        <v>30</v>
      </c>
      <c r="T591">
        <v>1786</v>
      </c>
      <c r="U591">
        <v>0</v>
      </c>
      <c r="V591">
        <v>0</v>
      </c>
      <c r="W591">
        <v>54</v>
      </c>
      <c r="X591">
        <f>NHS_AE_2024_2025[[#This Row],[A&amp;E attendances Type 1]]+
NHS_AE_2024_2025[[#This Row],[A&amp;E attendances Type 2]]+
NHS_AE_2024_2025[[#This Row],[A&amp;E attendances Other A&amp;E Department]]</f>
        <v>9847</v>
      </c>
      <c r="Y591">
        <f t="shared" si="18"/>
        <v>3384</v>
      </c>
      <c r="Z591">
        <f t="shared" si="19"/>
        <v>1840</v>
      </c>
    </row>
    <row r="592" spans="1:26" x14ac:dyDescent="0.2">
      <c r="A592" t="s">
        <v>432</v>
      </c>
      <c r="B592" t="s">
        <v>433</v>
      </c>
      <c r="C592" t="s">
        <v>180</v>
      </c>
      <c r="D592" t="s">
        <v>26</v>
      </c>
      <c r="E592" t="s">
        <v>181</v>
      </c>
      <c r="F592">
        <v>0</v>
      </c>
      <c r="G592">
        <v>0</v>
      </c>
      <c r="H592">
        <v>1608</v>
      </c>
      <c r="I592">
        <v>0</v>
      </c>
      <c r="J592">
        <v>0</v>
      </c>
      <c r="K592">
        <v>12</v>
      </c>
      <c r="L592">
        <v>0</v>
      </c>
      <c r="M592">
        <v>0</v>
      </c>
      <c r="N592">
        <v>127</v>
      </c>
      <c r="O592">
        <v>0</v>
      </c>
      <c r="P592">
        <v>0</v>
      </c>
      <c r="Q592">
        <v>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f>NHS_AE_2024_2025[[#This Row],[A&amp;E attendances Type 1]]+
NHS_AE_2024_2025[[#This Row],[A&amp;E attendances Type 2]]+
NHS_AE_2024_2025[[#This Row],[A&amp;E attendances Other A&amp;E Department]]</f>
        <v>1608</v>
      </c>
      <c r="Y592">
        <f t="shared" si="18"/>
        <v>127</v>
      </c>
      <c r="Z592">
        <f t="shared" si="19"/>
        <v>0</v>
      </c>
    </row>
    <row r="593" spans="1:26" x14ac:dyDescent="0.2">
      <c r="A593" t="s">
        <v>432</v>
      </c>
      <c r="B593" t="s">
        <v>433</v>
      </c>
      <c r="C593" t="s">
        <v>394</v>
      </c>
      <c r="D593" t="s">
        <v>55</v>
      </c>
      <c r="E593" t="s">
        <v>395</v>
      </c>
      <c r="F593">
        <v>25547</v>
      </c>
      <c r="G593">
        <v>2767</v>
      </c>
      <c r="H593">
        <v>10609</v>
      </c>
      <c r="I593">
        <v>3433</v>
      </c>
      <c r="J593">
        <v>417</v>
      </c>
      <c r="K593">
        <v>960</v>
      </c>
      <c r="L593">
        <v>12940</v>
      </c>
      <c r="M593">
        <v>68</v>
      </c>
      <c r="N593">
        <v>705</v>
      </c>
      <c r="O593">
        <v>1565</v>
      </c>
      <c r="P593">
        <v>9</v>
      </c>
      <c r="Q593">
        <v>121</v>
      </c>
      <c r="R593">
        <v>4259</v>
      </c>
      <c r="S593">
        <v>462</v>
      </c>
      <c r="T593">
        <v>5610</v>
      </c>
      <c r="U593">
        <v>148</v>
      </c>
      <c r="V593">
        <v>126</v>
      </c>
      <c r="W593">
        <v>430</v>
      </c>
      <c r="X593">
        <f>NHS_AE_2024_2025[[#This Row],[A&amp;E attendances Type 1]]+
NHS_AE_2024_2025[[#This Row],[A&amp;E attendances Type 2]]+
NHS_AE_2024_2025[[#This Row],[A&amp;E attendances Other A&amp;E Department]]</f>
        <v>38923</v>
      </c>
      <c r="Y593">
        <f t="shared" si="18"/>
        <v>13713</v>
      </c>
      <c r="Z593">
        <f t="shared" si="19"/>
        <v>6314</v>
      </c>
    </row>
    <row r="594" spans="1:26" x14ac:dyDescent="0.2">
      <c r="A594" t="s">
        <v>432</v>
      </c>
      <c r="B594" t="s">
        <v>433</v>
      </c>
      <c r="C594" t="s">
        <v>320</v>
      </c>
      <c r="D594" t="s">
        <v>26</v>
      </c>
      <c r="E594" t="s">
        <v>321</v>
      </c>
      <c r="F594">
        <v>4682</v>
      </c>
      <c r="G594">
        <v>309</v>
      </c>
      <c r="H594">
        <v>2121</v>
      </c>
      <c r="I594">
        <v>202</v>
      </c>
      <c r="J594">
        <v>0</v>
      </c>
      <c r="K594">
        <v>0</v>
      </c>
      <c r="L594">
        <v>2262</v>
      </c>
      <c r="M594">
        <v>0</v>
      </c>
      <c r="N594">
        <v>0</v>
      </c>
      <c r="O594">
        <v>98</v>
      </c>
      <c r="P594">
        <v>0</v>
      </c>
      <c r="Q594">
        <v>0</v>
      </c>
      <c r="R594">
        <v>401</v>
      </c>
      <c r="S594">
        <v>11</v>
      </c>
      <c r="T594">
        <v>1452</v>
      </c>
      <c r="U594">
        <v>0</v>
      </c>
      <c r="V594">
        <v>0</v>
      </c>
      <c r="W594">
        <v>914</v>
      </c>
      <c r="X594">
        <f>NHS_AE_2024_2025[[#This Row],[A&amp;E attendances Type 1]]+
NHS_AE_2024_2025[[#This Row],[A&amp;E attendances Type 2]]+
NHS_AE_2024_2025[[#This Row],[A&amp;E attendances Other A&amp;E Department]]</f>
        <v>7112</v>
      </c>
      <c r="Y594">
        <f t="shared" si="18"/>
        <v>2262</v>
      </c>
      <c r="Z594">
        <f t="shared" si="19"/>
        <v>2366</v>
      </c>
    </row>
    <row r="595" spans="1:26" x14ac:dyDescent="0.2">
      <c r="A595" t="s">
        <v>432</v>
      </c>
      <c r="B595" t="s">
        <v>433</v>
      </c>
      <c r="C595" t="s">
        <v>382</v>
      </c>
      <c r="D595" t="s">
        <v>26</v>
      </c>
      <c r="E595" t="s">
        <v>383</v>
      </c>
      <c r="F595">
        <v>12984</v>
      </c>
      <c r="G595">
        <v>0</v>
      </c>
      <c r="H595">
        <v>9207</v>
      </c>
      <c r="I595">
        <v>0</v>
      </c>
      <c r="J595">
        <v>0</v>
      </c>
      <c r="K595">
        <v>0</v>
      </c>
      <c r="L595">
        <v>6927</v>
      </c>
      <c r="M595">
        <v>0</v>
      </c>
      <c r="N595">
        <v>242</v>
      </c>
      <c r="O595">
        <v>0</v>
      </c>
      <c r="P595">
        <v>0</v>
      </c>
      <c r="Q595">
        <v>0</v>
      </c>
      <c r="R595">
        <v>754</v>
      </c>
      <c r="S595">
        <v>349</v>
      </c>
      <c r="T595">
        <v>3339</v>
      </c>
      <c r="U595">
        <v>0</v>
      </c>
      <c r="V595">
        <v>0</v>
      </c>
      <c r="W595">
        <v>1749</v>
      </c>
      <c r="X595">
        <f>NHS_AE_2024_2025[[#This Row],[A&amp;E attendances Type 1]]+
NHS_AE_2024_2025[[#This Row],[A&amp;E attendances Type 2]]+
NHS_AE_2024_2025[[#This Row],[A&amp;E attendances Other A&amp;E Department]]</f>
        <v>22191</v>
      </c>
      <c r="Y595">
        <f t="shared" si="18"/>
        <v>7169</v>
      </c>
      <c r="Z595">
        <f t="shared" si="19"/>
        <v>5088</v>
      </c>
    </row>
    <row r="596" spans="1:26" x14ac:dyDescent="0.2">
      <c r="A596" t="s">
        <v>432</v>
      </c>
      <c r="B596" t="s">
        <v>433</v>
      </c>
      <c r="C596" t="s">
        <v>418</v>
      </c>
      <c r="D596" t="s">
        <v>55</v>
      </c>
      <c r="E596" t="s">
        <v>419</v>
      </c>
      <c r="F596">
        <v>25637</v>
      </c>
      <c r="G596">
        <v>0</v>
      </c>
      <c r="H596">
        <v>9548</v>
      </c>
      <c r="I596">
        <v>0</v>
      </c>
      <c r="J596">
        <v>0</v>
      </c>
      <c r="K596">
        <v>0</v>
      </c>
      <c r="L596">
        <v>11892</v>
      </c>
      <c r="M596">
        <v>0</v>
      </c>
      <c r="N596">
        <v>574</v>
      </c>
      <c r="O596">
        <v>0</v>
      </c>
      <c r="P596">
        <v>0</v>
      </c>
      <c r="Q596">
        <v>0</v>
      </c>
      <c r="R596">
        <v>1228</v>
      </c>
      <c r="S596">
        <v>1213</v>
      </c>
      <c r="T596">
        <v>7322</v>
      </c>
      <c r="U596">
        <v>0</v>
      </c>
      <c r="V596">
        <v>375</v>
      </c>
      <c r="W596">
        <v>2054</v>
      </c>
      <c r="X596">
        <f>NHS_AE_2024_2025[[#This Row],[A&amp;E attendances Type 1]]+
NHS_AE_2024_2025[[#This Row],[A&amp;E attendances Type 2]]+
NHS_AE_2024_2025[[#This Row],[A&amp;E attendances Other A&amp;E Department]]</f>
        <v>35185</v>
      </c>
      <c r="Y596">
        <f t="shared" si="18"/>
        <v>12466</v>
      </c>
      <c r="Z596">
        <f t="shared" si="19"/>
        <v>9751</v>
      </c>
    </row>
    <row r="597" spans="1:26" x14ac:dyDescent="0.2">
      <c r="A597" t="s">
        <v>432</v>
      </c>
      <c r="B597" t="s">
        <v>431</v>
      </c>
      <c r="C597" t="s">
        <v>431</v>
      </c>
      <c r="D597" t="s">
        <v>431</v>
      </c>
      <c r="E597" t="s">
        <v>431</v>
      </c>
      <c r="F597">
        <v>1407530</v>
      </c>
      <c r="G597">
        <v>43471</v>
      </c>
      <c r="H597">
        <v>807451</v>
      </c>
      <c r="I597">
        <v>32781</v>
      </c>
      <c r="J597">
        <v>570</v>
      </c>
      <c r="K597">
        <v>54131</v>
      </c>
      <c r="L597">
        <v>633815</v>
      </c>
      <c r="M597">
        <v>1547</v>
      </c>
      <c r="N597">
        <v>31873</v>
      </c>
      <c r="O597">
        <v>9567</v>
      </c>
      <c r="P597">
        <v>9</v>
      </c>
      <c r="Q597">
        <v>662</v>
      </c>
      <c r="R597">
        <v>100482</v>
      </c>
      <c r="S597">
        <v>54207</v>
      </c>
      <c r="T597">
        <v>411161</v>
      </c>
      <c r="U597">
        <v>1239</v>
      </c>
      <c r="V597">
        <v>4667</v>
      </c>
      <c r="W597">
        <v>135525</v>
      </c>
      <c r="X597">
        <f>NHS_AE_2024_2025[[#This Row],[A&amp;E attendances Type 1]]+
NHS_AE_2024_2025[[#This Row],[A&amp;E attendances Type 2]]+
NHS_AE_2024_2025[[#This Row],[A&amp;E attendances Other A&amp;E Department]]</f>
        <v>2258452</v>
      </c>
      <c r="Y597">
        <f t="shared" si="18"/>
        <v>667235</v>
      </c>
      <c r="Z597">
        <f t="shared" si="19"/>
        <v>552592</v>
      </c>
    </row>
    <row r="598" spans="1:26" x14ac:dyDescent="0.2">
      <c r="A598" t="s">
        <v>437</v>
      </c>
      <c r="B598" t="s">
        <v>438</v>
      </c>
      <c r="C598" t="s">
        <v>25</v>
      </c>
      <c r="D598" t="s">
        <v>26</v>
      </c>
      <c r="E598" t="s">
        <v>27</v>
      </c>
      <c r="F598">
        <v>0</v>
      </c>
      <c r="G598">
        <v>0</v>
      </c>
      <c r="H598">
        <v>545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f>NHS_AE_2024_2025[[#This Row],[A&amp;E attendances Type 1]]+
NHS_AE_2024_2025[[#This Row],[A&amp;E attendances Type 2]]+
NHS_AE_2024_2025[[#This Row],[A&amp;E attendances Other A&amp;E Department]]</f>
        <v>545</v>
      </c>
      <c r="Y598">
        <f t="shared" si="18"/>
        <v>0</v>
      </c>
      <c r="Z598">
        <f t="shared" si="19"/>
        <v>0</v>
      </c>
    </row>
    <row r="599" spans="1:26" x14ac:dyDescent="0.2">
      <c r="A599" t="s">
        <v>437</v>
      </c>
      <c r="B599" t="s">
        <v>438</v>
      </c>
      <c r="C599" t="s">
        <v>28</v>
      </c>
      <c r="D599" t="s">
        <v>29</v>
      </c>
      <c r="E599" t="s">
        <v>30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28</v>
      </c>
      <c r="X599">
        <f>NHS_AE_2024_2025[[#This Row],[A&amp;E attendances Type 1]]+
NHS_AE_2024_2025[[#This Row],[A&amp;E attendances Type 2]]+
NHS_AE_2024_2025[[#This Row],[A&amp;E attendances Other A&amp;E Department]]</f>
        <v>0</v>
      </c>
      <c r="Y599">
        <f t="shared" si="18"/>
        <v>0</v>
      </c>
      <c r="Z599">
        <f t="shared" si="19"/>
        <v>28</v>
      </c>
    </row>
    <row r="600" spans="1:26" x14ac:dyDescent="0.2">
      <c r="A600" t="s">
        <v>437</v>
      </c>
      <c r="B600" t="s">
        <v>438</v>
      </c>
      <c r="C600" t="s">
        <v>124</v>
      </c>
      <c r="D600" t="s">
        <v>37</v>
      </c>
      <c r="E600" t="s">
        <v>434</v>
      </c>
      <c r="F600">
        <v>0</v>
      </c>
      <c r="G600">
        <v>0</v>
      </c>
      <c r="H600">
        <v>2518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37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119</v>
      </c>
      <c r="X600">
        <f>NHS_AE_2024_2025[[#This Row],[A&amp;E attendances Type 1]]+
NHS_AE_2024_2025[[#This Row],[A&amp;E attendances Type 2]]+
NHS_AE_2024_2025[[#This Row],[A&amp;E attendances Other A&amp;E Department]]</f>
        <v>2518</v>
      </c>
      <c r="Y600">
        <f t="shared" si="18"/>
        <v>37</v>
      </c>
      <c r="Z600">
        <f t="shared" si="19"/>
        <v>119</v>
      </c>
    </row>
    <row r="601" spans="1:26" x14ac:dyDescent="0.2">
      <c r="A601" t="s">
        <v>437</v>
      </c>
      <c r="B601" t="s">
        <v>438</v>
      </c>
      <c r="C601" t="s">
        <v>49</v>
      </c>
      <c r="D601" t="s">
        <v>50</v>
      </c>
      <c r="E601" t="s">
        <v>51</v>
      </c>
      <c r="F601">
        <v>14096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4471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1144</v>
      </c>
      <c r="S601">
        <v>48</v>
      </c>
      <c r="T601">
        <v>2486</v>
      </c>
      <c r="U601">
        <v>0</v>
      </c>
      <c r="V601">
        <v>0</v>
      </c>
      <c r="W601">
        <v>189</v>
      </c>
      <c r="X601">
        <f>NHS_AE_2024_2025[[#This Row],[A&amp;E attendances Type 1]]+
NHS_AE_2024_2025[[#This Row],[A&amp;E attendances Type 2]]+
NHS_AE_2024_2025[[#This Row],[A&amp;E attendances Other A&amp;E Department]]</f>
        <v>14096</v>
      </c>
      <c r="Y601">
        <f t="shared" si="18"/>
        <v>4471</v>
      </c>
      <c r="Z601">
        <f t="shared" si="19"/>
        <v>2675</v>
      </c>
    </row>
    <row r="602" spans="1:26" x14ac:dyDescent="0.2">
      <c r="A602" t="s">
        <v>437</v>
      </c>
      <c r="B602" t="s">
        <v>438</v>
      </c>
      <c r="C602" t="s">
        <v>220</v>
      </c>
      <c r="D602" t="s">
        <v>50</v>
      </c>
      <c r="E602" t="s">
        <v>221</v>
      </c>
      <c r="F602">
        <v>0</v>
      </c>
      <c r="G602">
        <v>0</v>
      </c>
      <c r="H602">
        <v>279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f>NHS_AE_2024_2025[[#This Row],[A&amp;E attendances Type 1]]+
NHS_AE_2024_2025[[#This Row],[A&amp;E attendances Type 2]]+
NHS_AE_2024_2025[[#This Row],[A&amp;E attendances Other A&amp;E Department]]</f>
        <v>279</v>
      </c>
      <c r="Y602">
        <f t="shared" si="18"/>
        <v>0</v>
      </c>
      <c r="Z602">
        <f t="shared" si="19"/>
        <v>0</v>
      </c>
    </row>
    <row r="603" spans="1:26" x14ac:dyDescent="0.2">
      <c r="A603" t="s">
        <v>437</v>
      </c>
      <c r="B603" t="s">
        <v>438</v>
      </c>
      <c r="C603" t="s">
        <v>36</v>
      </c>
      <c r="D603" t="s">
        <v>37</v>
      </c>
      <c r="E603" t="s">
        <v>38</v>
      </c>
      <c r="F603">
        <v>0</v>
      </c>
      <c r="G603">
        <v>0</v>
      </c>
      <c r="H603">
        <v>2545</v>
      </c>
      <c r="I603">
        <v>0</v>
      </c>
      <c r="J603">
        <v>0</v>
      </c>
      <c r="K603">
        <v>14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f>NHS_AE_2024_2025[[#This Row],[A&amp;E attendances Type 1]]+
NHS_AE_2024_2025[[#This Row],[A&amp;E attendances Type 2]]+
NHS_AE_2024_2025[[#This Row],[A&amp;E attendances Other A&amp;E Department]]</f>
        <v>2545</v>
      </c>
      <c r="Y603">
        <f t="shared" si="18"/>
        <v>1</v>
      </c>
      <c r="Z603">
        <f t="shared" si="19"/>
        <v>0</v>
      </c>
    </row>
    <row r="604" spans="1:26" x14ac:dyDescent="0.2">
      <c r="A604" t="s">
        <v>437</v>
      </c>
      <c r="B604" t="s">
        <v>438</v>
      </c>
      <c r="C604" t="s">
        <v>278</v>
      </c>
      <c r="D604" t="s">
        <v>32</v>
      </c>
      <c r="E604" t="s">
        <v>279</v>
      </c>
      <c r="F604">
        <v>0</v>
      </c>
      <c r="G604">
        <v>0</v>
      </c>
      <c r="H604">
        <v>281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f>NHS_AE_2024_2025[[#This Row],[A&amp;E attendances Type 1]]+
NHS_AE_2024_2025[[#This Row],[A&amp;E attendances Type 2]]+
NHS_AE_2024_2025[[#This Row],[A&amp;E attendances Other A&amp;E Department]]</f>
        <v>281</v>
      </c>
      <c r="Y604">
        <f t="shared" si="18"/>
        <v>0</v>
      </c>
      <c r="Z604">
        <f t="shared" si="19"/>
        <v>0</v>
      </c>
    </row>
    <row r="605" spans="1:26" x14ac:dyDescent="0.2">
      <c r="A605" t="s">
        <v>437</v>
      </c>
      <c r="B605" t="s">
        <v>438</v>
      </c>
      <c r="C605" t="s">
        <v>222</v>
      </c>
      <c r="D605" t="s">
        <v>32</v>
      </c>
      <c r="E605" t="s">
        <v>223</v>
      </c>
      <c r="F605">
        <v>0</v>
      </c>
      <c r="G605">
        <v>0</v>
      </c>
      <c r="H605">
        <v>3811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f>NHS_AE_2024_2025[[#This Row],[A&amp;E attendances Type 1]]+
NHS_AE_2024_2025[[#This Row],[A&amp;E attendances Type 2]]+
NHS_AE_2024_2025[[#This Row],[A&amp;E attendances Other A&amp;E Department]]</f>
        <v>3811</v>
      </c>
      <c r="Y605">
        <f t="shared" si="18"/>
        <v>0</v>
      </c>
      <c r="Z605">
        <f t="shared" si="19"/>
        <v>0</v>
      </c>
    </row>
    <row r="606" spans="1:26" x14ac:dyDescent="0.2">
      <c r="A606" t="s">
        <v>437</v>
      </c>
      <c r="B606" t="s">
        <v>438</v>
      </c>
      <c r="C606" t="s">
        <v>78</v>
      </c>
      <c r="D606" t="s">
        <v>37</v>
      </c>
      <c r="E606" t="s">
        <v>79</v>
      </c>
      <c r="F606">
        <v>0</v>
      </c>
      <c r="G606">
        <v>0</v>
      </c>
      <c r="H606">
        <v>2144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93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f>NHS_AE_2024_2025[[#This Row],[A&amp;E attendances Type 1]]+
NHS_AE_2024_2025[[#This Row],[A&amp;E attendances Type 2]]+
NHS_AE_2024_2025[[#This Row],[A&amp;E attendances Other A&amp;E Department]]</f>
        <v>2144</v>
      </c>
      <c r="Y606">
        <f t="shared" si="18"/>
        <v>93</v>
      </c>
      <c r="Z606">
        <f t="shared" si="19"/>
        <v>0</v>
      </c>
    </row>
    <row r="607" spans="1:26" x14ac:dyDescent="0.2">
      <c r="A607" t="s">
        <v>437</v>
      </c>
      <c r="B607" t="s">
        <v>438</v>
      </c>
      <c r="C607" t="s">
        <v>80</v>
      </c>
      <c r="D607" t="s">
        <v>37</v>
      </c>
      <c r="E607" t="s">
        <v>81</v>
      </c>
      <c r="F607">
        <v>0</v>
      </c>
      <c r="G607">
        <v>0</v>
      </c>
      <c r="H607">
        <v>2412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36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f>NHS_AE_2024_2025[[#This Row],[A&amp;E attendances Type 1]]+
NHS_AE_2024_2025[[#This Row],[A&amp;E attendances Type 2]]+
NHS_AE_2024_2025[[#This Row],[A&amp;E attendances Other A&amp;E Department]]</f>
        <v>2412</v>
      </c>
      <c r="Y607">
        <f t="shared" si="18"/>
        <v>36</v>
      </c>
      <c r="Z607">
        <f t="shared" si="19"/>
        <v>0</v>
      </c>
    </row>
    <row r="608" spans="1:26" x14ac:dyDescent="0.2">
      <c r="A608" t="s">
        <v>437</v>
      </c>
      <c r="B608" t="s">
        <v>438</v>
      </c>
      <c r="C608" t="s">
        <v>148</v>
      </c>
      <c r="D608" t="s">
        <v>32</v>
      </c>
      <c r="E608" t="s">
        <v>149</v>
      </c>
      <c r="F608">
        <v>0</v>
      </c>
      <c r="G608">
        <v>0</v>
      </c>
      <c r="H608">
        <v>2653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f>NHS_AE_2024_2025[[#This Row],[A&amp;E attendances Type 1]]+
NHS_AE_2024_2025[[#This Row],[A&amp;E attendances Type 2]]+
NHS_AE_2024_2025[[#This Row],[A&amp;E attendances Other A&amp;E Department]]</f>
        <v>2653</v>
      </c>
      <c r="Y608">
        <f t="shared" si="18"/>
        <v>0</v>
      </c>
      <c r="Z608">
        <f t="shared" si="19"/>
        <v>0</v>
      </c>
    </row>
    <row r="609" spans="1:26" x14ac:dyDescent="0.2">
      <c r="A609" t="s">
        <v>437</v>
      </c>
      <c r="B609" t="s">
        <v>438</v>
      </c>
      <c r="C609" t="s">
        <v>154</v>
      </c>
      <c r="D609" t="s">
        <v>70</v>
      </c>
      <c r="E609" t="s">
        <v>155</v>
      </c>
      <c r="F609">
        <v>6286</v>
      </c>
      <c r="G609">
        <v>0</v>
      </c>
      <c r="H609">
        <v>1389</v>
      </c>
      <c r="I609">
        <v>0</v>
      </c>
      <c r="J609">
        <v>0</v>
      </c>
      <c r="K609">
        <v>0</v>
      </c>
      <c r="L609">
        <v>2714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516</v>
      </c>
      <c r="S609">
        <v>450</v>
      </c>
      <c r="T609">
        <v>1459</v>
      </c>
      <c r="U609">
        <v>0</v>
      </c>
      <c r="V609">
        <v>0</v>
      </c>
      <c r="W609">
        <v>466</v>
      </c>
      <c r="X609">
        <f>NHS_AE_2024_2025[[#This Row],[A&amp;E attendances Type 1]]+
NHS_AE_2024_2025[[#This Row],[A&amp;E attendances Type 2]]+
NHS_AE_2024_2025[[#This Row],[A&amp;E attendances Other A&amp;E Department]]</f>
        <v>7675</v>
      </c>
      <c r="Y609">
        <f t="shared" si="18"/>
        <v>2714</v>
      </c>
      <c r="Z609">
        <f t="shared" si="19"/>
        <v>1925</v>
      </c>
    </row>
    <row r="610" spans="1:26" x14ac:dyDescent="0.2">
      <c r="A610" t="s">
        <v>437</v>
      </c>
      <c r="B610" t="s">
        <v>438</v>
      </c>
      <c r="C610" t="s">
        <v>47</v>
      </c>
      <c r="D610" t="s">
        <v>26</v>
      </c>
      <c r="E610" t="s">
        <v>48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7</v>
      </c>
      <c r="W610">
        <v>61</v>
      </c>
      <c r="X610">
        <f>NHS_AE_2024_2025[[#This Row],[A&amp;E attendances Type 1]]+
NHS_AE_2024_2025[[#This Row],[A&amp;E attendances Type 2]]+
NHS_AE_2024_2025[[#This Row],[A&amp;E attendances Other A&amp;E Department]]</f>
        <v>0</v>
      </c>
      <c r="Y610">
        <f t="shared" si="18"/>
        <v>0</v>
      </c>
      <c r="Z610">
        <f t="shared" si="19"/>
        <v>68</v>
      </c>
    </row>
    <row r="611" spans="1:26" x14ac:dyDescent="0.2">
      <c r="A611" t="s">
        <v>437</v>
      </c>
      <c r="B611" t="s">
        <v>438</v>
      </c>
      <c r="C611" t="s">
        <v>166</v>
      </c>
      <c r="D611" t="s">
        <v>50</v>
      </c>
      <c r="E611" t="s">
        <v>167</v>
      </c>
      <c r="F611">
        <v>0</v>
      </c>
      <c r="G611">
        <v>0</v>
      </c>
      <c r="H611">
        <v>965</v>
      </c>
      <c r="I611">
        <v>0</v>
      </c>
      <c r="J611">
        <v>0</v>
      </c>
      <c r="K611">
        <v>33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f>NHS_AE_2024_2025[[#This Row],[A&amp;E attendances Type 1]]+
NHS_AE_2024_2025[[#This Row],[A&amp;E attendances Type 2]]+
NHS_AE_2024_2025[[#This Row],[A&amp;E attendances Other A&amp;E Department]]</f>
        <v>965</v>
      </c>
      <c r="Y611">
        <f t="shared" si="18"/>
        <v>0</v>
      </c>
      <c r="Z611">
        <f t="shared" si="19"/>
        <v>0</v>
      </c>
    </row>
    <row r="612" spans="1:26" x14ac:dyDescent="0.2">
      <c r="A612" t="s">
        <v>437</v>
      </c>
      <c r="B612" t="s">
        <v>438</v>
      </c>
      <c r="C612" t="s">
        <v>174</v>
      </c>
      <c r="D612" t="s">
        <v>50</v>
      </c>
      <c r="E612" t="s">
        <v>175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116</v>
      </c>
      <c r="X612">
        <f>NHS_AE_2024_2025[[#This Row],[A&amp;E attendances Type 1]]+
NHS_AE_2024_2025[[#This Row],[A&amp;E attendances Type 2]]+
NHS_AE_2024_2025[[#This Row],[A&amp;E attendances Other A&amp;E Department]]</f>
        <v>0</v>
      </c>
      <c r="Y612">
        <f t="shared" si="18"/>
        <v>0</v>
      </c>
      <c r="Z612">
        <f t="shared" si="19"/>
        <v>116</v>
      </c>
    </row>
    <row r="613" spans="1:26" x14ac:dyDescent="0.2">
      <c r="A613" t="s">
        <v>437</v>
      </c>
      <c r="B613" t="s">
        <v>438</v>
      </c>
      <c r="C613" t="s">
        <v>57</v>
      </c>
      <c r="D613" t="s">
        <v>32</v>
      </c>
      <c r="E613" t="s">
        <v>58</v>
      </c>
      <c r="F613">
        <v>0</v>
      </c>
      <c r="G613">
        <v>0</v>
      </c>
      <c r="H613">
        <v>5791</v>
      </c>
      <c r="I613">
        <v>0</v>
      </c>
      <c r="J613">
        <v>0</v>
      </c>
      <c r="K613">
        <v>2025</v>
      </c>
      <c r="L613">
        <v>0</v>
      </c>
      <c r="M613">
        <v>0</v>
      </c>
      <c r="N613">
        <v>67</v>
      </c>
      <c r="O613">
        <v>0</v>
      </c>
      <c r="P613">
        <v>0</v>
      </c>
      <c r="Q613">
        <v>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f>NHS_AE_2024_2025[[#This Row],[A&amp;E attendances Type 1]]+
NHS_AE_2024_2025[[#This Row],[A&amp;E attendances Type 2]]+
NHS_AE_2024_2025[[#This Row],[A&amp;E attendances Other A&amp;E Department]]</f>
        <v>5791</v>
      </c>
      <c r="Y613">
        <f t="shared" si="18"/>
        <v>67</v>
      </c>
      <c r="Z613">
        <f t="shared" si="19"/>
        <v>0</v>
      </c>
    </row>
    <row r="614" spans="1:26" x14ac:dyDescent="0.2">
      <c r="A614" t="s">
        <v>437</v>
      </c>
      <c r="B614" t="s">
        <v>438</v>
      </c>
      <c r="C614" t="s">
        <v>180</v>
      </c>
      <c r="D614" t="s">
        <v>26</v>
      </c>
      <c r="E614" t="s">
        <v>181</v>
      </c>
      <c r="F614">
        <v>0</v>
      </c>
      <c r="G614">
        <v>0</v>
      </c>
      <c r="H614">
        <v>1636</v>
      </c>
      <c r="I614">
        <v>0</v>
      </c>
      <c r="J614">
        <v>0</v>
      </c>
      <c r="K614">
        <v>12</v>
      </c>
      <c r="L614">
        <v>0</v>
      </c>
      <c r="M614">
        <v>0</v>
      </c>
      <c r="N614">
        <v>18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f>NHS_AE_2024_2025[[#This Row],[A&amp;E attendances Type 1]]+
NHS_AE_2024_2025[[#This Row],[A&amp;E attendances Type 2]]+
NHS_AE_2024_2025[[#This Row],[A&amp;E attendances Other A&amp;E Department]]</f>
        <v>1636</v>
      </c>
      <c r="Y614">
        <f t="shared" si="18"/>
        <v>18</v>
      </c>
      <c r="Z614">
        <f t="shared" si="19"/>
        <v>0</v>
      </c>
    </row>
    <row r="615" spans="1:26" x14ac:dyDescent="0.2">
      <c r="A615" t="s">
        <v>437</v>
      </c>
      <c r="B615" t="s">
        <v>438</v>
      </c>
      <c r="C615" t="s">
        <v>90</v>
      </c>
      <c r="D615" t="s">
        <v>29</v>
      </c>
      <c r="E615" t="s">
        <v>91</v>
      </c>
      <c r="F615">
        <v>0</v>
      </c>
      <c r="G615">
        <v>0</v>
      </c>
      <c r="H615">
        <v>7461</v>
      </c>
      <c r="I615">
        <v>0</v>
      </c>
      <c r="J615">
        <v>0</v>
      </c>
      <c r="K615">
        <v>520</v>
      </c>
      <c r="L615">
        <v>0</v>
      </c>
      <c r="M615">
        <v>0</v>
      </c>
      <c r="N615">
        <v>113</v>
      </c>
      <c r="O615">
        <v>0</v>
      </c>
      <c r="P615">
        <v>0</v>
      </c>
      <c r="Q615">
        <v>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f>NHS_AE_2024_2025[[#This Row],[A&amp;E attendances Type 1]]+
NHS_AE_2024_2025[[#This Row],[A&amp;E attendances Type 2]]+
NHS_AE_2024_2025[[#This Row],[A&amp;E attendances Other A&amp;E Department]]</f>
        <v>7461</v>
      </c>
      <c r="Y615">
        <f t="shared" si="18"/>
        <v>113</v>
      </c>
      <c r="Z615">
        <f t="shared" si="19"/>
        <v>0</v>
      </c>
    </row>
    <row r="616" spans="1:26" x14ac:dyDescent="0.2">
      <c r="A616" t="s">
        <v>437</v>
      </c>
      <c r="B616" t="s">
        <v>438</v>
      </c>
      <c r="C616" t="s">
        <v>130</v>
      </c>
      <c r="D616" t="s">
        <v>70</v>
      </c>
      <c r="E616" t="s">
        <v>131</v>
      </c>
      <c r="F616">
        <v>0</v>
      </c>
      <c r="G616">
        <v>0</v>
      </c>
      <c r="H616">
        <v>3152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f>NHS_AE_2024_2025[[#This Row],[A&amp;E attendances Type 1]]+
NHS_AE_2024_2025[[#This Row],[A&amp;E attendances Type 2]]+
NHS_AE_2024_2025[[#This Row],[A&amp;E attendances Other A&amp;E Department]]</f>
        <v>3152</v>
      </c>
      <c r="Y616">
        <f t="shared" si="18"/>
        <v>0</v>
      </c>
      <c r="Z616">
        <f t="shared" si="19"/>
        <v>0</v>
      </c>
    </row>
    <row r="617" spans="1:26" x14ac:dyDescent="0.2">
      <c r="A617" t="s">
        <v>437</v>
      </c>
      <c r="B617" t="s">
        <v>438</v>
      </c>
      <c r="C617" t="s">
        <v>63</v>
      </c>
      <c r="D617" t="s">
        <v>32</v>
      </c>
      <c r="E617" t="s">
        <v>64</v>
      </c>
      <c r="F617">
        <v>0</v>
      </c>
      <c r="G617">
        <v>0</v>
      </c>
      <c r="H617">
        <v>6625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f>NHS_AE_2024_2025[[#This Row],[A&amp;E attendances Type 1]]+
NHS_AE_2024_2025[[#This Row],[A&amp;E attendances Type 2]]+
NHS_AE_2024_2025[[#This Row],[A&amp;E attendances Other A&amp;E Department]]</f>
        <v>6625</v>
      </c>
      <c r="Y617">
        <f t="shared" si="18"/>
        <v>0</v>
      </c>
      <c r="Z617">
        <f t="shared" si="19"/>
        <v>0</v>
      </c>
    </row>
    <row r="618" spans="1:26" x14ac:dyDescent="0.2">
      <c r="A618" t="s">
        <v>437</v>
      </c>
      <c r="B618" t="s">
        <v>438</v>
      </c>
      <c r="C618" t="s">
        <v>106</v>
      </c>
      <c r="D618" t="s">
        <v>37</v>
      </c>
      <c r="E618" t="s">
        <v>107</v>
      </c>
      <c r="F618">
        <v>0</v>
      </c>
      <c r="G618">
        <v>0</v>
      </c>
      <c r="H618">
        <v>1819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f>NHS_AE_2024_2025[[#This Row],[A&amp;E attendances Type 1]]+
NHS_AE_2024_2025[[#This Row],[A&amp;E attendances Type 2]]+
NHS_AE_2024_2025[[#This Row],[A&amp;E attendances Other A&amp;E Department]]</f>
        <v>1819</v>
      </c>
      <c r="Y618">
        <f t="shared" si="18"/>
        <v>0</v>
      </c>
      <c r="Z618">
        <f t="shared" si="19"/>
        <v>0</v>
      </c>
    </row>
    <row r="619" spans="1:26" x14ac:dyDescent="0.2">
      <c r="A619" t="s">
        <v>437</v>
      </c>
      <c r="B619" t="s">
        <v>438</v>
      </c>
      <c r="C619" t="s">
        <v>67</v>
      </c>
      <c r="D619" t="s">
        <v>29</v>
      </c>
      <c r="E619" t="s">
        <v>68</v>
      </c>
      <c r="F619">
        <v>0</v>
      </c>
      <c r="G619">
        <v>0</v>
      </c>
      <c r="H619">
        <v>695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f>NHS_AE_2024_2025[[#This Row],[A&amp;E attendances Type 1]]+
NHS_AE_2024_2025[[#This Row],[A&amp;E attendances Type 2]]+
NHS_AE_2024_2025[[#This Row],[A&amp;E attendances Other A&amp;E Department]]</f>
        <v>695</v>
      </c>
      <c r="Y619">
        <f t="shared" si="18"/>
        <v>0</v>
      </c>
      <c r="Z619">
        <f t="shared" si="19"/>
        <v>0</v>
      </c>
    </row>
    <row r="620" spans="1:26" x14ac:dyDescent="0.2">
      <c r="A620" t="s">
        <v>437</v>
      </c>
      <c r="B620" t="s">
        <v>438</v>
      </c>
      <c r="C620" t="s">
        <v>108</v>
      </c>
      <c r="D620" t="s">
        <v>37</v>
      </c>
      <c r="E620" t="s">
        <v>109</v>
      </c>
      <c r="F620">
        <v>0</v>
      </c>
      <c r="G620">
        <v>0</v>
      </c>
      <c r="H620">
        <v>1843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f>NHS_AE_2024_2025[[#This Row],[A&amp;E attendances Type 1]]+
NHS_AE_2024_2025[[#This Row],[A&amp;E attendances Type 2]]+
NHS_AE_2024_2025[[#This Row],[A&amp;E attendances Other A&amp;E Department]]</f>
        <v>1843</v>
      </c>
      <c r="Y620">
        <f t="shared" si="18"/>
        <v>0</v>
      </c>
      <c r="Z620">
        <f t="shared" si="19"/>
        <v>0</v>
      </c>
    </row>
    <row r="621" spans="1:26" x14ac:dyDescent="0.2">
      <c r="A621" t="s">
        <v>437</v>
      </c>
      <c r="B621" t="s">
        <v>438</v>
      </c>
      <c r="C621" t="s">
        <v>132</v>
      </c>
      <c r="D621" t="s">
        <v>37</v>
      </c>
      <c r="E621" t="s">
        <v>133</v>
      </c>
      <c r="F621">
        <v>0</v>
      </c>
      <c r="G621">
        <v>0</v>
      </c>
      <c r="H621">
        <v>4995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f>NHS_AE_2024_2025[[#This Row],[A&amp;E attendances Type 1]]+
NHS_AE_2024_2025[[#This Row],[A&amp;E attendances Type 2]]+
NHS_AE_2024_2025[[#This Row],[A&amp;E attendances Other A&amp;E Department]]</f>
        <v>4995</v>
      </c>
      <c r="Y621">
        <f t="shared" si="18"/>
        <v>0</v>
      </c>
      <c r="Z621">
        <f t="shared" si="19"/>
        <v>0</v>
      </c>
    </row>
    <row r="622" spans="1:26" x14ac:dyDescent="0.2">
      <c r="A622" t="s">
        <v>437</v>
      </c>
      <c r="B622" t="s">
        <v>438</v>
      </c>
      <c r="C622" t="s">
        <v>96</v>
      </c>
      <c r="D622" t="s">
        <v>29</v>
      </c>
      <c r="E622" t="s">
        <v>97</v>
      </c>
      <c r="F622">
        <v>0</v>
      </c>
      <c r="G622">
        <v>0</v>
      </c>
      <c r="H622">
        <v>2673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f>NHS_AE_2024_2025[[#This Row],[A&amp;E attendances Type 1]]+
NHS_AE_2024_2025[[#This Row],[A&amp;E attendances Type 2]]+
NHS_AE_2024_2025[[#This Row],[A&amp;E attendances Other A&amp;E Department]]</f>
        <v>2673</v>
      </c>
      <c r="Y622">
        <f t="shared" si="18"/>
        <v>13</v>
      </c>
      <c r="Z622">
        <f t="shared" si="19"/>
        <v>0</v>
      </c>
    </row>
    <row r="623" spans="1:26" x14ac:dyDescent="0.2">
      <c r="A623" t="s">
        <v>437</v>
      </c>
      <c r="B623" t="s">
        <v>438</v>
      </c>
      <c r="C623" t="s">
        <v>98</v>
      </c>
      <c r="D623" t="s">
        <v>29</v>
      </c>
      <c r="E623" t="s">
        <v>99</v>
      </c>
      <c r="F623">
        <v>0</v>
      </c>
      <c r="G623">
        <v>0</v>
      </c>
      <c r="H623">
        <v>2654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7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f>NHS_AE_2024_2025[[#This Row],[A&amp;E attendances Type 1]]+
NHS_AE_2024_2025[[#This Row],[A&amp;E attendances Type 2]]+
NHS_AE_2024_2025[[#This Row],[A&amp;E attendances Other A&amp;E Department]]</f>
        <v>2654</v>
      </c>
      <c r="Y623">
        <f t="shared" si="18"/>
        <v>7</v>
      </c>
      <c r="Z623">
        <f t="shared" si="19"/>
        <v>0</v>
      </c>
    </row>
    <row r="624" spans="1:26" x14ac:dyDescent="0.2">
      <c r="A624" t="s">
        <v>437</v>
      </c>
      <c r="B624" t="s">
        <v>438</v>
      </c>
      <c r="C624" t="s">
        <v>39</v>
      </c>
      <c r="D624" t="s">
        <v>26</v>
      </c>
      <c r="E624" t="s">
        <v>40</v>
      </c>
      <c r="F624">
        <v>0</v>
      </c>
      <c r="G624">
        <v>0</v>
      </c>
      <c r="H624">
        <v>69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f>NHS_AE_2024_2025[[#This Row],[A&amp;E attendances Type 1]]+
NHS_AE_2024_2025[[#This Row],[A&amp;E attendances Type 2]]+
NHS_AE_2024_2025[[#This Row],[A&amp;E attendances Other A&amp;E Department]]</f>
        <v>69</v>
      </c>
      <c r="Y624">
        <f t="shared" si="18"/>
        <v>0</v>
      </c>
      <c r="Z624">
        <f t="shared" si="19"/>
        <v>0</v>
      </c>
    </row>
    <row r="625" spans="1:26" x14ac:dyDescent="0.2">
      <c r="A625" t="s">
        <v>437</v>
      </c>
      <c r="B625" t="s">
        <v>438</v>
      </c>
      <c r="C625" t="s">
        <v>134</v>
      </c>
      <c r="D625" t="s">
        <v>37</v>
      </c>
      <c r="E625" t="s">
        <v>135</v>
      </c>
      <c r="F625">
        <v>0</v>
      </c>
      <c r="G625">
        <v>0</v>
      </c>
      <c r="H625">
        <v>1941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f>NHS_AE_2024_2025[[#This Row],[A&amp;E attendances Type 1]]+
NHS_AE_2024_2025[[#This Row],[A&amp;E attendances Type 2]]+
NHS_AE_2024_2025[[#This Row],[A&amp;E attendances Other A&amp;E Department]]</f>
        <v>1941</v>
      </c>
      <c r="Y625">
        <f t="shared" si="18"/>
        <v>0</v>
      </c>
      <c r="Z625">
        <f t="shared" si="19"/>
        <v>0</v>
      </c>
    </row>
    <row r="626" spans="1:26" x14ac:dyDescent="0.2">
      <c r="A626" t="s">
        <v>437</v>
      </c>
      <c r="B626" t="s">
        <v>438</v>
      </c>
      <c r="C626" t="s">
        <v>110</v>
      </c>
      <c r="D626" t="s">
        <v>37</v>
      </c>
      <c r="E626" t="s">
        <v>111</v>
      </c>
      <c r="F626">
        <v>0</v>
      </c>
      <c r="G626">
        <v>0</v>
      </c>
      <c r="H626">
        <v>1079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f>NHS_AE_2024_2025[[#This Row],[A&amp;E attendances Type 1]]+
NHS_AE_2024_2025[[#This Row],[A&amp;E attendances Type 2]]+
NHS_AE_2024_2025[[#This Row],[A&amp;E attendances Other A&amp;E Department]]</f>
        <v>1079</v>
      </c>
      <c r="Y626">
        <f t="shared" si="18"/>
        <v>0</v>
      </c>
      <c r="Z626">
        <f t="shared" si="19"/>
        <v>0</v>
      </c>
    </row>
    <row r="627" spans="1:26" x14ac:dyDescent="0.2">
      <c r="A627" t="s">
        <v>437</v>
      </c>
      <c r="B627" t="s">
        <v>438</v>
      </c>
      <c r="C627" t="s">
        <v>41</v>
      </c>
      <c r="D627" t="s">
        <v>32</v>
      </c>
      <c r="E627" t="s">
        <v>42</v>
      </c>
      <c r="F627">
        <v>0</v>
      </c>
      <c r="G627">
        <v>0</v>
      </c>
      <c r="H627">
        <v>2969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f>NHS_AE_2024_2025[[#This Row],[A&amp;E attendances Type 1]]+
NHS_AE_2024_2025[[#This Row],[A&amp;E attendances Type 2]]+
NHS_AE_2024_2025[[#This Row],[A&amp;E attendances Other A&amp;E Department]]</f>
        <v>2969</v>
      </c>
      <c r="Y627">
        <f t="shared" si="18"/>
        <v>0</v>
      </c>
      <c r="Z627">
        <f t="shared" si="19"/>
        <v>0</v>
      </c>
    </row>
    <row r="628" spans="1:26" x14ac:dyDescent="0.2">
      <c r="A628" t="s">
        <v>437</v>
      </c>
      <c r="B628" t="s">
        <v>438</v>
      </c>
      <c r="C628" t="s">
        <v>43</v>
      </c>
      <c r="D628" t="s">
        <v>26</v>
      </c>
      <c r="E628" t="s">
        <v>44</v>
      </c>
      <c r="F628">
        <v>5532</v>
      </c>
      <c r="G628">
        <v>0</v>
      </c>
      <c r="H628">
        <v>2684</v>
      </c>
      <c r="I628">
        <v>393</v>
      </c>
      <c r="J628">
        <v>0</v>
      </c>
      <c r="K628">
        <v>135</v>
      </c>
      <c r="L628">
        <v>2562</v>
      </c>
      <c r="M628">
        <v>0</v>
      </c>
      <c r="N628">
        <v>22</v>
      </c>
      <c r="O628">
        <v>139</v>
      </c>
      <c r="P628">
        <v>0</v>
      </c>
      <c r="Q628">
        <v>0</v>
      </c>
      <c r="R628">
        <v>315</v>
      </c>
      <c r="S628">
        <v>50</v>
      </c>
      <c r="T628">
        <v>1931</v>
      </c>
      <c r="U628">
        <v>0</v>
      </c>
      <c r="V628">
        <v>0</v>
      </c>
      <c r="W628">
        <v>1093</v>
      </c>
      <c r="X628">
        <f>NHS_AE_2024_2025[[#This Row],[A&amp;E attendances Type 1]]+
NHS_AE_2024_2025[[#This Row],[A&amp;E attendances Type 2]]+
NHS_AE_2024_2025[[#This Row],[A&amp;E attendances Other A&amp;E Department]]</f>
        <v>8216</v>
      </c>
      <c r="Y628">
        <f t="shared" si="18"/>
        <v>2584</v>
      </c>
      <c r="Z628">
        <f t="shared" si="19"/>
        <v>3024</v>
      </c>
    </row>
    <row r="629" spans="1:26" x14ac:dyDescent="0.2">
      <c r="A629" t="s">
        <v>437</v>
      </c>
      <c r="B629" t="s">
        <v>438</v>
      </c>
      <c r="C629" t="s">
        <v>84</v>
      </c>
      <c r="D629" t="s">
        <v>50</v>
      </c>
      <c r="E629" t="s">
        <v>85</v>
      </c>
      <c r="F629">
        <v>7870</v>
      </c>
      <c r="G629">
        <v>0</v>
      </c>
      <c r="H629">
        <v>0</v>
      </c>
      <c r="I629">
        <v>25</v>
      </c>
      <c r="J629">
        <v>0</v>
      </c>
      <c r="K629">
        <v>0</v>
      </c>
      <c r="L629">
        <v>3573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572</v>
      </c>
      <c r="S629">
        <v>5</v>
      </c>
      <c r="T629">
        <v>2644</v>
      </c>
      <c r="U629">
        <v>0</v>
      </c>
      <c r="V629">
        <v>0</v>
      </c>
      <c r="W629">
        <v>466</v>
      </c>
      <c r="X629">
        <f>NHS_AE_2024_2025[[#This Row],[A&amp;E attendances Type 1]]+
NHS_AE_2024_2025[[#This Row],[A&amp;E attendances Type 2]]+
NHS_AE_2024_2025[[#This Row],[A&amp;E attendances Other A&amp;E Department]]</f>
        <v>7870</v>
      </c>
      <c r="Y629">
        <f t="shared" si="18"/>
        <v>3573</v>
      </c>
      <c r="Z629">
        <f t="shared" si="19"/>
        <v>3110</v>
      </c>
    </row>
    <row r="630" spans="1:26" x14ac:dyDescent="0.2">
      <c r="A630" t="s">
        <v>437</v>
      </c>
      <c r="B630" t="s">
        <v>438</v>
      </c>
      <c r="C630" t="s">
        <v>310</v>
      </c>
      <c r="D630" t="s">
        <v>26</v>
      </c>
      <c r="E630" t="s">
        <v>311</v>
      </c>
      <c r="F630">
        <v>8072</v>
      </c>
      <c r="G630">
        <v>131</v>
      </c>
      <c r="H630">
        <v>4653</v>
      </c>
      <c r="I630">
        <v>0</v>
      </c>
      <c r="J630">
        <v>0</v>
      </c>
      <c r="K630">
        <v>0</v>
      </c>
      <c r="L630">
        <v>4218</v>
      </c>
      <c r="M630">
        <v>0</v>
      </c>
      <c r="N630">
        <v>101</v>
      </c>
      <c r="O630">
        <v>0</v>
      </c>
      <c r="P630">
        <v>0</v>
      </c>
      <c r="Q630">
        <v>0</v>
      </c>
      <c r="R630">
        <v>483</v>
      </c>
      <c r="S630">
        <v>541</v>
      </c>
      <c r="T630">
        <v>2599</v>
      </c>
      <c r="U630">
        <v>0</v>
      </c>
      <c r="V630">
        <v>0</v>
      </c>
      <c r="W630">
        <v>1331</v>
      </c>
      <c r="X630">
        <f>NHS_AE_2024_2025[[#This Row],[A&amp;E attendances Type 1]]+
NHS_AE_2024_2025[[#This Row],[A&amp;E attendances Type 2]]+
NHS_AE_2024_2025[[#This Row],[A&amp;E attendances Other A&amp;E Department]]</f>
        <v>12856</v>
      </c>
      <c r="Y630">
        <f t="shared" si="18"/>
        <v>4319</v>
      </c>
      <c r="Z630">
        <f t="shared" si="19"/>
        <v>3930</v>
      </c>
    </row>
    <row r="631" spans="1:26" x14ac:dyDescent="0.2">
      <c r="A631" t="s">
        <v>437</v>
      </c>
      <c r="B631" t="s">
        <v>438</v>
      </c>
      <c r="C631" t="s">
        <v>160</v>
      </c>
      <c r="D631" t="s">
        <v>32</v>
      </c>
      <c r="E631" t="s">
        <v>161</v>
      </c>
      <c r="F631">
        <v>8945</v>
      </c>
      <c r="G631">
        <v>0</v>
      </c>
      <c r="H631">
        <v>7965</v>
      </c>
      <c r="I631">
        <v>308</v>
      </c>
      <c r="J631">
        <v>0</v>
      </c>
      <c r="K631">
        <v>0</v>
      </c>
      <c r="L631">
        <v>3468</v>
      </c>
      <c r="M631">
        <v>0</v>
      </c>
      <c r="N631">
        <v>128</v>
      </c>
      <c r="O631">
        <v>0</v>
      </c>
      <c r="P631">
        <v>0</v>
      </c>
      <c r="Q631">
        <v>0</v>
      </c>
      <c r="R631">
        <v>1280</v>
      </c>
      <c r="S631">
        <v>0</v>
      </c>
      <c r="T631">
        <v>1724</v>
      </c>
      <c r="U631">
        <v>0</v>
      </c>
      <c r="V631">
        <v>0</v>
      </c>
      <c r="W631">
        <v>239</v>
      </c>
      <c r="X631">
        <f>NHS_AE_2024_2025[[#This Row],[A&amp;E attendances Type 1]]+
NHS_AE_2024_2025[[#This Row],[A&amp;E attendances Type 2]]+
NHS_AE_2024_2025[[#This Row],[A&amp;E attendances Other A&amp;E Department]]</f>
        <v>16910</v>
      </c>
      <c r="Y631">
        <f t="shared" si="18"/>
        <v>3596</v>
      </c>
      <c r="Z631">
        <f t="shared" si="19"/>
        <v>1963</v>
      </c>
    </row>
    <row r="632" spans="1:26" x14ac:dyDescent="0.2">
      <c r="A632" t="s">
        <v>437</v>
      </c>
      <c r="B632" t="s">
        <v>438</v>
      </c>
      <c r="C632" t="s">
        <v>164</v>
      </c>
      <c r="D632" t="s">
        <v>37</v>
      </c>
      <c r="E632" t="s">
        <v>165</v>
      </c>
      <c r="F632">
        <v>9094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3108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359</v>
      </c>
      <c r="S632">
        <v>661</v>
      </c>
      <c r="T632">
        <v>2785</v>
      </c>
      <c r="U632">
        <v>0</v>
      </c>
      <c r="V632">
        <v>0</v>
      </c>
      <c r="W632">
        <v>874</v>
      </c>
      <c r="X632">
        <f>NHS_AE_2024_2025[[#This Row],[A&amp;E attendances Type 1]]+
NHS_AE_2024_2025[[#This Row],[A&amp;E attendances Type 2]]+
NHS_AE_2024_2025[[#This Row],[A&amp;E attendances Other A&amp;E Department]]</f>
        <v>9094</v>
      </c>
      <c r="Y632">
        <f t="shared" si="18"/>
        <v>3108</v>
      </c>
      <c r="Z632">
        <f t="shared" si="19"/>
        <v>3659</v>
      </c>
    </row>
    <row r="633" spans="1:26" x14ac:dyDescent="0.2">
      <c r="A633" t="s">
        <v>437</v>
      </c>
      <c r="B633" t="s">
        <v>438</v>
      </c>
      <c r="C633" t="s">
        <v>52</v>
      </c>
      <c r="D633" t="s">
        <v>37</v>
      </c>
      <c r="E633" t="s">
        <v>53</v>
      </c>
      <c r="F633">
        <v>9887</v>
      </c>
      <c r="G633">
        <v>1090</v>
      </c>
      <c r="H633">
        <v>3215</v>
      </c>
      <c r="I633">
        <v>0</v>
      </c>
      <c r="J633">
        <v>0</v>
      </c>
      <c r="K633">
        <v>0</v>
      </c>
      <c r="L633">
        <v>3010</v>
      </c>
      <c r="M633">
        <v>0</v>
      </c>
      <c r="N633">
        <v>86</v>
      </c>
      <c r="O633">
        <v>0</v>
      </c>
      <c r="P633">
        <v>0</v>
      </c>
      <c r="Q633">
        <v>0</v>
      </c>
      <c r="R633">
        <v>231</v>
      </c>
      <c r="S633">
        <v>348</v>
      </c>
      <c r="T633">
        <v>3892</v>
      </c>
      <c r="U633">
        <v>768</v>
      </c>
      <c r="V633">
        <v>0</v>
      </c>
      <c r="W633">
        <v>2063</v>
      </c>
      <c r="X633">
        <f>NHS_AE_2024_2025[[#This Row],[A&amp;E attendances Type 1]]+
NHS_AE_2024_2025[[#This Row],[A&amp;E attendances Type 2]]+
NHS_AE_2024_2025[[#This Row],[A&amp;E attendances Other A&amp;E Department]]</f>
        <v>14192</v>
      </c>
      <c r="Y633">
        <f t="shared" si="18"/>
        <v>3096</v>
      </c>
      <c r="Z633">
        <f t="shared" si="19"/>
        <v>6723</v>
      </c>
    </row>
    <row r="634" spans="1:26" x14ac:dyDescent="0.2">
      <c r="A634" t="s">
        <v>437</v>
      </c>
      <c r="B634" t="s">
        <v>438</v>
      </c>
      <c r="C634" t="s">
        <v>31</v>
      </c>
      <c r="D634" t="s">
        <v>32</v>
      </c>
      <c r="E634" t="s">
        <v>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1300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f>NHS_AE_2024_2025[[#This Row],[A&amp;E attendances Type 1]]+
NHS_AE_2024_2025[[#This Row],[A&amp;E attendances Type 2]]+
NHS_AE_2024_2025[[#This Row],[A&amp;E attendances Other A&amp;E Department]]</f>
        <v>0</v>
      </c>
      <c r="Y634">
        <f t="shared" si="18"/>
        <v>0</v>
      </c>
      <c r="Z634">
        <f t="shared" si="19"/>
        <v>0</v>
      </c>
    </row>
    <row r="635" spans="1:26" x14ac:dyDescent="0.2">
      <c r="A635" t="s">
        <v>437</v>
      </c>
      <c r="B635" t="s">
        <v>438</v>
      </c>
      <c r="C635" t="s">
        <v>34</v>
      </c>
      <c r="D635" t="s">
        <v>29</v>
      </c>
      <c r="E635" t="s">
        <v>35</v>
      </c>
      <c r="F635">
        <v>0</v>
      </c>
      <c r="G635">
        <v>0</v>
      </c>
      <c r="H635">
        <v>3301</v>
      </c>
      <c r="I635">
        <v>0</v>
      </c>
      <c r="J635">
        <v>0</v>
      </c>
      <c r="K635">
        <v>273</v>
      </c>
      <c r="L635">
        <v>0</v>
      </c>
      <c r="M635">
        <v>0</v>
      </c>
      <c r="N635">
        <v>48</v>
      </c>
      <c r="O635">
        <v>0</v>
      </c>
      <c r="P635">
        <v>0</v>
      </c>
      <c r="Q635">
        <v>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f>NHS_AE_2024_2025[[#This Row],[A&amp;E attendances Type 1]]+
NHS_AE_2024_2025[[#This Row],[A&amp;E attendances Type 2]]+
NHS_AE_2024_2025[[#This Row],[A&amp;E attendances Other A&amp;E Department]]</f>
        <v>3301</v>
      </c>
      <c r="Y635">
        <f t="shared" si="18"/>
        <v>48</v>
      </c>
      <c r="Z635">
        <f t="shared" si="19"/>
        <v>0</v>
      </c>
    </row>
    <row r="636" spans="1:26" x14ac:dyDescent="0.2">
      <c r="A636" t="s">
        <v>437</v>
      </c>
      <c r="B636" t="s">
        <v>438</v>
      </c>
      <c r="C636" t="s">
        <v>69</v>
      </c>
      <c r="D636" t="s">
        <v>70</v>
      </c>
      <c r="E636" t="s">
        <v>71</v>
      </c>
      <c r="F636">
        <v>0</v>
      </c>
      <c r="G636">
        <v>0</v>
      </c>
      <c r="H636">
        <v>1895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52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f>NHS_AE_2024_2025[[#This Row],[A&amp;E attendances Type 1]]+
NHS_AE_2024_2025[[#This Row],[A&amp;E attendances Type 2]]+
NHS_AE_2024_2025[[#This Row],[A&amp;E attendances Other A&amp;E Department]]</f>
        <v>1895</v>
      </c>
      <c r="Y636">
        <f t="shared" si="18"/>
        <v>52</v>
      </c>
      <c r="Z636">
        <f t="shared" si="19"/>
        <v>0</v>
      </c>
    </row>
    <row r="637" spans="1:26" x14ac:dyDescent="0.2">
      <c r="A637" t="s">
        <v>437</v>
      </c>
      <c r="B637" t="s">
        <v>438</v>
      </c>
      <c r="C637" t="s">
        <v>100</v>
      </c>
      <c r="D637" t="s">
        <v>37</v>
      </c>
      <c r="E637" t="s">
        <v>101</v>
      </c>
      <c r="F637">
        <v>0</v>
      </c>
      <c r="G637">
        <v>0</v>
      </c>
      <c r="H637">
        <v>4752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260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f>NHS_AE_2024_2025[[#This Row],[A&amp;E attendances Type 1]]+
NHS_AE_2024_2025[[#This Row],[A&amp;E attendances Type 2]]+
NHS_AE_2024_2025[[#This Row],[A&amp;E attendances Other A&amp;E Department]]</f>
        <v>4752</v>
      </c>
      <c r="Y637">
        <f t="shared" si="18"/>
        <v>260</v>
      </c>
      <c r="Z637">
        <f t="shared" si="19"/>
        <v>0</v>
      </c>
    </row>
    <row r="638" spans="1:26" x14ac:dyDescent="0.2">
      <c r="A638" t="s">
        <v>437</v>
      </c>
      <c r="B638" t="s">
        <v>438</v>
      </c>
      <c r="C638" t="s">
        <v>120</v>
      </c>
      <c r="D638" t="s">
        <v>50</v>
      </c>
      <c r="E638" t="s">
        <v>121</v>
      </c>
      <c r="F638">
        <v>9989</v>
      </c>
      <c r="G638">
        <v>1135</v>
      </c>
      <c r="H638">
        <v>4935</v>
      </c>
      <c r="I638">
        <v>727</v>
      </c>
      <c r="J638">
        <v>0</v>
      </c>
      <c r="K638">
        <v>1424</v>
      </c>
      <c r="L638">
        <v>5171</v>
      </c>
      <c r="M638">
        <v>22</v>
      </c>
      <c r="N638">
        <v>204</v>
      </c>
      <c r="O638">
        <v>384</v>
      </c>
      <c r="P638">
        <v>0</v>
      </c>
      <c r="Q638">
        <v>50</v>
      </c>
      <c r="R638">
        <v>740</v>
      </c>
      <c r="S638">
        <v>3</v>
      </c>
      <c r="T638">
        <v>3877</v>
      </c>
      <c r="U638">
        <v>19</v>
      </c>
      <c r="V638">
        <v>0</v>
      </c>
      <c r="W638">
        <v>1332</v>
      </c>
      <c r="X638">
        <f>NHS_AE_2024_2025[[#This Row],[A&amp;E attendances Type 1]]+
NHS_AE_2024_2025[[#This Row],[A&amp;E attendances Type 2]]+
NHS_AE_2024_2025[[#This Row],[A&amp;E attendances Other A&amp;E Department]]</f>
        <v>16059</v>
      </c>
      <c r="Y638">
        <f t="shared" si="18"/>
        <v>5397</v>
      </c>
      <c r="Z638">
        <f t="shared" si="19"/>
        <v>5228</v>
      </c>
    </row>
    <row r="639" spans="1:26" x14ac:dyDescent="0.2">
      <c r="A639" t="s">
        <v>437</v>
      </c>
      <c r="B639" t="s">
        <v>438</v>
      </c>
      <c r="C639" t="s">
        <v>232</v>
      </c>
      <c r="D639" t="s">
        <v>29</v>
      </c>
      <c r="E639" t="s">
        <v>435</v>
      </c>
      <c r="F639">
        <v>6478</v>
      </c>
      <c r="G639">
        <v>0</v>
      </c>
      <c r="H639">
        <v>7589</v>
      </c>
      <c r="I639">
        <v>0</v>
      </c>
      <c r="J639">
        <v>0</v>
      </c>
      <c r="K639">
        <v>0</v>
      </c>
      <c r="L639">
        <v>3131</v>
      </c>
      <c r="M639">
        <v>0</v>
      </c>
      <c r="N639">
        <v>182</v>
      </c>
      <c r="O639">
        <v>0</v>
      </c>
      <c r="P639">
        <v>0</v>
      </c>
      <c r="Q639">
        <v>0</v>
      </c>
      <c r="R639">
        <v>239</v>
      </c>
      <c r="S639">
        <v>446</v>
      </c>
      <c r="T639">
        <v>2145</v>
      </c>
      <c r="U639">
        <v>0</v>
      </c>
      <c r="V639">
        <v>198</v>
      </c>
      <c r="W639">
        <v>291</v>
      </c>
      <c r="X639">
        <f>NHS_AE_2024_2025[[#This Row],[A&amp;E attendances Type 1]]+
NHS_AE_2024_2025[[#This Row],[A&amp;E attendances Type 2]]+
NHS_AE_2024_2025[[#This Row],[A&amp;E attendances Other A&amp;E Department]]</f>
        <v>14067</v>
      </c>
      <c r="Y639">
        <f t="shared" si="18"/>
        <v>3313</v>
      </c>
      <c r="Z639">
        <f t="shared" si="19"/>
        <v>2634</v>
      </c>
    </row>
    <row r="640" spans="1:26" x14ac:dyDescent="0.2">
      <c r="A640" t="s">
        <v>437</v>
      </c>
      <c r="B640" t="s">
        <v>438</v>
      </c>
      <c r="C640" t="s">
        <v>400</v>
      </c>
      <c r="D640" t="s">
        <v>50</v>
      </c>
      <c r="E640" t="s">
        <v>401</v>
      </c>
      <c r="F640">
        <v>4435</v>
      </c>
      <c r="G640">
        <v>0</v>
      </c>
      <c r="H640">
        <v>792</v>
      </c>
      <c r="I640">
        <v>290</v>
      </c>
      <c r="J640">
        <v>0</v>
      </c>
      <c r="K640">
        <v>16</v>
      </c>
      <c r="L640">
        <v>1388</v>
      </c>
      <c r="M640">
        <v>0</v>
      </c>
      <c r="N640">
        <v>1</v>
      </c>
      <c r="O640">
        <v>56</v>
      </c>
      <c r="P640">
        <v>0</v>
      </c>
      <c r="Q640">
        <v>0</v>
      </c>
      <c r="R640">
        <v>206</v>
      </c>
      <c r="S640">
        <v>10</v>
      </c>
      <c r="T640">
        <v>1026</v>
      </c>
      <c r="U640">
        <v>0</v>
      </c>
      <c r="V640">
        <v>0</v>
      </c>
      <c r="W640">
        <v>285</v>
      </c>
      <c r="X640">
        <f>NHS_AE_2024_2025[[#This Row],[A&amp;E attendances Type 1]]+
NHS_AE_2024_2025[[#This Row],[A&amp;E attendances Type 2]]+
NHS_AE_2024_2025[[#This Row],[A&amp;E attendances Other A&amp;E Department]]</f>
        <v>5227</v>
      </c>
      <c r="Y640">
        <f t="shared" si="18"/>
        <v>1389</v>
      </c>
      <c r="Z640">
        <f t="shared" si="19"/>
        <v>1311</v>
      </c>
    </row>
    <row r="641" spans="1:26" x14ac:dyDescent="0.2">
      <c r="A641" t="s">
        <v>437</v>
      </c>
      <c r="B641" t="s">
        <v>438</v>
      </c>
      <c r="C641" t="s">
        <v>248</v>
      </c>
      <c r="D641" t="s">
        <v>55</v>
      </c>
      <c r="E641" t="s">
        <v>249</v>
      </c>
      <c r="F641">
        <v>4540</v>
      </c>
      <c r="G641">
        <v>0</v>
      </c>
      <c r="H641">
        <v>1979</v>
      </c>
      <c r="I641">
        <v>0</v>
      </c>
      <c r="J641">
        <v>0</v>
      </c>
      <c r="K641">
        <v>0</v>
      </c>
      <c r="L641">
        <v>2307</v>
      </c>
      <c r="M641">
        <v>0</v>
      </c>
      <c r="N641">
        <v>178</v>
      </c>
      <c r="O641">
        <v>0</v>
      </c>
      <c r="P641">
        <v>0</v>
      </c>
      <c r="Q641">
        <v>0</v>
      </c>
      <c r="R641">
        <v>195</v>
      </c>
      <c r="S641">
        <v>660</v>
      </c>
      <c r="T641">
        <v>1613</v>
      </c>
      <c r="U641">
        <v>0</v>
      </c>
      <c r="V641">
        <v>0</v>
      </c>
      <c r="W641">
        <v>1171</v>
      </c>
      <c r="X641">
        <f>NHS_AE_2024_2025[[#This Row],[A&amp;E attendances Type 1]]+
NHS_AE_2024_2025[[#This Row],[A&amp;E attendances Type 2]]+
NHS_AE_2024_2025[[#This Row],[A&amp;E attendances Other A&amp;E Department]]</f>
        <v>6519</v>
      </c>
      <c r="Y641">
        <f t="shared" si="18"/>
        <v>2485</v>
      </c>
      <c r="Z641">
        <f t="shared" si="19"/>
        <v>2784</v>
      </c>
    </row>
    <row r="642" spans="1:26" x14ac:dyDescent="0.2">
      <c r="A642" t="s">
        <v>437</v>
      </c>
      <c r="B642" t="s">
        <v>438</v>
      </c>
      <c r="C642" t="s">
        <v>274</v>
      </c>
      <c r="D642" t="s">
        <v>32</v>
      </c>
      <c r="E642" t="s">
        <v>275</v>
      </c>
      <c r="F642">
        <v>0</v>
      </c>
      <c r="G642">
        <v>0</v>
      </c>
      <c r="H642">
        <v>7310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168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f>NHS_AE_2024_2025[[#This Row],[A&amp;E attendances Type 1]]+
NHS_AE_2024_2025[[#This Row],[A&amp;E attendances Type 2]]+
NHS_AE_2024_2025[[#This Row],[A&amp;E attendances Other A&amp;E Department]]</f>
        <v>7310</v>
      </c>
      <c r="Y642">
        <f t="shared" ref="Y642:Y705" si="20">L642+M642+N642</f>
        <v>168</v>
      </c>
      <c r="Z642">
        <f t="shared" ref="Z642:Z705" si="21">T642+U642+V642+W642</f>
        <v>0</v>
      </c>
    </row>
    <row r="643" spans="1:26" x14ac:dyDescent="0.2">
      <c r="A643" t="s">
        <v>437</v>
      </c>
      <c r="B643" t="s">
        <v>438</v>
      </c>
      <c r="C643" t="s">
        <v>61</v>
      </c>
      <c r="D643" t="s">
        <v>55</v>
      </c>
      <c r="E643" t="s">
        <v>62</v>
      </c>
      <c r="F643">
        <v>0</v>
      </c>
      <c r="G643">
        <v>0</v>
      </c>
      <c r="H643">
        <v>1561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f>NHS_AE_2024_2025[[#This Row],[A&amp;E attendances Type 1]]+
NHS_AE_2024_2025[[#This Row],[A&amp;E attendances Type 2]]+
NHS_AE_2024_2025[[#This Row],[A&amp;E attendances Other A&amp;E Department]]</f>
        <v>1561</v>
      </c>
      <c r="Y643">
        <f t="shared" si="20"/>
        <v>0</v>
      </c>
      <c r="Z643">
        <f t="shared" si="21"/>
        <v>0</v>
      </c>
    </row>
    <row r="644" spans="1:26" x14ac:dyDescent="0.2">
      <c r="A644" t="s">
        <v>437</v>
      </c>
      <c r="B644" t="s">
        <v>438</v>
      </c>
      <c r="C644" t="s">
        <v>65</v>
      </c>
      <c r="D644" t="s">
        <v>32</v>
      </c>
      <c r="E644" t="s">
        <v>66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1637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f>NHS_AE_2024_2025[[#This Row],[A&amp;E attendances Type 1]]+
NHS_AE_2024_2025[[#This Row],[A&amp;E attendances Type 2]]+
NHS_AE_2024_2025[[#This Row],[A&amp;E attendances Other A&amp;E Department]]</f>
        <v>0</v>
      </c>
      <c r="Y644">
        <f t="shared" si="20"/>
        <v>0</v>
      </c>
      <c r="Z644">
        <f t="shared" si="21"/>
        <v>0</v>
      </c>
    </row>
    <row r="645" spans="1:26" x14ac:dyDescent="0.2">
      <c r="A645" t="s">
        <v>437</v>
      </c>
      <c r="B645" t="s">
        <v>438</v>
      </c>
      <c r="C645" t="s">
        <v>82</v>
      </c>
      <c r="D645" t="s">
        <v>55</v>
      </c>
      <c r="E645" t="s">
        <v>83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157</v>
      </c>
      <c r="X645">
        <f>NHS_AE_2024_2025[[#This Row],[A&amp;E attendances Type 1]]+
NHS_AE_2024_2025[[#This Row],[A&amp;E attendances Type 2]]+
NHS_AE_2024_2025[[#This Row],[A&amp;E attendances Other A&amp;E Department]]</f>
        <v>0</v>
      </c>
      <c r="Y645">
        <f t="shared" si="20"/>
        <v>0</v>
      </c>
      <c r="Z645">
        <f t="shared" si="21"/>
        <v>157</v>
      </c>
    </row>
    <row r="646" spans="1:26" x14ac:dyDescent="0.2">
      <c r="A646" t="s">
        <v>437</v>
      </c>
      <c r="B646" t="s">
        <v>438</v>
      </c>
      <c r="C646" t="s">
        <v>104</v>
      </c>
      <c r="D646" t="s">
        <v>29</v>
      </c>
      <c r="E646" t="s">
        <v>105</v>
      </c>
      <c r="F646">
        <v>10056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2077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278</v>
      </c>
      <c r="S646">
        <v>24</v>
      </c>
      <c r="T646">
        <v>1660</v>
      </c>
      <c r="U646">
        <v>0</v>
      </c>
      <c r="V646">
        <v>0</v>
      </c>
      <c r="W646">
        <v>306</v>
      </c>
      <c r="X646">
        <f>NHS_AE_2024_2025[[#This Row],[A&amp;E attendances Type 1]]+
NHS_AE_2024_2025[[#This Row],[A&amp;E attendances Type 2]]+
NHS_AE_2024_2025[[#This Row],[A&amp;E attendances Other A&amp;E Department]]</f>
        <v>10056</v>
      </c>
      <c r="Y646">
        <f t="shared" si="20"/>
        <v>2077</v>
      </c>
      <c r="Z646">
        <f t="shared" si="21"/>
        <v>1966</v>
      </c>
    </row>
    <row r="647" spans="1:26" x14ac:dyDescent="0.2">
      <c r="A647" t="s">
        <v>437</v>
      </c>
      <c r="B647" t="s">
        <v>438</v>
      </c>
      <c r="C647" t="s">
        <v>126</v>
      </c>
      <c r="D647" t="s">
        <v>70</v>
      </c>
      <c r="E647" t="s">
        <v>127</v>
      </c>
      <c r="F647">
        <v>7727</v>
      </c>
      <c r="G647">
        <v>0</v>
      </c>
      <c r="H647">
        <v>6510</v>
      </c>
      <c r="I647">
        <v>0</v>
      </c>
      <c r="J647">
        <v>0</v>
      </c>
      <c r="K647">
        <v>753</v>
      </c>
      <c r="L647">
        <v>2887</v>
      </c>
      <c r="M647">
        <v>0</v>
      </c>
      <c r="N647">
        <v>137</v>
      </c>
      <c r="O647">
        <v>0</v>
      </c>
      <c r="P647">
        <v>0</v>
      </c>
      <c r="Q647">
        <v>0</v>
      </c>
      <c r="R647">
        <v>816</v>
      </c>
      <c r="S647">
        <v>17</v>
      </c>
      <c r="T647">
        <v>3978</v>
      </c>
      <c r="U647">
        <v>0</v>
      </c>
      <c r="V647">
        <v>0</v>
      </c>
      <c r="W647">
        <v>571</v>
      </c>
      <c r="X647">
        <f>NHS_AE_2024_2025[[#This Row],[A&amp;E attendances Type 1]]+
NHS_AE_2024_2025[[#This Row],[A&amp;E attendances Type 2]]+
NHS_AE_2024_2025[[#This Row],[A&amp;E attendances Other A&amp;E Department]]</f>
        <v>14237</v>
      </c>
      <c r="Y647">
        <f t="shared" si="20"/>
        <v>3024</v>
      </c>
      <c r="Z647">
        <f t="shared" si="21"/>
        <v>4549</v>
      </c>
    </row>
    <row r="648" spans="1:26" x14ac:dyDescent="0.2">
      <c r="A648" t="s">
        <v>437</v>
      </c>
      <c r="B648" t="s">
        <v>438</v>
      </c>
      <c r="C648" t="s">
        <v>272</v>
      </c>
      <c r="D648" t="s">
        <v>32</v>
      </c>
      <c r="E648" t="s">
        <v>273</v>
      </c>
      <c r="F648">
        <v>9128</v>
      </c>
      <c r="G648">
        <v>0</v>
      </c>
      <c r="H648">
        <v>2405</v>
      </c>
      <c r="I648">
        <v>0</v>
      </c>
      <c r="J648">
        <v>0</v>
      </c>
      <c r="K648">
        <v>0</v>
      </c>
      <c r="L648">
        <v>5301</v>
      </c>
      <c r="M648">
        <v>0</v>
      </c>
      <c r="N648">
        <v>167</v>
      </c>
      <c r="O648">
        <v>0</v>
      </c>
      <c r="P648">
        <v>0</v>
      </c>
      <c r="Q648">
        <v>0</v>
      </c>
      <c r="R648">
        <v>335</v>
      </c>
      <c r="S648">
        <v>1130</v>
      </c>
      <c r="T648">
        <v>2699</v>
      </c>
      <c r="U648">
        <v>0</v>
      </c>
      <c r="V648">
        <v>199</v>
      </c>
      <c r="W648">
        <v>2030</v>
      </c>
      <c r="X648">
        <f>NHS_AE_2024_2025[[#This Row],[A&amp;E attendances Type 1]]+
NHS_AE_2024_2025[[#This Row],[A&amp;E attendances Type 2]]+
NHS_AE_2024_2025[[#This Row],[A&amp;E attendances Other A&amp;E Department]]</f>
        <v>11533</v>
      </c>
      <c r="Y648">
        <f t="shared" si="20"/>
        <v>5468</v>
      </c>
      <c r="Z648">
        <f t="shared" si="21"/>
        <v>4928</v>
      </c>
    </row>
    <row r="649" spans="1:26" x14ac:dyDescent="0.2">
      <c r="A649" t="s">
        <v>437</v>
      </c>
      <c r="B649" t="s">
        <v>438</v>
      </c>
      <c r="C649" t="s">
        <v>59</v>
      </c>
      <c r="D649" t="s">
        <v>37</v>
      </c>
      <c r="E649" t="s">
        <v>60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f>NHS_AE_2024_2025[[#This Row],[A&amp;E attendances Type 1]]+
NHS_AE_2024_2025[[#This Row],[A&amp;E attendances Type 2]]+
NHS_AE_2024_2025[[#This Row],[A&amp;E attendances Other A&amp;E Department]]</f>
        <v>0</v>
      </c>
      <c r="Y649">
        <f t="shared" si="20"/>
        <v>0</v>
      </c>
      <c r="Z649">
        <f t="shared" si="21"/>
        <v>0</v>
      </c>
    </row>
    <row r="650" spans="1:26" x14ac:dyDescent="0.2">
      <c r="A650" t="s">
        <v>437</v>
      </c>
      <c r="B650" t="s">
        <v>438</v>
      </c>
      <c r="C650" t="s">
        <v>92</v>
      </c>
      <c r="D650" t="s">
        <v>26</v>
      </c>
      <c r="E650" t="s">
        <v>93</v>
      </c>
      <c r="F650">
        <v>0</v>
      </c>
      <c r="G650">
        <v>0</v>
      </c>
      <c r="H650">
        <v>2090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17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f>NHS_AE_2024_2025[[#This Row],[A&amp;E attendances Type 1]]+
NHS_AE_2024_2025[[#This Row],[A&amp;E attendances Type 2]]+
NHS_AE_2024_2025[[#This Row],[A&amp;E attendances Other A&amp;E Department]]</f>
        <v>2090</v>
      </c>
      <c r="Y650">
        <f t="shared" si="20"/>
        <v>17</v>
      </c>
      <c r="Z650">
        <f t="shared" si="21"/>
        <v>0</v>
      </c>
    </row>
    <row r="651" spans="1:26" x14ac:dyDescent="0.2">
      <c r="A651" t="s">
        <v>437</v>
      </c>
      <c r="B651" t="s">
        <v>438</v>
      </c>
      <c r="C651" t="s">
        <v>94</v>
      </c>
      <c r="D651" t="s">
        <v>32</v>
      </c>
      <c r="E651" t="s">
        <v>95</v>
      </c>
      <c r="F651">
        <v>0</v>
      </c>
      <c r="G651">
        <v>0</v>
      </c>
      <c r="H651">
        <v>278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f>NHS_AE_2024_2025[[#This Row],[A&amp;E attendances Type 1]]+
NHS_AE_2024_2025[[#This Row],[A&amp;E attendances Type 2]]+
NHS_AE_2024_2025[[#This Row],[A&amp;E attendances Other A&amp;E Department]]</f>
        <v>278</v>
      </c>
      <c r="Y651">
        <f t="shared" si="20"/>
        <v>0</v>
      </c>
      <c r="Z651">
        <f t="shared" si="21"/>
        <v>0</v>
      </c>
    </row>
    <row r="652" spans="1:26" x14ac:dyDescent="0.2">
      <c r="A652" t="s">
        <v>437</v>
      </c>
      <c r="B652" t="s">
        <v>438</v>
      </c>
      <c r="C652" t="s">
        <v>45</v>
      </c>
      <c r="D652" t="s">
        <v>26</v>
      </c>
      <c r="E652" t="s">
        <v>46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5</v>
      </c>
      <c r="W652">
        <v>0</v>
      </c>
      <c r="X652">
        <f>NHS_AE_2024_2025[[#This Row],[A&amp;E attendances Type 1]]+
NHS_AE_2024_2025[[#This Row],[A&amp;E attendances Type 2]]+
NHS_AE_2024_2025[[#This Row],[A&amp;E attendances Other A&amp;E Department]]</f>
        <v>0</v>
      </c>
      <c r="Y652">
        <f t="shared" si="20"/>
        <v>0</v>
      </c>
      <c r="Z652">
        <f t="shared" si="21"/>
        <v>5</v>
      </c>
    </row>
    <row r="653" spans="1:26" x14ac:dyDescent="0.2">
      <c r="A653" t="s">
        <v>437</v>
      </c>
      <c r="B653" t="s">
        <v>438</v>
      </c>
      <c r="C653" t="s">
        <v>152</v>
      </c>
      <c r="D653" t="s">
        <v>26</v>
      </c>
      <c r="E653" t="s">
        <v>153</v>
      </c>
      <c r="F653">
        <v>5765</v>
      </c>
      <c r="G653">
        <v>0</v>
      </c>
      <c r="H653">
        <v>10121</v>
      </c>
      <c r="I653">
        <v>0</v>
      </c>
      <c r="J653">
        <v>0</v>
      </c>
      <c r="K653">
        <v>0</v>
      </c>
      <c r="L653">
        <v>3114</v>
      </c>
      <c r="M653">
        <v>0</v>
      </c>
      <c r="N653">
        <v>487</v>
      </c>
      <c r="O653">
        <v>0</v>
      </c>
      <c r="P653">
        <v>0</v>
      </c>
      <c r="Q653">
        <v>0</v>
      </c>
      <c r="R653">
        <v>666</v>
      </c>
      <c r="S653">
        <v>253</v>
      </c>
      <c r="T653">
        <v>2361</v>
      </c>
      <c r="U653">
        <v>0</v>
      </c>
      <c r="V653">
        <v>35</v>
      </c>
      <c r="W653">
        <v>1046</v>
      </c>
      <c r="X653">
        <f>NHS_AE_2024_2025[[#This Row],[A&amp;E attendances Type 1]]+
NHS_AE_2024_2025[[#This Row],[A&amp;E attendances Type 2]]+
NHS_AE_2024_2025[[#This Row],[A&amp;E attendances Other A&amp;E Department]]</f>
        <v>15886</v>
      </c>
      <c r="Y653">
        <f t="shared" si="20"/>
        <v>3601</v>
      </c>
      <c r="Z653">
        <f t="shared" si="21"/>
        <v>3442</v>
      </c>
    </row>
    <row r="654" spans="1:26" x14ac:dyDescent="0.2">
      <c r="A654" t="s">
        <v>437</v>
      </c>
      <c r="B654" t="s">
        <v>438</v>
      </c>
      <c r="C654" t="s">
        <v>102</v>
      </c>
      <c r="D654" t="s">
        <v>55</v>
      </c>
      <c r="E654" t="s">
        <v>103</v>
      </c>
      <c r="F654">
        <v>14072</v>
      </c>
      <c r="G654">
        <v>1623</v>
      </c>
      <c r="H654">
        <v>7572</v>
      </c>
      <c r="I654">
        <v>370</v>
      </c>
      <c r="J654">
        <v>0</v>
      </c>
      <c r="K654">
        <v>0</v>
      </c>
      <c r="L654">
        <v>6924</v>
      </c>
      <c r="M654">
        <v>71</v>
      </c>
      <c r="N654">
        <v>240</v>
      </c>
      <c r="O654">
        <v>75</v>
      </c>
      <c r="P654">
        <v>0</v>
      </c>
      <c r="Q654">
        <v>0</v>
      </c>
      <c r="R654">
        <v>1869</v>
      </c>
      <c r="S654">
        <v>1016</v>
      </c>
      <c r="T654">
        <v>4155</v>
      </c>
      <c r="U654">
        <v>0</v>
      </c>
      <c r="V654">
        <v>0</v>
      </c>
      <c r="W654">
        <v>2206</v>
      </c>
      <c r="X654">
        <f>NHS_AE_2024_2025[[#This Row],[A&amp;E attendances Type 1]]+
NHS_AE_2024_2025[[#This Row],[A&amp;E attendances Type 2]]+
NHS_AE_2024_2025[[#This Row],[A&amp;E attendances Other A&amp;E Department]]</f>
        <v>23267</v>
      </c>
      <c r="Y654">
        <f t="shared" si="20"/>
        <v>7235</v>
      </c>
      <c r="Z654">
        <f t="shared" si="21"/>
        <v>6361</v>
      </c>
    </row>
    <row r="655" spans="1:26" x14ac:dyDescent="0.2">
      <c r="A655" t="s">
        <v>437</v>
      </c>
      <c r="B655" t="s">
        <v>438</v>
      </c>
      <c r="C655" t="s">
        <v>122</v>
      </c>
      <c r="D655" t="s">
        <v>50</v>
      </c>
      <c r="E655" t="s">
        <v>123</v>
      </c>
      <c r="F655">
        <v>8181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2971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704</v>
      </c>
      <c r="S655">
        <v>55</v>
      </c>
      <c r="T655">
        <v>1742</v>
      </c>
      <c r="U655">
        <v>0</v>
      </c>
      <c r="V655">
        <v>0</v>
      </c>
      <c r="W655">
        <v>200</v>
      </c>
      <c r="X655">
        <f>NHS_AE_2024_2025[[#This Row],[A&amp;E attendances Type 1]]+
NHS_AE_2024_2025[[#This Row],[A&amp;E attendances Type 2]]+
NHS_AE_2024_2025[[#This Row],[A&amp;E attendances Other A&amp;E Department]]</f>
        <v>8181</v>
      </c>
      <c r="Y655">
        <f t="shared" si="20"/>
        <v>2971</v>
      </c>
      <c r="Z655">
        <f t="shared" si="21"/>
        <v>1942</v>
      </c>
    </row>
    <row r="656" spans="1:26" x14ac:dyDescent="0.2">
      <c r="A656" t="s">
        <v>437</v>
      </c>
      <c r="B656" t="s">
        <v>438</v>
      </c>
      <c r="C656" t="s">
        <v>204</v>
      </c>
      <c r="D656" t="s">
        <v>32</v>
      </c>
      <c r="E656" t="s">
        <v>205</v>
      </c>
      <c r="F656">
        <v>5233</v>
      </c>
      <c r="G656">
        <v>1036</v>
      </c>
      <c r="H656">
        <v>86</v>
      </c>
      <c r="I656">
        <v>135</v>
      </c>
      <c r="J656">
        <v>0</v>
      </c>
      <c r="K656">
        <v>0</v>
      </c>
      <c r="L656">
        <v>2184</v>
      </c>
      <c r="M656">
        <v>0</v>
      </c>
      <c r="N656">
        <v>0</v>
      </c>
      <c r="O656">
        <v>30</v>
      </c>
      <c r="P656">
        <v>0</v>
      </c>
      <c r="Q656">
        <v>0</v>
      </c>
      <c r="R656">
        <v>412</v>
      </c>
      <c r="S656">
        <v>219</v>
      </c>
      <c r="T656">
        <v>1304</v>
      </c>
      <c r="U656">
        <v>0</v>
      </c>
      <c r="V656">
        <v>0</v>
      </c>
      <c r="W656">
        <v>117</v>
      </c>
      <c r="X656">
        <f>NHS_AE_2024_2025[[#This Row],[A&amp;E attendances Type 1]]+
NHS_AE_2024_2025[[#This Row],[A&amp;E attendances Type 2]]+
NHS_AE_2024_2025[[#This Row],[A&amp;E attendances Other A&amp;E Department]]</f>
        <v>6355</v>
      </c>
      <c r="Y656">
        <f t="shared" si="20"/>
        <v>2184</v>
      </c>
      <c r="Z656">
        <f t="shared" si="21"/>
        <v>1421</v>
      </c>
    </row>
    <row r="657" spans="1:26" x14ac:dyDescent="0.2">
      <c r="A657" t="s">
        <v>437</v>
      </c>
      <c r="B657" t="s">
        <v>438</v>
      </c>
      <c r="C657" t="s">
        <v>168</v>
      </c>
      <c r="D657" t="s">
        <v>32</v>
      </c>
      <c r="E657" t="s">
        <v>169</v>
      </c>
      <c r="F657">
        <v>11492</v>
      </c>
      <c r="G657">
        <v>0</v>
      </c>
      <c r="H657">
        <v>4772</v>
      </c>
      <c r="I657">
        <v>0</v>
      </c>
      <c r="J657">
        <v>0</v>
      </c>
      <c r="K657">
        <v>0</v>
      </c>
      <c r="L657">
        <v>5476</v>
      </c>
      <c r="M657">
        <v>0</v>
      </c>
      <c r="N657">
        <v>27</v>
      </c>
      <c r="O657">
        <v>0</v>
      </c>
      <c r="P657">
        <v>0</v>
      </c>
      <c r="Q657">
        <v>0</v>
      </c>
      <c r="R657">
        <v>891</v>
      </c>
      <c r="S657">
        <v>669</v>
      </c>
      <c r="T657">
        <v>2289</v>
      </c>
      <c r="U657">
        <v>0</v>
      </c>
      <c r="V657">
        <v>0</v>
      </c>
      <c r="W657">
        <v>843</v>
      </c>
      <c r="X657">
        <f>NHS_AE_2024_2025[[#This Row],[A&amp;E attendances Type 1]]+
NHS_AE_2024_2025[[#This Row],[A&amp;E attendances Type 2]]+
NHS_AE_2024_2025[[#This Row],[A&amp;E attendances Other A&amp;E Department]]</f>
        <v>16264</v>
      </c>
      <c r="Y657">
        <f t="shared" si="20"/>
        <v>5503</v>
      </c>
      <c r="Z657">
        <f t="shared" si="21"/>
        <v>3132</v>
      </c>
    </row>
    <row r="658" spans="1:26" x14ac:dyDescent="0.2">
      <c r="A658" t="s">
        <v>437</v>
      </c>
      <c r="B658" t="s">
        <v>438</v>
      </c>
      <c r="C658" t="s">
        <v>270</v>
      </c>
      <c r="D658" t="s">
        <v>32</v>
      </c>
      <c r="E658" t="s">
        <v>271</v>
      </c>
      <c r="F658">
        <v>10207</v>
      </c>
      <c r="G658">
        <v>1051</v>
      </c>
      <c r="H658">
        <v>7976</v>
      </c>
      <c r="I658">
        <v>423</v>
      </c>
      <c r="J658">
        <v>0</v>
      </c>
      <c r="K658">
        <v>0</v>
      </c>
      <c r="L658">
        <v>4654</v>
      </c>
      <c r="M658">
        <v>149</v>
      </c>
      <c r="N658">
        <v>13</v>
      </c>
      <c r="O658">
        <v>191</v>
      </c>
      <c r="P658">
        <v>0</v>
      </c>
      <c r="Q658">
        <v>0</v>
      </c>
      <c r="R658">
        <v>699</v>
      </c>
      <c r="S658">
        <v>354</v>
      </c>
      <c r="T658">
        <v>2253</v>
      </c>
      <c r="U658">
        <v>0</v>
      </c>
      <c r="V658">
        <v>0</v>
      </c>
      <c r="W658">
        <v>483</v>
      </c>
      <c r="X658">
        <f>NHS_AE_2024_2025[[#This Row],[A&amp;E attendances Type 1]]+
NHS_AE_2024_2025[[#This Row],[A&amp;E attendances Type 2]]+
NHS_AE_2024_2025[[#This Row],[A&amp;E attendances Other A&amp;E Department]]</f>
        <v>19234</v>
      </c>
      <c r="Y658">
        <f t="shared" si="20"/>
        <v>4816</v>
      </c>
      <c r="Z658">
        <f t="shared" si="21"/>
        <v>2736</v>
      </c>
    </row>
    <row r="659" spans="1:26" x14ac:dyDescent="0.2">
      <c r="A659" t="s">
        <v>437</v>
      </c>
      <c r="B659" t="s">
        <v>438</v>
      </c>
      <c r="C659" t="s">
        <v>218</v>
      </c>
      <c r="D659" t="s">
        <v>70</v>
      </c>
      <c r="E659" t="s">
        <v>219</v>
      </c>
      <c r="F659">
        <v>0</v>
      </c>
      <c r="G659">
        <v>0</v>
      </c>
      <c r="H659">
        <v>1019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f>NHS_AE_2024_2025[[#This Row],[A&amp;E attendances Type 1]]+
NHS_AE_2024_2025[[#This Row],[A&amp;E attendances Type 2]]+
NHS_AE_2024_2025[[#This Row],[A&amp;E attendances Other A&amp;E Department]]</f>
        <v>1019</v>
      </c>
      <c r="Y659">
        <f t="shared" si="20"/>
        <v>15</v>
      </c>
      <c r="Z659">
        <f t="shared" si="21"/>
        <v>0</v>
      </c>
    </row>
    <row r="660" spans="1:26" x14ac:dyDescent="0.2">
      <c r="A660" t="s">
        <v>437</v>
      </c>
      <c r="B660" t="s">
        <v>438</v>
      </c>
      <c r="C660" t="s">
        <v>422</v>
      </c>
      <c r="D660" t="s">
        <v>26</v>
      </c>
      <c r="E660" t="s">
        <v>423</v>
      </c>
      <c r="F660">
        <v>0</v>
      </c>
      <c r="G660">
        <v>0</v>
      </c>
      <c r="H660">
        <v>7473</v>
      </c>
      <c r="I660">
        <v>0</v>
      </c>
      <c r="J660">
        <v>0</v>
      </c>
      <c r="K660">
        <v>356</v>
      </c>
      <c r="L660">
        <v>0</v>
      </c>
      <c r="M660">
        <v>0</v>
      </c>
      <c r="N660">
        <v>340</v>
      </c>
      <c r="O660">
        <v>0</v>
      </c>
      <c r="P660">
        <v>0</v>
      </c>
      <c r="Q660">
        <v>45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f>NHS_AE_2024_2025[[#This Row],[A&amp;E attendances Type 1]]+
NHS_AE_2024_2025[[#This Row],[A&amp;E attendances Type 2]]+
NHS_AE_2024_2025[[#This Row],[A&amp;E attendances Other A&amp;E Department]]</f>
        <v>7473</v>
      </c>
      <c r="Y660">
        <f t="shared" si="20"/>
        <v>340</v>
      </c>
      <c r="Z660">
        <f t="shared" si="21"/>
        <v>0</v>
      </c>
    </row>
    <row r="661" spans="1:26" x14ac:dyDescent="0.2">
      <c r="A661" t="s">
        <v>437</v>
      </c>
      <c r="B661" t="s">
        <v>438</v>
      </c>
      <c r="C661" t="s">
        <v>118</v>
      </c>
      <c r="D661" t="s">
        <v>32</v>
      </c>
      <c r="E661" t="s">
        <v>119</v>
      </c>
      <c r="F661">
        <v>0</v>
      </c>
      <c r="G661">
        <v>0</v>
      </c>
      <c r="H661">
        <v>1821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f>NHS_AE_2024_2025[[#This Row],[A&amp;E attendances Type 1]]+
NHS_AE_2024_2025[[#This Row],[A&amp;E attendances Type 2]]+
NHS_AE_2024_2025[[#This Row],[A&amp;E attendances Other A&amp;E Department]]</f>
        <v>1821</v>
      </c>
      <c r="Y661">
        <f t="shared" si="20"/>
        <v>1</v>
      </c>
      <c r="Z661">
        <f t="shared" si="21"/>
        <v>0</v>
      </c>
    </row>
    <row r="662" spans="1:26" x14ac:dyDescent="0.2">
      <c r="A662" t="s">
        <v>437</v>
      </c>
      <c r="B662" t="s">
        <v>438</v>
      </c>
      <c r="C662" t="s">
        <v>146</v>
      </c>
      <c r="D662" t="s">
        <v>32</v>
      </c>
      <c r="E662" t="s">
        <v>147</v>
      </c>
      <c r="F662">
        <v>0</v>
      </c>
      <c r="G662">
        <v>0</v>
      </c>
      <c r="H662">
        <v>5163</v>
      </c>
      <c r="I662">
        <v>0</v>
      </c>
      <c r="J662">
        <v>0</v>
      </c>
      <c r="K662">
        <v>248</v>
      </c>
      <c r="L662">
        <v>0</v>
      </c>
      <c r="M662">
        <v>0</v>
      </c>
      <c r="N662">
        <v>483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f>NHS_AE_2024_2025[[#This Row],[A&amp;E attendances Type 1]]+
NHS_AE_2024_2025[[#This Row],[A&amp;E attendances Type 2]]+
NHS_AE_2024_2025[[#This Row],[A&amp;E attendances Other A&amp;E Department]]</f>
        <v>5163</v>
      </c>
      <c r="Y662">
        <f t="shared" si="20"/>
        <v>483</v>
      </c>
      <c r="Z662">
        <f t="shared" si="21"/>
        <v>0</v>
      </c>
    </row>
    <row r="663" spans="1:26" x14ac:dyDescent="0.2">
      <c r="A663" t="s">
        <v>437</v>
      </c>
      <c r="B663" t="s">
        <v>438</v>
      </c>
      <c r="C663" t="s">
        <v>76</v>
      </c>
      <c r="D663" t="s">
        <v>37</v>
      </c>
      <c r="E663" t="s">
        <v>77</v>
      </c>
      <c r="F663">
        <v>0</v>
      </c>
      <c r="G663">
        <v>0</v>
      </c>
      <c r="H663">
        <v>5036</v>
      </c>
      <c r="I663">
        <v>0</v>
      </c>
      <c r="J663">
        <v>0</v>
      </c>
      <c r="K663">
        <v>217</v>
      </c>
      <c r="L663">
        <v>0</v>
      </c>
      <c r="M663">
        <v>0</v>
      </c>
      <c r="N663">
        <v>115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f>NHS_AE_2024_2025[[#This Row],[A&amp;E attendances Type 1]]+
NHS_AE_2024_2025[[#This Row],[A&amp;E attendances Type 2]]+
NHS_AE_2024_2025[[#This Row],[A&amp;E attendances Other A&amp;E Department]]</f>
        <v>5036</v>
      </c>
      <c r="Y663">
        <f t="shared" si="20"/>
        <v>115</v>
      </c>
      <c r="Z663">
        <f t="shared" si="21"/>
        <v>0</v>
      </c>
    </row>
    <row r="664" spans="1:26" x14ac:dyDescent="0.2">
      <c r="A664" t="s">
        <v>437</v>
      </c>
      <c r="B664" t="s">
        <v>438</v>
      </c>
      <c r="C664" t="s">
        <v>394</v>
      </c>
      <c r="D664" t="s">
        <v>55</v>
      </c>
      <c r="E664" t="s">
        <v>395</v>
      </c>
      <c r="F664">
        <v>22416</v>
      </c>
      <c r="G664">
        <v>2738</v>
      </c>
      <c r="H664">
        <v>10287</v>
      </c>
      <c r="I664">
        <v>3339</v>
      </c>
      <c r="J664">
        <v>465</v>
      </c>
      <c r="K664">
        <v>886</v>
      </c>
      <c r="L664">
        <v>10230</v>
      </c>
      <c r="M664">
        <v>98</v>
      </c>
      <c r="N664">
        <v>498</v>
      </c>
      <c r="O664">
        <v>1303</v>
      </c>
      <c r="P664">
        <v>30</v>
      </c>
      <c r="Q664">
        <v>83</v>
      </c>
      <c r="R664">
        <v>3764</v>
      </c>
      <c r="S664">
        <v>211</v>
      </c>
      <c r="T664">
        <v>5040</v>
      </c>
      <c r="U664">
        <v>135</v>
      </c>
      <c r="V664">
        <v>147</v>
      </c>
      <c r="W664">
        <v>384</v>
      </c>
      <c r="X664">
        <f>NHS_AE_2024_2025[[#This Row],[A&amp;E attendances Type 1]]+
NHS_AE_2024_2025[[#This Row],[A&amp;E attendances Type 2]]+
NHS_AE_2024_2025[[#This Row],[A&amp;E attendances Other A&amp;E Department]]</f>
        <v>35441</v>
      </c>
      <c r="Y664">
        <f t="shared" si="20"/>
        <v>10826</v>
      </c>
      <c r="Z664">
        <f t="shared" si="21"/>
        <v>5706</v>
      </c>
    </row>
    <row r="665" spans="1:26" x14ac:dyDescent="0.2">
      <c r="A665" t="s">
        <v>437</v>
      </c>
      <c r="B665" t="s">
        <v>438</v>
      </c>
      <c r="C665" t="s">
        <v>150</v>
      </c>
      <c r="D665" t="s">
        <v>55</v>
      </c>
      <c r="E665" t="s">
        <v>151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722</v>
      </c>
      <c r="X665">
        <f>NHS_AE_2024_2025[[#This Row],[A&amp;E attendances Type 1]]+
NHS_AE_2024_2025[[#This Row],[A&amp;E attendances Type 2]]+
NHS_AE_2024_2025[[#This Row],[A&amp;E attendances Other A&amp;E Department]]</f>
        <v>0</v>
      </c>
      <c r="Y665">
        <f t="shared" si="20"/>
        <v>0</v>
      </c>
      <c r="Z665">
        <f t="shared" si="21"/>
        <v>722</v>
      </c>
    </row>
    <row r="666" spans="1:26" x14ac:dyDescent="0.2">
      <c r="A666" t="s">
        <v>437</v>
      </c>
      <c r="B666" t="s">
        <v>438</v>
      </c>
      <c r="C666" t="s">
        <v>402</v>
      </c>
      <c r="D666" t="s">
        <v>70</v>
      </c>
      <c r="E666" t="s">
        <v>403</v>
      </c>
      <c r="F666">
        <v>6037</v>
      </c>
      <c r="G666">
        <v>0</v>
      </c>
      <c r="H666">
        <v>1069</v>
      </c>
      <c r="I666">
        <v>0</v>
      </c>
      <c r="J666">
        <v>0</v>
      </c>
      <c r="K666">
        <v>0</v>
      </c>
      <c r="L666">
        <v>2929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270</v>
      </c>
      <c r="S666">
        <v>127</v>
      </c>
      <c r="T666">
        <v>2108</v>
      </c>
      <c r="U666">
        <v>0</v>
      </c>
      <c r="V666">
        <v>0</v>
      </c>
      <c r="W666">
        <v>367</v>
      </c>
      <c r="X666">
        <f>NHS_AE_2024_2025[[#This Row],[A&amp;E attendances Type 1]]+
NHS_AE_2024_2025[[#This Row],[A&amp;E attendances Type 2]]+
NHS_AE_2024_2025[[#This Row],[A&amp;E attendances Other A&amp;E Department]]</f>
        <v>7106</v>
      </c>
      <c r="Y666">
        <f t="shared" si="20"/>
        <v>2929</v>
      </c>
      <c r="Z666">
        <f t="shared" si="21"/>
        <v>2475</v>
      </c>
    </row>
    <row r="667" spans="1:26" x14ac:dyDescent="0.2">
      <c r="A667" t="s">
        <v>437</v>
      </c>
      <c r="B667" t="s">
        <v>438</v>
      </c>
      <c r="C667" t="s">
        <v>196</v>
      </c>
      <c r="D667" t="s">
        <v>37</v>
      </c>
      <c r="E667" t="s">
        <v>197</v>
      </c>
      <c r="F667">
        <v>19788</v>
      </c>
      <c r="G667">
        <v>936</v>
      </c>
      <c r="H667">
        <v>11742</v>
      </c>
      <c r="I667">
        <v>0</v>
      </c>
      <c r="J667">
        <v>0</v>
      </c>
      <c r="K667">
        <v>0</v>
      </c>
      <c r="L667">
        <v>8753</v>
      </c>
      <c r="M667">
        <v>1</v>
      </c>
      <c r="N667">
        <v>297</v>
      </c>
      <c r="O667">
        <v>0</v>
      </c>
      <c r="P667">
        <v>0</v>
      </c>
      <c r="Q667">
        <v>0</v>
      </c>
      <c r="R667">
        <v>1205</v>
      </c>
      <c r="S667">
        <v>472</v>
      </c>
      <c r="T667">
        <v>5632</v>
      </c>
      <c r="U667">
        <v>0</v>
      </c>
      <c r="V667">
        <v>0</v>
      </c>
      <c r="W667">
        <v>100</v>
      </c>
      <c r="X667">
        <f>NHS_AE_2024_2025[[#This Row],[A&amp;E attendances Type 1]]+
NHS_AE_2024_2025[[#This Row],[A&amp;E attendances Type 2]]+
NHS_AE_2024_2025[[#This Row],[A&amp;E attendances Other A&amp;E Department]]</f>
        <v>32466</v>
      </c>
      <c r="Y667">
        <f t="shared" si="20"/>
        <v>9051</v>
      </c>
      <c r="Z667">
        <f t="shared" si="21"/>
        <v>5732</v>
      </c>
    </row>
    <row r="668" spans="1:26" x14ac:dyDescent="0.2">
      <c r="A668" t="s">
        <v>437</v>
      </c>
      <c r="B668" t="s">
        <v>438</v>
      </c>
      <c r="C668" t="s">
        <v>416</v>
      </c>
      <c r="D668" t="s">
        <v>70</v>
      </c>
      <c r="E668" t="s">
        <v>417</v>
      </c>
      <c r="F668">
        <v>6671</v>
      </c>
      <c r="G668">
        <v>0</v>
      </c>
      <c r="H668">
        <v>653</v>
      </c>
      <c r="I668">
        <v>57</v>
      </c>
      <c r="J668">
        <v>0</v>
      </c>
      <c r="K668">
        <v>0</v>
      </c>
      <c r="L668">
        <v>2428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360</v>
      </c>
      <c r="S668">
        <v>489</v>
      </c>
      <c r="T668">
        <v>1557</v>
      </c>
      <c r="U668">
        <v>0</v>
      </c>
      <c r="V668">
        <v>0</v>
      </c>
      <c r="W668">
        <v>334</v>
      </c>
      <c r="X668">
        <f>NHS_AE_2024_2025[[#This Row],[A&amp;E attendances Type 1]]+
NHS_AE_2024_2025[[#This Row],[A&amp;E attendances Type 2]]+
NHS_AE_2024_2025[[#This Row],[A&amp;E attendances Other A&amp;E Department]]</f>
        <v>7324</v>
      </c>
      <c r="Y668">
        <f t="shared" si="20"/>
        <v>2428</v>
      </c>
      <c r="Z668">
        <f t="shared" si="21"/>
        <v>1891</v>
      </c>
    </row>
    <row r="669" spans="1:26" x14ac:dyDescent="0.2">
      <c r="A669" t="s">
        <v>437</v>
      </c>
      <c r="B669" t="s">
        <v>438</v>
      </c>
      <c r="C669" t="s">
        <v>420</v>
      </c>
      <c r="D669" t="s">
        <v>37</v>
      </c>
      <c r="E669" t="s">
        <v>421</v>
      </c>
      <c r="F669">
        <v>9534</v>
      </c>
      <c r="G669">
        <v>850</v>
      </c>
      <c r="H669">
        <v>2565</v>
      </c>
      <c r="I669">
        <v>1545</v>
      </c>
      <c r="J669">
        <v>0</v>
      </c>
      <c r="K669">
        <v>803</v>
      </c>
      <c r="L669">
        <v>4265</v>
      </c>
      <c r="M669">
        <v>9</v>
      </c>
      <c r="N669">
        <v>67</v>
      </c>
      <c r="O669">
        <v>454</v>
      </c>
      <c r="P669">
        <v>0</v>
      </c>
      <c r="Q669">
        <v>13</v>
      </c>
      <c r="R669">
        <v>1127</v>
      </c>
      <c r="S669">
        <v>346</v>
      </c>
      <c r="T669">
        <v>2887</v>
      </c>
      <c r="U669">
        <v>0</v>
      </c>
      <c r="V669">
        <v>0</v>
      </c>
      <c r="W669">
        <v>2536</v>
      </c>
      <c r="X669">
        <f>NHS_AE_2024_2025[[#This Row],[A&amp;E attendances Type 1]]+
NHS_AE_2024_2025[[#This Row],[A&amp;E attendances Type 2]]+
NHS_AE_2024_2025[[#This Row],[A&amp;E attendances Other A&amp;E Department]]</f>
        <v>12949</v>
      </c>
      <c r="Y669">
        <f t="shared" si="20"/>
        <v>4341</v>
      </c>
      <c r="Z669">
        <f t="shared" si="21"/>
        <v>5423</v>
      </c>
    </row>
    <row r="670" spans="1:26" x14ac:dyDescent="0.2">
      <c r="A670" t="s">
        <v>437</v>
      </c>
      <c r="B670" t="s">
        <v>438</v>
      </c>
      <c r="C670" t="s">
        <v>200</v>
      </c>
      <c r="D670" t="s">
        <v>32</v>
      </c>
      <c r="E670" t="s">
        <v>201</v>
      </c>
      <c r="F670">
        <v>12461</v>
      </c>
      <c r="G670">
        <v>478</v>
      </c>
      <c r="H670">
        <v>7582</v>
      </c>
      <c r="I670">
        <v>661</v>
      </c>
      <c r="J670">
        <v>0</v>
      </c>
      <c r="K670">
        <v>676</v>
      </c>
      <c r="L670">
        <v>6989</v>
      </c>
      <c r="M670">
        <v>0</v>
      </c>
      <c r="N670">
        <v>337</v>
      </c>
      <c r="O670">
        <v>344</v>
      </c>
      <c r="P670">
        <v>0</v>
      </c>
      <c r="Q670">
        <v>29</v>
      </c>
      <c r="R670">
        <v>636</v>
      </c>
      <c r="S670">
        <v>1275</v>
      </c>
      <c r="T670">
        <v>4837</v>
      </c>
      <c r="U670">
        <v>0</v>
      </c>
      <c r="V670">
        <v>0</v>
      </c>
      <c r="W670">
        <v>2954</v>
      </c>
      <c r="X670">
        <f>NHS_AE_2024_2025[[#This Row],[A&amp;E attendances Type 1]]+
NHS_AE_2024_2025[[#This Row],[A&amp;E attendances Type 2]]+
NHS_AE_2024_2025[[#This Row],[A&amp;E attendances Other A&amp;E Department]]</f>
        <v>20521</v>
      </c>
      <c r="Y670">
        <f t="shared" si="20"/>
        <v>7326</v>
      </c>
      <c r="Z670">
        <f t="shared" si="21"/>
        <v>7791</v>
      </c>
    </row>
    <row r="671" spans="1:26" x14ac:dyDescent="0.2">
      <c r="A671" t="s">
        <v>437</v>
      </c>
      <c r="B671" t="s">
        <v>438</v>
      </c>
      <c r="C671" t="s">
        <v>112</v>
      </c>
      <c r="D671" t="s">
        <v>55</v>
      </c>
      <c r="E671" t="s">
        <v>113</v>
      </c>
      <c r="F671">
        <v>3848</v>
      </c>
      <c r="G671">
        <v>0</v>
      </c>
      <c r="H671">
        <v>0</v>
      </c>
      <c r="I671">
        <v>64</v>
      </c>
      <c r="J671">
        <v>0</v>
      </c>
      <c r="K671">
        <v>66</v>
      </c>
      <c r="L671">
        <v>1970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172</v>
      </c>
      <c r="S671">
        <v>266</v>
      </c>
      <c r="T671">
        <v>749</v>
      </c>
      <c r="U671">
        <v>0</v>
      </c>
      <c r="V671">
        <v>0</v>
      </c>
      <c r="W671">
        <v>181</v>
      </c>
      <c r="X671">
        <f>NHS_AE_2024_2025[[#This Row],[A&amp;E attendances Type 1]]+
NHS_AE_2024_2025[[#This Row],[A&amp;E attendances Type 2]]+
NHS_AE_2024_2025[[#This Row],[A&amp;E attendances Other A&amp;E Department]]</f>
        <v>3848</v>
      </c>
      <c r="Y671">
        <f t="shared" si="20"/>
        <v>1970</v>
      </c>
      <c r="Z671">
        <f t="shared" si="21"/>
        <v>930</v>
      </c>
    </row>
    <row r="672" spans="1:26" x14ac:dyDescent="0.2">
      <c r="A672" t="s">
        <v>437</v>
      </c>
      <c r="B672" t="s">
        <v>438</v>
      </c>
      <c r="C672" t="s">
        <v>312</v>
      </c>
      <c r="D672" t="s">
        <v>32</v>
      </c>
      <c r="E672" t="s">
        <v>313</v>
      </c>
      <c r="F672">
        <v>10786</v>
      </c>
      <c r="G672">
        <v>1500</v>
      </c>
      <c r="H672">
        <v>5717</v>
      </c>
      <c r="I672">
        <v>0</v>
      </c>
      <c r="J672">
        <v>0</v>
      </c>
      <c r="K672">
        <v>0</v>
      </c>
      <c r="L672">
        <v>5345</v>
      </c>
      <c r="M672">
        <v>119</v>
      </c>
      <c r="N672">
        <v>288</v>
      </c>
      <c r="O672">
        <v>0</v>
      </c>
      <c r="P672">
        <v>0</v>
      </c>
      <c r="Q672">
        <v>0</v>
      </c>
      <c r="R672">
        <v>77</v>
      </c>
      <c r="S672">
        <v>25</v>
      </c>
      <c r="T672">
        <v>1592</v>
      </c>
      <c r="U672">
        <v>42</v>
      </c>
      <c r="V672">
        <v>46</v>
      </c>
      <c r="W672">
        <v>587</v>
      </c>
      <c r="X672">
        <f>NHS_AE_2024_2025[[#This Row],[A&amp;E attendances Type 1]]+
NHS_AE_2024_2025[[#This Row],[A&amp;E attendances Type 2]]+
NHS_AE_2024_2025[[#This Row],[A&amp;E attendances Other A&amp;E Department]]</f>
        <v>18003</v>
      </c>
      <c r="Y672">
        <f t="shared" si="20"/>
        <v>5752</v>
      </c>
      <c r="Z672">
        <f t="shared" si="21"/>
        <v>2267</v>
      </c>
    </row>
    <row r="673" spans="1:26" x14ac:dyDescent="0.2">
      <c r="A673" t="s">
        <v>437</v>
      </c>
      <c r="B673" t="s">
        <v>438</v>
      </c>
      <c r="C673" t="s">
        <v>388</v>
      </c>
      <c r="D673" t="s">
        <v>55</v>
      </c>
      <c r="E673" t="s">
        <v>389</v>
      </c>
      <c r="F673">
        <v>7278</v>
      </c>
      <c r="G673">
        <v>0</v>
      </c>
      <c r="H673">
        <v>3250</v>
      </c>
      <c r="I673">
        <v>96</v>
      </c>
      <c r="J673">
        <v>0</v>
      </c>
      <c r="K673">
        <v>36</v>
      </c>
      <c r="L673">
        <v>3644</v>
      </c>
      <c r="M673">
        <v>0</v>
      </c>
      <c r="N673">
        <v>175</v>
      </c>
      <c r="O673">
        <v>46</v>
      </c>
      <c r="P673">
        <v>0</v>
      </c>
      <c r="Q673">
        <v>3</v>
      </c>
      <c r="R673">
        <v>486</v>
      </c>
      <c r="S673">
        <v>454</v>
      </c>
      <c r="T673">
        <v>2256</v>
      </c>
      <c r="U673">
        <v>0</v>
      </c>
      <c r="V673">
        <v>124</v>
      </c>
      <c r="W673">
        <v>956</v>
      </c>
      <c r="X673">
        <f>NHS_AE_2024_2025[[#This Row],[A&amp;E attendances Type 1]]+
NHS_AE_2024_2025[[#This Row],[A&amp;E attendances Type 2]]+
NHS_AE_2024_2025[[#This Row],[A&amp;E attendances Other A&amp;E Department]]</f>
        <v>10528</v>
      </c>
      <c r="Y673">
        <f t="shared" si="20"/>
        <v>3819</v>
      </c>
      <c r="Z673">
        <f t="shared" si="21"/>
        <v>3336</v>
      </c>
    </row>
    <row r="674" spans="1:26" x14ac:dyDescent="0.2">
      <c r="A674" t="s">
        <v>437</v>
      </c>
      <c r="B674" t="s">
        <v>438</v>
      </c>
      <c r="C674" t="s">
        <v>256</v>
      </c>
      <c r="D674" t="s">
        <v>37</v>
      </c>
      <c r="E674" t="s">
        <v>257</v>
      </c>
      <c r="F674">
        <v>0</v>
      </c>
      <c r="G674">
        <v>0</v>
      </c>
      <c r="H674">
        <v>3103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270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f>NHS_AE_2024_2025[[#This Row],[A&amp;E attendances Type 1]]+
NHS_AE_2024_2025[[#This Row],[A&amp;E attendances Type 2]]+
NHS_AE_2024_2025[[#This Row],[A&amp;E attendances Other A&amp;E Department]]</f>
        <v>3103</v>
      </c>
      <c r="Y674">
        <f t="shared" si="20"/>
        <v>270</v>
      </c>
      <c r="Z674">
        <f t="shared" si="21"/>
        <v>0</v>
      </c>
    </row>
    <row r="675" spans="1:26" x14ac:dyDescent="0.2">
      <c r="A675" t="s">
        <v>437</v>
      </c>
      <c r="B675" t="s">
        <v>438</v>
      </c>
      <c r="C675" t="s">
        <v>86</v>
      </c>
      <c r="D675" t="s">
        <v>37</v>
      </c>
      <c r="E675" t="s">
        <v>87</v>
      </c>
      <c r="F675">
        <v>0</v>
      </c>
      <c r="G675">
        <v>0</v>
      </c>
      <c r="H675">
        <v>1197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6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471</v>
      </c>
      <c r="X675">
        <f>NHS_AE_2024_2025[[#This Row],[A&amp;E attendances Type 1]]+
NHS_AE_2024_2025[[#This Row],[A&amp;E attendances Type 2]]+
NHS_AE_2024_2025[[#This Row],[A&amp;E attendances Other A&amp;E Department]]</f>
        <v>1197</v>
      </c>
      <c r="Y675">
        <f t="shared" si="20"/>
        <v>6</v>
      </c>
      <c r="Z675">
        <f t="shared" si="21"/>
        <v>474</v>
      </c>
    </row>
    <row r="676" spans="1:26" x14ac:dyDescent="0.2">
      <c r="A676" t="s">
        <v>437</v>
      </c>
      <c r="B676" t="s">
        <v>438</v>
      </c>
      <c r="C676" t="s">
        <v>328</v>
      </c>
      <c r="D676" t="s">
        <v>70</v>
      </c>
      <c r="E676" t="s">
        <v>329</v>
      </c>
      <c r="F676">
        <v>7328</v>
      </c>
      <c r="G676">
        <v>0</v>
      </c>
      <c r="H676">
        <v>1913</v>
      </c>
      <c r="I676">
        <v>0</v>
      </c>
      <c r="J676">
        <v>0</v>
      </c>
      <c r="K676">
        <v>670</v>
      </c>
      <c r="L676">
        <v>3762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426</v>
      </c>
      <c r="S676">
        <v>91</v>
      </c>
      <c r="T676">
        <v>1587</v>
      </c>
      <c r="U676">
        <v>0</v>
      </c>
      <c r="V676">
        <v>0</v>
      </c>
      <c r="W676">
        <v>241</v>
      </c>
      <c r="X676">
        <f>NHS_AE_2024_2025[[#This Row],[A&amp;E attendances Type 1]]+
NHS_AE_2024_2025[[#This Row],[A&amp;E attendances Type 2]]+
NHS_AE_2024_2025[[#This Row],[A&amp;E attendances Other A&amp;E Department]]</f>
        <v>9241</v>
      </c>
      <c r="Y676">
        <f t="shared" si="20"/>
        <v>3762</v>
      </c>
      <c r="Z676">
        <f t="shared" si="21"/>
        <v>1828</v>
      </c>
    </row>
    <row r="677" spans="1:26" x14ac:dyDescent="0.2">
      <c r="A677" t="s">
        <v>437</v>
      </c>
      <c r="B677" t="s">
        <v>438</v>
      </c>
      <c r="C677" t="s">
        <v>258</v>
      </c>
      <c r="D677" t="s">
        <v>50</v>
      </c>
      <c r="E677" t="s">
        <v>259</v>
      </c>
      <c r="F677">
        <v>5241</v>
      </c>
      <c r="G677">
        <v>0</v>
      </c>
      <c r="H677">
        <v>3141</v>
      </c>
      <c r="I677">
        <v>23</v>
      </c>
      <c r="J677">
        <v>0</v>
      </c>
      <c r="K677">
        <v>2</v>
      </c>
      <c r="L677">
        <v>2185</v>
      </c>
      <c r="M677">
        <v>0</v>
      </c>
      <c r="N677">
        <v>28</v>
      </c>
      <c r="O677">
        <v>10</v>
      </c>
      <c r="P677">
        <v>0</v>
      </c>
      <c r="Q677">
        <v>0</v>
      </c>
      <c r="R677">
        <v>822</v>
      </c>
      <c r="S677">
        <v>0</v>
      </c>
      <c r="T677">
        <v>1453</v>
      </c>
      <c r="U677">
        <v>0</v>
      </c>
      <c r="V677">
        <v>0</v>
      </c>
      <c r="W677">
        <v>41</v>
      </c>
      <c r="X677">
        <f>NHS_AE_2024_2025[[#This Row],[A&amp;E attendances Type 1]]+
NHS_AE_2024_2025[[#This Row],[A&amp;E attendances Type 2]]+
NHS_AE_2024_2025[[#This Row],[A&amp;E attendances Other A&amp;E Department]]</f>
        <v>8382</v>
      </c>
      <c r="Y677">
        <f t="shared" si="20"/>
        <v>2213</v>
      </c>
      <c r="Z677">
        <f t="shared" si="21"/>
        <v>1494</v>
      </c>
    </row>
    <row r="678" spans="1:26" x14ac:dyDescent="0.2">
      <c r="A678" t="s">
        <v>437</v>
      </c>
      <c r="B678" t="s">
        <v>438</v>
      </c>
      <c r="C678" t="s">
        <v>116</v>
      </c>
      <c r="D678" t="s">
        <v>55</v>
      </c>
      <c r="E678" t="s">
        <v>117</v>
      </c>
      <c r="F678">
        <v>0</v>
      </c>
      <c r="G678">
        <v>0</v>
      </c>
      <c r="H678">
        <v>13023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273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42</v>
      </c>
      <c r="X678">
        <f>NHS_AE_2024_2025[[#This Row],[A&amp;E attendances Type 1]]+
NHS_AE_2024_2025[[#This Row],[A&amp;E attendances Type 2]]+
NHS_AE_2024_2025[[#This Row],[A&amp;E attendances Other A&amp;E Department]]</f>
        <v>13023</v>
      </c>
      <c r="Y678">
        <f t="shared" si="20"/>
        <v>273</v>
      </c>
      <c r="Z678">
        <f t="shared" si="21"/>
        <v>42</v>
      </c>
    </row>
    <row r="679" spans="1:26" x14ac:dyDescent="0.2">
      <c r="A679" t="s">
        <v>437</v>
      </c>
      <c r="B679" t="s">
        <v>438</v>
      </c>
      <c r="C679" t="s">
        <v>182</v>
      </c>
      <c r="D679" t="s">
        <v>29</v>
      </c>
      <c r="E679" t="s">
        <v>183</v>
      </c>
      <c r="F679">
        <v>0</v>
      </c>
      <c r="G679">
        <v>0</v>
      </c>
      <c r="H679">
        <v>11296</v>
      </c>
      <c r="I679">
        <v>0</v>
      </c>
      <c r="J679">
        <v>0</v>
      </c>
      <c r="K679">
        <v>393</v>
      </c>
      <c r="L679">
        <v>0</v>
      </c>
      <c r="M679">
        <v>0</v>
      </c>
      <c r="N679">
        <v>257</v>
      </c>
      <c r="O679">
        <v>0</v>
      </c>
      <c r="P679">
        <v>0</v>
      </c>
      <c r="Q679">
        <v>7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f>NHS_AE_2024_2025[[#This Row],[A&amp;E attendances Type 1]]+
NHS_AE_2024_2025[[#This Row],[A&amp;E attendances Type 2]]+
NHS_AE_2024_2025[[#This Row],[A&amp;E attendances Other A&amp;E Department]]</f>
        <v>11296</v>
      </c>
      <c r="Y679">
        <f t="shared" si="20"/>
        <v>257</v>
      </c>
      <c r="Z679">
        <f t="shared" si="21"/>
        <v>0</v>
      </c>
    </row>
    <row r="680" spans="1:26" x14ac:dyDescent="0.2">
      <c r="A680" t="s">
        <v>437</v>
      </c>
      <c r="B680" t="s">
        <v>438</v>
      </c>
      <c r="C680" t="s">
        <v>280</v>
      </c>
      <c r="D680" t="s">
        <v>50</v>
      </c>
      <c r="E680" t="s">
        <v>281</v>
      </c>
      <c r="F680">
        <v>0</v>
      </c>
      <c r="G680">
        <v>0</v>
      </c>
      <c r="H680">
        <v>3281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403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f>NHS_AE_2024_2025[[#This Row],[A&amp;E attendances Type 1]]+
NHS_AE_2024_2025[[#This Row],[A&amp;E attendances Type 2]]+
NHS_AE_2024_2025[[#This Row],[A&amp;E attendances Other A&amp;E Department]]</f>
        <v>3281</v>
      </c>
      <c r="Y680">
        <f t="shared" si="20"/>
        <v>403</v>
      </c>
      <c r="Z680">
        <f t="shared" si="21"/>
        <v>0</v>
      </c>
    </row>
    <row r="681" spans="1:26" x14ac:dyDescent="0.2">
      <c r="A681" t="s">
        <v>437</v>
      </c>
      <c r="B681" t="s">
        <v>438</v>
      </c>
      <c r="C681" t="s">
        <v>429</v>
      </c>
      <c r="D681" t="s">
        <v>50</v>
      </c>
      <c r="E681" t="s">
        <v>430</v>
      </c>
      <c r="F681">
        <v>0</v>
      </c>
      <c r="G681">
        <v>0</v>
      </c>
      <c r="H681">
        <v>1248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18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f>NHS_AE_2024_2025[[#This Row],[A&amp;E attendances Type 1]]+
NHS_AE_2024_2025[[#This Row],[A&amp;E attendances Type 2]]+
NHS_AE_2024_2025[[#This Row],[A&amp;E attendances Other A&amp;E Department]]</f>
        <v>1248</v>
      </c>
      <c r="Y681">
        <f t="shared" si="20"/>
        <v>18</v>
      </c>
      <c r="Z681">
        <f t="shared" si="21"/>
        <v>0</v>
      </c>
    </row>
    <row r="682" spans="1:26" x14ac:dyDescent="0.2">
      <c r="A682" t="s">
        <v>437</v>
      </c>
      <c r="B682" t="s">
        <v>438</v>
      </c>
      <c r="C682" t="s">
        <v>282</v>
      </c>
      <c r="D682" t="s">
        <v>50</v>
      </c>
      <c r="E682" t="s">
        <v>283</v>
      </c>
      <c r="F682">
        <v>0</v>
      </c>
      <c r="G682">
        <v>0</v>
      </c>
      <c r="H682">
        <v>2515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221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f>NHS_AE_2024_2025[[#This Row],[A&amp;E attendances Type 1]]+
NHS_AE_2024_2025[[#This Row],[A&amp;E attendances Type 2]]+
NHS_AE_2024_2025[[#This Row],[A&amp;E attendances Other A&amp;E Department]]</f>
        <v>2515</v>
      </c>
      <c r="Y682">
        <f t="shared" si="20"/>
        <v>221</v>
      </c>
      <c r="Z682">
        <f t="shared" si="21"/>
        <v>0</v>
      </c>
    </row>
    <row r="683" spans="1:26" x14ac:dyDescent="0.2">
      <c r="A683" t="s">
        <v>437</v>
      </c>
      <c r="B683" t="s">
        <v>438</v>
      </c>
      <c r="C683" t="s">
        <v>284</v>
      </c>
      <c r="D683" t="s">
        <v>50</v>
      </c>
      <c r="E683" t="s">
        <v>285</v>
      </c>
      <c r="F683">
        <v>0</v>
      </c>
      <c r="G683">
        <v>0</v>
      </c>
      <c r="H683">
        <v>1361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f>NHS_AE_2024_2025[[#This Row],[A&amp;E attendances Type 1]]+
NHS_AE_2024_2025[[#This Row],[A&amp;E attendances Type 2]]+
NHS_AE_2024_2025[[#This Row],[A&amp;E attendances Other A&amp;E Department]]</f>
        <v>1361</v>
      </c>
      <c r="Y683">
        <f t="shared" si="20"/>
        <v>10</v>
      </c>
      <c r="Z683">
        <f t="shared" si="21"/>
        <v>0</v>
      </c>
    </row>
    <row r="684" spans="1:26" x14ac:dyDescent="0.2">
      <c r="A684" t="s">
        <v>437</v>
      </c>
      <c r="B684" t="s">
        <v>438</v>
      </c>
      <c r="C684" t="s">
        <v>136</v>
      </c>
      <c r="D684" t="s">
        <v>32</v>
      </c>
      <c r="E684" t="s">
        <v>137</v>
      </c>
      <c r="F684">
        <v>0</v>
      </c>
      <c r="G684">
        <v>0</v>
      </c>
      <c r="H684">
        <v>5062</v>
      </c>
      <c r="I684">
        <v>0</v>
      </c>
      <c r="J684">
        <v>0</v>
      </c>
      <c r="K684">
        <v>2228</v>
      </c>
      <c r="L684">
        <v>0</v>
      </c>
      <c r="M684">
        <v>0</v>
      </c>
      <c r="N684">
        <v>29</v>
      </c>
      <c r="O684">
        <v>0</v>
      </c>
      <c r="P684">
        <v>0</v>
      </c>
      <c r="Q684">
        <v>3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f>NHS_AE_2024_2025[[#This Row],[A&amp;E attendances Type 1]]+
NHS_AE_2024_2025[[#This Row],[A&amp;E attendances Type 2]]+
NHS_AE_2024_2025[[#This Row],[A&amp;E attendances Other A&amp;E Department]]</f>
        <v>5062</v>
      </c>
      <c r="Y684">
        <f t="shared" si="20"/>
        <v>29</v>
      </c>
      <c r="Z684">
        <f t="shared" si="21"/>
        <v>0</v>
      </c>
    </row>
    <row r="685" spans="1:26" x14ac:dyDescent="0.2">
      <c r="A685" t="s">
        <v>437</v>
      </c>
      <c r="B685" t="s">
        <v>438</v>
      </c>
      <c r="C685" t="s">
        <v>138</v>
      </c>
      <c r="D685" t="s">
        <v>32</v>
      </c>
      <c r="E685" t="s">
        <v>139</v>
      </c>
      <c r="F685">
        <v>0</v>
      </c>
      <c r="G685">
        <v>0</v>
      </c>
      <c r="H685">
        <v>156</v>
      </c>
      <c r="I685">
        <v>0</v>
      </c>
      <c r="J685">
        <v>0</v>
      </c>
      <c r="K685">
        <v>1986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f>NHS_AE_2024_2025[[#This Row],[A&amp;E attendances Type 1]]+
NHS_AE_2024_2025[[#This Row],[A&amp;E attendances Type 2]]+
NHS_AE_2024_2025[[#This Row],[A&amp;E attendances Other A&amp;E Department]]</f>
        <v>156</v>
      </c>
      <c r="Y685">
        <f t="shared" si="20"/>
        <v>0</v>
      </c>
      <c r="Z685">
        <f t="shared" si="21"/>
        <v>0</v>
      </c>
    </row>
    <row r="686" spans="1:26" x14ac:dyDescent="0.2">
      <c r="A686" t="s">
        <v>437</v>
      </c>
      <c r="B686" t="s">
        <v>438</v>
      </c>
      <c r="C686" t="s">
        <v>140</v>
      </c>
      <c r="D686" t="s">
        <v>32</v>
      </c>
      <c r="E686" t="s">
        <v>141</v>
      </c>
      <c r="F686">
        <v>0</v>
      </c>
      <c r="G686">
        <v>0</v>
      </c>
      <c r="H686">
        <v>106</v>
      </c>
      <c r="I686">
        <v>0</v>
      </c>
      <c r="J686">
        <v>0</v>
      </c>
      <c r="K686">
        <v>472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f>NHS_AE_2024_2025[[#This Row],[A&amp;E attendances Type 1]]+
NHS_AE_2024_2025[[#This Row],[A&amp;E attendances Type 2]]+
NHS_AE_2024_2025[[#This Row],[A&amp;E attendances Other A&amp;E Department]]</f>
        <v>106</v>
      </c>
      <c r="Y686">
        <f t="shared" si="20"/>
        <v>0</v>
      </c>
      <c r="Z686">
        <f t="shared" si="21"/>
        <v>0</v>
      </c>
    </row>
    <row r="687" spans="1:26" x14ac:dyDescent="0.2">
      <c r="A687" t="s">
        <v>437</v>
      </c>
      <c r="B687" t="s">
        <v>438</v>
      </c>
      <c r="C687" t="s">
        <v>142</v>
      </c>
      <c r="D687" t="s">
        <v>32</v>
      </c>
      <c r="E687" t="s">
        <v>143</v>
      </c>
      <c r="F687">
        <v>0</v>
      </c>
      <c r="G687">
        <v>0</v>
      </c>
      <c r="H687">
        <v>52</v>
      </c>
      <c r="I687">
        <v>0</v>
      </c>
      <c r="J687">
        <v>0</v>
      </c>
      <c r="K687">
        <v>407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f>NHS_AE_2024_2025[[#This Row],[A&amp;E attendances Type 1]]+
NHS_AE_2024_2025[[#This Row],[A&amp;E attendances Type 2]]+
NHS_AE_2024_2025[[#This Row],[A&amp;E attendances Other A&amp;E Department]]</f>
        <v>52</v>
      </c>
      <c r="Y687">
        <f t="shared" si="20"/>
        <v>0</v>
      </c>
      <c r="Z687">
        <f t="shared" si="21"/>
        <v>0</v>
      </c>
    </row>
    <row r="688" spans="1:26" x14ac:dyDescent="0.2">
      <c r="A688" t="s">
        <v>437</v>
      </c>
      <c r="B688" t="s">
        <v>438</v>
      </c>
      <c r="C688" t="s">
        <v>414</v>
      </c>
      <c r="D688" t="s">
        <v>32</v>
      </c>
      <c r="E688" t="s">
        <v>415</v>
      </c>
      <c r="F688">
        <v>0</v>
      </c>
      <c r="G688">
        <v>0</v>
      </c>
      <c r="H688">
        <v>430</v>
      </c>
      <c r="I688">
        <v>0</v>
      </c>
      <c r="J688">
        <v>0</v>
      </c>
      <c r="K688">
        <v>3022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f>NHS_AE_2024_2025[[#This Row],[A&amp;E attendances Type 1]]+
NHS_AE_2024_2025[[#This Row],[A&amp;E attendances Type 2]]+
NHS_AE_2024_2025[[#This Row],[A&amp;E attendances Other A&amp;E Department]]</f>
        <v>430</v>
      </c>
      <c r="Y688">
        <f t="shared" si="20"/>
        <v>1</v>
      </c>
      <c r="Z688">
        <f t="shared" si="21"/>
        <v>0</v>
      </c>
    </row>
    <row r="689" spans="1:26" x14ac:dyDescent="0.2">
      <c r="A689" t="s">
        <v>437</v>
      </c>
      <c r="B689" t="s">
        <v>438</v>
      </c>
      <c r="C689" t="s">
        <v>144</v>
      </c>
      <c r="D689" t="s">
        <v>32</v>
      </c>
      <c r="E689" t="s">
        <v>145</v>
      </c>
      <c r="F689">
        <v>0</v>
      </c>
      <c r="G689">
        <v>0</v>
      </c>
      <c r="H689">
        <v>64</v>
      </c>
      <c r="I689">
        <v>0</v>
      </c>
      <c r="J689">
        <v>0</v>
      </c>
      <c r="K689">
        <v>349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f>NHS_AE_2024_2025[[#This Row],[A&amp;E attendances Type 1]]+
NHS_AE_2024_2025[[#This Row],[A&amp;E attendances Type 2]]+
NHS_AE_2024_2025[[#This Row],[A&amp;E attendances Other A&amp;E Department]]</f>
        <v>64</v>
      </c>
      <c r="Y689">
        <f t="shared" si="20"/>
        <v>0</v>
      </c>
      <c r="Z689">
        <f t="shared" si="21"/>
        <v>0</v>
      </c>
    </row>
    <row r="690" spans="1:26" x14ac:dyDescent="0.2">
      <c r="A690" t="s">
        <v>437</v>
      </c>
      <c r="B690" t="s">
        <v>438</v>
      </c>
      <c r="C690" t="s">
        <v>184</v>
      </c>
      <c r="D690" t="s">
        <v>55</v>
      </c>
      <c r="E690" t="s">
        <v>185</v>
      </c>
      <c r="F690">
        <v>0</v>
      </c>
      <c r="G690">
        <v>0</v>
      </c>
      <c r="H690">
        <v>866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f>NHS_AE_2024_2025[[#This Row],[A&amp;E attendances Type 1]]+
NHS_AE_2024_2025[[#This Row],[A&amp;E attendances Type 2]]+
NHS_AE_2024_2025[[#This Row],[A&amp;E attendances Other A&amp;E Department]]</f>
        <v>866</v>
      </c>
      <c r="Y690">
        <f t="shared" si="20"/>
        <v>1</v>
      </c>
      <c r="Z690">
        <f t="shared" si="21"/>
        <v>0</v>
      </c>
    </row>
    <row r="691" spans="1:26" x14ac:dyDescent="0.2">
      <c r="A691" t="s">
        <v>437</v>
      </c>
      <c r="B691" t="s">
        <v>438</v>
      </c>
      <c r="C691" t="s">
        <v>226</v>
      </c>
      <c r="D691" t="s">
        <v>37</v>
      </c>
      <c r="E691" t="s">
        <v>227</v>
      </c>
      <c r="F691">
        <v>6118</v>
      </c>
      <c r="G691">
        <v>0</v>
      </c>
      <c r="H691">
        <v>1243</v>
      </c>
      <c r="I691">
        <v>787</v>
      </c>
      <c r="J691">
        <v>0</v>
      </c>
      <c r="K691">
        <v>19</v>
      </c>
      <c r="L691">
        <v>1866</v>
      </c>
      <c r="M691">
        <v>0</v>
      </c>
      <c r="N691">
        <v>0</v>
      </c>
      <c r="O691">
        <v>171</v>
      </c>
      <c r="P691">
        <v>0</v>
      </c>
      <c r="Q691">
        <v>0</v>
      </c>
      <c r="R691">
        <v>312</v>
      </c>
      <c r="S691">
        <v>1</v>
      </c>
      <c r="T691">
        <v>2342</v>
      </c>
      <c r="U691">
        <v>0</v>
      </c>
      <c r="V691">
        <v>0</v>
      </c>
      <c r="W691">
        <v>1039</v>
      </c>
      <c r="X691">
        <f>NHS_AE_2024_2025[[#This Row],[A&amp;E attendances Type 1]]+
NHS_AE_2024_2025[[#This Row],[A&amp;E attendances Type 2]]+
NHS_AE_2024_2025[[#This Row],[A&amp;E attendances Other A&amp;E Department]]</f>
        <v>7361</v>
      </c>
      <c r="Y691">
        <f t="shared" si="20"/>
        <v>1866</v>
      </c>
      <c r="Z691">
        <f t="shared" si="21"/>
        <v>3381</v>
      </c>
    </row>
    <row r="692" spans="1:26" x14ac:dyDescent="0.2">
      <c r="A692" t="s">
        <v>437</v>
      </c>
      <c r="B692" t="s">
        <v>438</v>
      </c>
      <c r="C692" t="s">
        <v>439</v>
      </c>
      <c r="D692" t="s">
        <v>29</v>
      </c>
      <c r="E692" t="s">
        <v>440</v>
      </c>
      <c r="F692">
        <v>0</v>
      </c>
      <c r="G692">
        <v>0</v>
      </c>
      <c r="H692">
        <v>1349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37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f>NHS_AE_2024_2025[[#This Row],[A&amp;E attendances Type 1]]+
NHS_AE_2024_2025[[#This Row],[A&amp;E attendances Type 2]]+
NHS_AE_2024_2025[[#This Row],[A&amp;E attendances Other A&amp;E Department]]</f>
        <v>1349</v>
      </c>
      <c r="Y692">
        <f t="shared" si="20"/>
        <v>37</v>
      </c>
      <c r="Z692">
        <f t="shared" si="21"/>
        <v>0</v>
      </c>
    </row>
    <row r="693" spans="1:26" x14ac:dyDescent="0.2">
      <c r="A693" t="s">
        <v>437</v>
      </c>
      <c r="B693" t="s">
        <v>438</v>
      </c>
      <c r="C693" t="s">
        <v>242</v>
      </c>
      <c r="D693" t="s">
        <v>70</v>
      </c>
      <c r="E693" t="s">
        <v>243</v>
      </c>
      <c r="F693">
        <v>7528</v>
      </c>
      <c r="G693">
        <v>0</v>
      </c>
      <c r="H693">
        <v>4659</v>
      </c>
      <c r="I693">
        <v>545</v>
      </c>
      <c r="J693">
        <v>0</v>
      </c>
      <c r="K693">
        <v>146</v>
      </c>
      <c r="L693">
        <v>2948</v>
      </c>
      <c r="M693">
        <v>0</v>
      </c>
      <c r="N693">
        <v>256</v>
      </c>
      <c r="O693">
        <v>211</v>
      </c>
      <c r="P693">
        <v>0</v>
      </c>
      <c r="Q693">
        <v>0</v>
      </c>
      <c r="R693">
        <v>735</v>
      </c>
      <c r="S693">
        <v>0</v>
      </c>
      <c r="T693">
        <v>2153</v>
      </c>
      <c r="U693">
        <v>0</v>
      </c>
      <c r="V693">
        <v>0</v>
      </c>
      <c r="W693">
        <v>426</v>
      </c>
      <c r="X693">
        <f>NHS_AE_2024_2025[[#This Row],[A&amp;E attendances Type 1]]+
NHS_AE_2024_2025[[#This Row],[A&amp;E attendances Type 2]]+
NHS_AE_2024_2025[[#This Row],[A&amp;E attendances Other A&amp;E Department]]</f>
        <v>12187</v>
      </c>
      <c r="Y693">
        <f t="shared" si="20"/>
        <v>3204</v>
      </c>
      <c r="Z693">
        <f t="shared" si="21"/>
        <v>2579</v>
      </c>
    </row>
    <row r="694" spans="1:26" x14ac:dyDescent="0.2">
      <c r="A694" t="s">
        <v>437</v>
      </c>
      <c r="B694" t="s">
        <v>438</v>
      </c>
      <c r="C694" t="s">
        <v>366</v>
      </c>
      <c r="D694" t="s">
        <v>29</v>
      </c>
      <c r="E694" t="s">
        <v>367</v>
      </c>
      <c r="F694">
        <v>12433</v>
      </c>
      <c r="G694">
        <v>2272</v>
      </c>
      <c r="H694">
        <v>13441</v>
      </c>
      <c r="I694">
        <v>0</v>
      </c>
      <c r="J694">
        <v>0</v>
      </c>
      <c r="K694">
        <v>0</v>
      </c>
      <c r="L694">
        <v>6017</v>
      </c>
      <c r="M694">
        <v>366</v>
      </c>
      <c r="N694">
        <v>143</v>
      </c>
      <c r="O694">
        <v>0</v>
      </c>
      <c r="P694">
        <v>0</v>
      </c>
      <c r="Q694">
        <v>0</v>
      </c>
      <c r="R694">
        <v>615</v>
      </c>
      <c r="S694">
        <v>816</v>
      </c>
      <c r="T694">
        <v>7312</v>
      </c>
      <c r="U694">
        <v>0</v>
      </c>
      <c r="V694">
        <v>0</v>
      </c>
      <c r="W694">
        <v>437</v>
      </c>
      <c r="X694">
        <f>NHS_AE_2024_2025[[#This Row],[A&amp;E attendances Type 1]]+
NHS_AE_2024_2025[[#This Row],[A&amp;E attendances Type 2]]+
NHS_AE_2024_2025[[#This Row],[A&amp;E attendances Other A&amp;E Department]]</f>
        <v>28146</v>
      </c>
      <c r="Y694">
        <f t="shared" si="20"/>
        <v>6526</v>
      </c>
      <c r="Z694">
        <f t="shared" si="21"/>
        <v>7749</v>
      </c>
    </row>
    <row r="695" spans="1:26" x14ac:dyDescent="0.2">
      <c r="A695" t="s">
        <v>437</v>
      </c>
      <c r="B695" t="s">
        <v>438</v>
      </c>
      <c r="C695" t="s">
        <v>244</v>
      </c>
      <c r="D695" t="s">
        <v>70</v>
      </c>
      <c r="E695" t="s">
        <v>245</v>
      </c>
      <c r="F695">
        <v>13225</v>
      </c>
      <c r="G695">
        <v>0</v>
      </c>
      <c r="H695">
        <v>3915</v>
      </c>
      <c r="I695">
        <v>306</v>
      </c>
      <c r="J695">
        <v>0</v>
      </c>
      <c r="K695">
        <v>461</v>
      </c>
      <c r="L695">
        <v>5764</v>
      </c>
      <c r="M695">
        <v>0</v>
      </c>
      <c r="N695">
        <v>159</v>
      </c>
      <c r="O695">
        <v>85</v>
      </c>
      <c r="P695">
        <v>0</v>
      </c>
      <c r="Q695">
        <v>13</v>
      </c>
      <c r="R695">
        <v>389</v>
      </c>
      <c r="S695">
        <v>792</v>
      </c>
      <c r="T695">
        <v>3302</v>
      </c>
      <c r="U695">
        <v>0</v>
      </c>
      <c r="V695">
        <v>37</v>
      </c>
      <c r="W695">
        <v>1499</v>
      </c>
      <c r="X695">
        <f>NHS_AE_2024_2025[[#This Row],[A&amp;E attendances Type 1]]+
NHS_AE_2024_2025[[#This Row],[A&amp;E attendances Type 2]]+
NHS_AE_2024_2025[[#This Row],[A&amp;E attendances Other A&amp;E Department]]</f>
        <v>17140</v>
      </c>
      <c r="Y695">
        <f t="shared" si="20"/>
        <v>5923</v>
      </c>
      <c r="Z695">
        <f t="shared" si="21"/>
        <v>4838</v>
      </c>
    </row>
    <row r="696" spans="1:26" x14ac:dyDescent="0.2">
      <c r="A696" t="s">
        <v>437</v>
      </c>
      <c r="B696" t="s">
        <v>438</v>
      </c>
      <c r="C696" t="s">
        <v>404</v>
      </c>
      <c r="D696" t="s">
        <v>26</v>
      </c>
      <c r="E696" t="s">
        <v>405</v>
      </c>
      <c r="F696">
        <v>10851</v>
      </c>
      <c r="G696">
        <v>0</v>
      </c>
      <c r="H696">
        <v>3918</v>
      </c>
      <c r="I696">
        <v>1168</v>
      </c>
      <c r="J696">
        <v>0</v>
      </c>
      <c r="K696">
        <v>51</v>
      </c>
      <c r="L696">
        <v>4790</v>
      </c>
      <c r="M696">
        <v>0</v>
      </c>
      <c r="N696">
        <v>16</v>
      </c>
      <c r="O696">
        <v>477</v>
      </c>
      <c r="P696">
        <v>0</v>
      </c>
      <c r="Q696">
        <v>1</v>
      </c>
      <c r="R696">
        <v>1386</v>
      </c>
      <c r="S696">
        <v>79</v>
      </c>
      <c r="T696">
        <v>3104</v>
      </c>
      <c r="U696">
        <v>0</v>
      </c>
      <c r="V696">
        <v>0</v>
      </c>
      <c r="W696">
        <v>1787</v>
      </c>
      <c r="X696">
        <f>NHS_AE_2024_2025[[#This Row],[A&amp;E attendances Type 1]]+
NHS_AE_2024_2025[[#This Row],[A&amp;E attendances Type 2]]+
NHS_AE_2024_2025[[#This Row],[A&amp;E attendances Other A&amp;E Department]]</f>
        <v>14769</v>
      </c>
      <c r="Y696">
        <f t="shared" si="20"/>
        <v>4806</v>
      </c>
      <c r="Z696">
        <f t="shared" si="21"/>
        <v>4891</v>
      </c>
    </row>
    <row r="697" spans="1:26" x14ac:dyDescent="0.2">
      <c r="A697" t="s">
        <v>437</v>
      </c>
      <c r="B697" t="s">
        <v>438</v>
      </c>
      <c r="C697" t="s">
        <v>372</v>
      </c>
      <c r="D697" t="s">
        <v>29</v>
      </c>
      <c r="E697" t="s">
        <v>373</v>
      </c>
      <c r="F697">
        <v>8215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2725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215</v>
      </c>
      <c r="S697">
        <v>324</v>
      </c>
      <c r="T697">
        <v>1055</v>
      </c>
      <c r="U697">
        <v>0</v>
      </c>
      <c r="V697">
        <v>0</v>
      </c>
      <c r="W697">
        <v>39</v>
      </c>
      <c r="X697">
        <f>NHS_AE_2024_2025[[#This Row],[A&amp;E attendances Type 1]]+
NHS_AE_2024_2025[[#This Row],[A&amp;E attendances Type 2]]+
NHS_AE_2024_2025[[#This Row],[A&amp;E attendances Other A&amp;E Department]]</f>
        <v>8215</v>
      </c>
      <c r="Y697">
        <f t="shared" si="20"/>
        <v>2725</v>
      </c>
      <c r="Z697">
        <f t="shared" si="21"/>
        <v>1094</v>
      </c>
    </row>
    <row r="698" spans="1:26" x14ac:dyDescent="0.2">
      <c r="A698" t="s">
        <v>437</v>
      </c>
      <c r="B698" t="s">
        <v>438</v>
      </c>
      <c r="C698" t="s">
        <v>202</v>
      </c>
      <c r="D698" t="s">
        <v>32</v>
      </c>
      <c r="E698" t="s">
        <v>203</v>
      </c>
      <c r="F698">
        <v>11286</v>
      </c>
      <c r="G698">
        <v>0</v>
      </c>
      <c r="H698">
        <v>7671</v>
      </c>
      <c r="I698">
        <v>78</v>
      </c>
      <c r="J698">
        <v>0</v>
      </c>
      <c r="K698">
        <v>743</v>
      </c>
      <c r="L698">
        <v>3416</v>
      </c>
      <c r="M698">
        <v>0</v>
      </c>
      <c r="N698">
        <v>144</v>
      </c>
      <c r="O698">
        <v>15</v>
      </c>
      <c r="P698">
        <v>0</v>
      </c>
      <c r="Q698">
        <v>2</v>
      </c>
      <c r="R698">
        <v>733</v>
      </c>
      <c r="S698">
        <v>567</v>
      </c>
      <c r="T698">
        <v>5182</v>
      </c>
      <c r="U698">
        <v>0</v>
      </c>
      <c r="V698">
        <v>0</v>
      </c>
      <c r="W698">
        <v>930</v>
      </c>
      <c r="X698">
        <f>NHS_AE_2024_2025[[#This Row],[A&amp;E attendances Type 1]]+
NHS_AE_2024_2025[[#This Row],[A&amp;E attendances Type 2]]+
NHS_AE_2024_2025[[#This Row],[A&amp;E attendances Other A&amp;E Department]]</f>
        <v>18957</v>
      </c>
      <c r="Y698">
        <f t="shared" si="20"/>
        <v>3560</v>
      </c>
      <c r="Z698">
        <f t="shared" si="21"/>
        <v>6112</v>
      </c>
    </row>
    <row r="699" spans="1:26" x14ac:dyDescent="0.2">
      <c r="A699" t="s">
        <v>437</v>
      </c>
      <c r="B699" t="s">
        <v>438</v>
      </c>
      <c r="C699" t="s">
        <v>158</v>
      </c>
      <c r="D699" t="s">
        <v>32</v>
      </c>
      <c r="E699" t="s">
        <v>159</v>
      </c>
      <c r="F699">
        <v>8415</v>
      </c>
      <c r="G699">
        <v>0</v>
      </c>
      <c r="H699">
        <v>4049</v>
      </c>
      <c r="I699">
        <v>0</v>
      </c>
      <c r="J699">
        <v>0</v>
      </c>
      <c r="K699">
        <v>664</v>
      </c>
      <c r="L699">
        <v>2555</v>
      </c>
      <c r="M699">
        <v>0</v>
      </c>
      <c r="N699">
        <v>239</v>
      </c>
      <c r="O699">
        <v>0</v>
      </c>
      <c r="P699">
        <v>0</v>
      </c>
      <c r="Q699">
        <v>0</v>
      </c>
      <c r="R699">
        <v>1928</v>
      </c>
      <c r="S699">
        <v>28</v>
      </c>
      <c r="T699">
        <v>3464</v>
      </c>
      <c r="U699">
        <v>0</v>
      </c>
      <c r="V699">
        <v>0</v>
      </c>
      <c r="W699">
        <v>2258</v>
      </c>
      <c r="X699">
        <f>NHS_AE_2024_2025[[#This Row],[A&amp;E attendances Type 1]]+
NHS_AE_2024_2025[[#This Row],[A&amp;E attendances Type 2]]+
NHS_AE_2024_2025[[#This Row],[A&amp;E attendances Other A&amp;E Department]]</f>
        <v>12464</v>
      </c>
      <c r="Y699">
        <f t="shared" si="20"/>
        <v>2794</v>
      </c>
      <c r="Z699">
        <f t="shared" si="21"/>
        <v>5722</v>
      </c>
    </row>
    <row r="700" spans="1:26" x14ac:dyDescent="0.2">
      <c r="A700" t="s">
        <v>437</v>
      </c>
      <c r="B700" t="s">
        <v>438</v>
      </c>
      <c r="C700" t="s">
        <v>326</v>
      </c>
      <c r="D700" t="s">
        <v>29</v>
      </c>
      <c r="E700" t="s">
        <v>327</v>
      </c>
      <c r="F700">
        <v>17620</v>
      </c>
      <c r="G700">
        <v>0</v>
      </c>
      <c r="H700">
        <v>5691</v>
      </c>
      <c r="I700">
        <v>611</v>
      </c>
      <c r="J700">
        <v>0</v>
      </c>
      <c r="K700">
        <v>0</v>
      </c>
      <c r="L700">
        <v>6091</v>
      </c>
      <c r="M700">
        <v>0</v>
      </c>
      <c r="N700">
        <v>103</v>
      </c>
      <c r="O700">
        <v>0</v>
      </c>
      <c r="P700">
        <v>0</v>
      </c>
      <c r="Q700">
        <v>0</v>
      </c>
      <c r="R700">
        <v>1226</v>
      </c>
      <c r="S700">
        <v>43</v>
      </c>
      <c r="T700">
        <v>2563</v>
      </c>
      <c r="U700">
        <v>0</v>
      </c>
      <c r="V700">
        <v>0</v>
      </c>
      <c r="W700">
        <v>353</v>
      </c>
      <c r="X700">
        <f>NHS_AE_2024_2025[[#This Row],[A&amp;E attendances Type 1]]+
NHS_AE_2024_2025[[#This Row],[A&amp;E attendances Type 2]]+
NHS_AE_2024_2025[[#This Row],[A&amp;E attendances Other A&amp;E Department]]</f>
        <v>23311</v>
      </c>
      <c r="Y700">
        <f t="shared" si="20"/>
        <v>6194</v>
      </c>
      <c r="Z700">
        <f t="shared" si="21"/>
        <v>2916</v>
      </c>
    </row>
    <row r="701" spans="1:26" x14ac:dyDescent="0.2">
      <c r="A701" t="s">
        <v>437</v>
      </c>
      <c r="B701" t="s">
        <v>438</v>
      </c>
      <c r="C701" t="s">
        <v>206</v>
      </c>
      <c r="D701" t="s">
        <v>32</v>
      </c>
      <c r="E701" t="s">
        <v>207</v>
      </c>
      <c r="F701">
        <v>31058</v>
      </c>
      <c r="G701">
        <v>282</v>
      </c>
      <c r="H701">
        <v>1534</v>
      </c>
      <c r="I701">
        <v>0</v>
      </c>
      <c r="J701">
        <v>0</v>
      </c>
      <c r="K701">
        <v>267</v>
      </c>
      <c r="L701">
        <v>12580</v>
      </c>
      <c r="M701">
        <v>0</v>
      </c>
      <c r="N701">
        <v>5</v>
      </c>
      <c r="O701">
        <v>0</v>
      </c>
      <c r="P701">
        <v>0</v>
      </c>
      <c r="Q701">
        <v>2</v>
      </c>
      <c r="R701">
        <v>2371</v>
      </c>
      <c r="S701">
        <v>1657</v>
      </c>
      <c r="T701">
        <v>9332</v>
      </c>
      <c r="U701">
        <v>0</v>
      </c>
      <c r="V701">
        <v>0</v>
      </c>
      <c r="W701">
        <v>6424</v>
      </c>
      <c r="X701">
        <f>NHS_AE_2024_2025[[#This Row],[A&amp;E attendances Type 1]]+
NHS_AE_2024_2025[[#This Row],[A&amp;E attendances Type 2]]+
NHS_AE_2024_2025[[#This Row],[A&amp;E attendances Other A&amp;E Department]]</f>
        <v>32874</v>
      </c>
      <c r="Y701">
        <f t="shared" si="20"/>
        <v>12585</v>
      </c>
      <c r="Z701">
        <f t="shared" si="21"/>
        <v>15756</v>
      </c>
    </row>
    <row r="702" spans="1:26" x14ac:dyDescent="0.2">
      <c r="A702" t="s">
        <v>437</v>
      </c>
      <c r="B702" t="s">
        <v>438</v>
      </c>
      <c r="C702" t="s">
        <v>260</v>
      </c>
      <c r="D702" t="s">
        <v>37</v>
      </c>
      <c r="E702" t="s">
        <v>261</v>
      </c>
      <c r="F702">
        <v>9225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3070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464</v>
      </c>
      <c r="S702">
        <v>289</v>
      </c>
      <c r="T702">
        <v>2499</v>
      </c>
      <c r="U702">
        <v>0</v>
      </c>
      <c r="V702">
        <v>0</v>
      </c>
      <c r="W702">
        <v>584</v>
      </c>
      <c r="X702">
        <f>NHS_AE_2024_2025[[#This Row],[A&amp;E attendances Type 1]]+
NHS_AE_2024_2025[[#This Row],[A&amp;E attendances Type 2]]+
NHS_AE_2024_2025[[#This Row],[A&amp;E attendances Other A&amp;E Department]]</f>
        <v>9225</v>
      </c>
      <c r="Y702">
        <f t="shared" si="20"/>
        <v>3070</v>
      </c>
      <c r="Z702">
        <f t="shared" si="21"/>
        <v>3083</v>
      </c>
    </row>
    <row r="703" spans="1:26" x14ac:dyDescent="0.2">
      <c r="A703" t="s">
        <v>437</v>
      </c>
      <c r="B703" t="s">
        <v>438</v>
      </c>
      <c r="C703" t="s">
        <v>338</v>
      </c>
      <c r="D703" t="s">
        <v>50</v>
      </c>
      <c r="E703" t="s">
        <v>339</v>
      </c>
      <c r="F703">
        <v>6667</v>
      </c>
      <c r="G703">
        <v>0</v>
      </c>
      <c r="H703">
        <v>7880</v>
      </c>
      <c r="I703">
        <v>0</v>
      </c>
      <c r="J703">
        <v>0</v>
      </c>
      <c r="K703">
        <v>1678</v>
      </c>
      <c r="L703">
        <v>3433</v>
      </c>
      <c r="M703">
        <v>0</v>
      </c>
      <c r="N703">
        <v>503</v>
      </c>
      <c r="O703">
        <v>0</v>
      </c>
      <c r="P703">
        <v>0</v>
      </c>
      <c r="Q703">
        <v>56</v>
      </c>
      <c r="R703">
        <v>292</v>
      </c>
      <c r="S703">
        <v>11</v>
      </c>
      <c r="T703">
        <v>2411</v>
      </c>
      <c r="U703">
        <v>0</v>
      </c>
      <c r="V703">
        <v>115</v>
      </c>
      <c r="W703">
        <v>2151</v>
      </c>
      <c r="X703">
        <f>NHS_AE_2024_2025[[#This Row],[A&amp;E attendances Type 1]]+
NHS_AE_2024_2025[[#This Row],[A&amp;E attendances Type 2]]+
NHS_AE_2024_2025[[#This Row],[A&amp;E attendances Other A&amp;E Department]]</f>
        <v>14547</v>
      </c>
      <c r="Y703">
        <f t="shared" si="20"/>
        <v>3936</v>
      </c>
      <c r="Z703">
        <f t="shared" si="21"/>
        <v>4677</v>
      </c>
    </row>
    <row r="704" spans="1:26" x14ac:dyDescent="0.2">
      <c r="A704" t="s">
        <v>437</v>
      </c>
      <c r="B704" t="s">
        <v>438</v>
      </c>
      <c r="C704" t="s">
        <v>266</v>
      </c>
      <c r="D704" t="s">
        <v>32</v>
      </c>
      <c r="E704" t="s">
        <v>267</v>
      </c>
      <c r="F704">
        <v>19778</v>
      </c>
      <c r="G704">
        <v>1807</v>
      </c>
      <c r="H704">
        <v>0</v>
      </c>
      <c r="I704">
        <v>0</v>
      </c>
      <c r="J704">
        <v>0</v>
      </c>
      <c r="K704">
        <v>0</v>
      </c>
      <c r="L704">
        <v>8352</v>
      </c>
      <c r="M704">
        <v>112</v>
      </c>
      <c r="N704">
        <v>0</v>
      </c>
      <c r="O704">
        <v>0</v>
      </c>
      <c r="P704">
        <v>0</v>
      </c>
      <c r="Q704">
        <v>0</v>
      </c>
      <c r="R704">
        <v>1303</v>
      </c>
      <c r="S704">
        <v>921</v>
      </c>
      <c r="T704">
        <v>5806</v>
      </c>
      <c r="U704">
        <v>2</v>
      </c>
      <c r="V704">
        <v>0</v>
      </c>
      <c r="W704">
        <v>3425</v>
      </c>
      <c r="X704">
        <f>NHS_AE_2024_2025[[#This Row],[A&amp;E attendances Type 1]]+
NHS_AE_2024_2025[[#This Row],[A&amp;E attendances Type 2]]+
NHS_AE_2024_2025[[#This Row],[A&amp;E attendances Other A&amp;E Department]]</f>
        <v>21585</v>
      </c>
      <c r="Y704">
        <f t="shared" si="20"/>
        <v>8464</v>
      </c>
      <c r="Z704">
        <f t="shared" si="21"/>
        <v>9233</v>
      </c>
    </row>
    <row r="705" spans="1:26" x14ac:dyDescent="0.2">
      <c r="A705" t="s">
        <v>437</v>
      </c>
      <c r="B705" t="s">
        <v>438</v>
      </c>
      <c r="C705" t="s">
        <v>348</v>
      </c>
      <c r="D705" t="s">
        <v>55</v>
      </c>
      <c r="E705" t="s">
        <v>349</v>
      </c>
      <c r="F705">
        <v>6843</v>
      </c>
      <c r="G705">
        <v>0</v>
      </c>
      <c r="H705">
        <v>985</v>
      </c>
      <c r="I705">
        <v>305</v>
      </c>
      <c r="J705">
        <v>0</v>
      </c>
      <c r="K705">
        <v>50</v>
      </c>
      <c r="L705">
        <v>2353</v>
      </c>
      <c r="M705">
        <v>0</v>
      </c>
      <c r="N705">
        <v>47</v>
      </c>
      <c r="O705">
        <v>94</v>
      </c>
      <c r="P705">
        <v>0</v>
      </c>
      <c r="Q705">
        <v>5</v>
      </c>
      <c r="R705">
        <v>724</v>
      </c>
      <c r="S705">
        <v>240</v>
      </c>
      <c r="T705">
        <v>2525</v>
      </c>
      <c r="U705">
        <v>0</v>
      </c>
      <c r="V705">
        <v>61</v>
      </c>
      <c r="W705">
        <v>822</v>
      </c>
      <c r="X705">
        <f>NHS_AE_2024_2025[[#This Row],[A&amp;E attendances Type 1]]+
NHS_AE_2024_2025[[#This Row],[A&amp;E attendances Type 2]]+
NHS_AE_2024_2025[[#This Row],[A&amp;E attendances Other A&amp;E Department]]</f>
        <v>7828</v>
      </c>
      <c r="Y705">
        <f t="shared" si="20"/>
        <v>2400</v>
      </c>
      <c r="Z705">
        <f t="shared" si="21"/>
        <v>3408</v>
      </c>
    </row>
    <row r="706" spans="1:26" x14ac:dyDescent="0.2">
      <c r="A706" t="s">
        <v>437</v>
      </c>
      <c r="B706" t="s">
        <v>438</v>
      </c>
      <c r="C706" t="s">
        <v>216</v>
      </c>
      <c r="D706" t="s">
        <v>55</v>
      </c>
      <c r="E706" t="s">
        <v>217</v>
      </c>
      <c r="F706">
        <v>11973</v>
      </c>
      <c r="G706">
        <v>0</v>
      </c>
      <c r="H706">
        <v>9497</v>
      </c>
      <c r="I706">
        <v>0</v>
      </c>
      <c r="J706">
        <v>0</v>
      </c>
      <c r="K706">
        <v>0</v>
      </c>
      <c r="L706">
        <v>4297</v>
      </c>
      <c r="M706">
        <v>0</v>
      </c>
      <c r="N706">
        <v>648</v>
      </c>
      <c r="O706">
        <v>0</v>
      </c>
      <c r="P706">
        <v>0</v>
      </c>
      <c r="Q706">
        <v>0</v>
      </c>
      <c r="R706">
        <v>421</v>
      </c>
      <c r="S706">
        <v>1050</v>
      </c>
      <c r="T706">
        <v>3543</v>
      </c>
      <c r="U706">
        <v>0</v>
      </c>
      <c r="V706">
        <v>93</v>
      </c>
      <c r="W706">
        <v>1588</v>
      </c>
      <c r="X706">
        <f>NHS_AE_2024_2025[[#This Row],[A&amp;E attendances Type 1]]+
NHS_AE_2024_2025[[#This Row],[A&amp;E attendances Type 2]]+
NHS_AE_2024_2025[[#This Row],[A&amp;E attendances Other A&amp;E Department]]</f>
        <v>21470</v>
      </c>
      <c r="Y706">
        <f t="shared" ref="Y706:Y769" si="22">L706+M706+N706</f>
        <v>4945</v>
      </c>
      <c r="Z706">
        <f t="shared" ref="Z706:Z769" si="23">T706+U706+V706+W706</f>
        <v>5224</v>
      </c>
    </row>
    <row r="707" spans="1:26" x14ac:dyDescent="0.2">
      <c r="A707" t="s">
        <v>437</v>
      </c>
      <c r="B707" t="s">
        <v>438</v>
      </c>
      <c r="C707" t="s">
        <v>54</v>
      </c>
      <c r="D707" t="s">
        <v>55</v>
      </c>
      <c r="E707" t="s">
        <v>56</v>
      </c>
      <c r="F707">
        <v>0</v>
      </c>
      <c r="G707">
        <v>0</v>
      </c>
      <c r="H707">
        <v>3965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191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f>NHS_AE_2024_2025[[#This Row],[A&amp;E attendances Type 1]]+
NHS_AE_2024_2025[[#This Row],[A&amp;E attendances Type 2]]+
NHS_AE_2024_2025[[#This Row],[A&amp;E attendances Other A&amp;E Department]]</f>
        <v>3965</v>
      </c>
      <c r="Y707">
        <f t="shared" si="22"/>
        <v>191</v>
      </c>
      <c r="Z707">
        <f t="shared" si="23"/>
        <v>0</v>
      </c>
    </row>
    <row r="708" spans="1:26" x14ac:dyDescent="0.2">
      <c r="A708" t="s">
        <v>437</v>
      </c>
      <c r="B708" t="s">
        <v>438</v>
      </c>
      <c r="C708" t="s">
        <v>360</v>
      </c>
      <c r="D708" t="s">
        <v>50</v>
      </c>
      <c r="E708" t="s">
        <v>361</v>
      </c>
      <c r="F708">
        <v>0</v>
      </c>
      <c r="G708">
        <v>0</v>
      </c>
      <c r="H708">
        <v>2059</v>
      </c>
      <c r="I708">
        <v>0</v>
      </c>
      <c r="J708">
        <v>0</v>
      </c>
      <c r="K708">
        <v>264</v>
      </c>
      <c r="L708">
        <v>0</v>
      </c>
      <c r="M708">
        <v>0</v>
      </c>
      <c r="N708">
        <v>9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f>NHS_AE_2024_2025[[#This Row],[A&amp;E attendances Type 1]]+
NHS_AE_2024_2025[[#This Row],[A&amp;E attendances Type 2]]+
NHS_AE_2024_2025[[#This Row],[A&amp;E attendances Other A&amp;E Department]]</f>
        <v>2059</v>
      </c>
      <c r="Y708">
        <f t="shared" si="22"/>
        <v>9</v>
      </c>
      <c r="Z708">
        <f t="shared" si="23"/>
        <v>0</v>
      </c>
    </row>
    <row r="709" spans="1:26" x14ac:dyDescent="0.2">
      <c r="A709" t="s">
        <v>437</v>
      </c>
      <c r="B709" t="s">
        <v>438</v>
      </c>
      <c r="C709" t="s">
        <v>186</v>
      </c>
      <c r="D709" t="s">
        <v>26</v>
      </c>
      <c r="E709" t="s">
        <v>187</v>
      </c>
      <c r="F709">
        <v>11840</v>
      </c>
      <c r="G709">
        <v>0</v>
      </c>
      <c r="H709">
        <v>4341</v>
      </c>
      <c r="I709">
        <v>0</v>
      </c>
      <c r="J709">
        <v>0</v>
      </c>
      <c r="K709">
        <v>0</v>
      </c>
      <c r="L709">
        <v>4892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960</v>
      </c>
      <c r="S709">
        <v>275</v>
      </c>
      <c r="T709">
        <v>3751</v>
      </c>
      <c r="U709">
        <v>1</v>
      </c>
      <c r="V709">
        <v>0</v>
      </c>
      <c r="W709">
        <v>2204</v>
      </c>
      <c r="X709">
        <f>NHS_AE_2024_2025[[#This Row],[A&amp;E attendances Type 1]]+
NHS_AE_2024_2025[[#This Row],[A&amp;E attendances Type 2]]+
NHS_AE_2024_2025[[#This Row],[A&amp;E attendances Other A&amp;E Department]]</f>
        <v>16181</v>
      </c>
      <c r="Y709">
        <f t="shared" si="22"/>
        <v>4892</v>
      </c>
      <c r="Z709">
        <f t="shared" si="23"/>
        <v>5956</v>
      </c>
    </row>
    <row r="710" spans="1:26" x14ac:dyDescent="0.2">
      <c r="A710" t="s">
        <v>437</v>
      </c>
      <c r="B710" t="s">
        <v>438</v>
      </c>
      <c r="C710" t="s">
        <v>288</v>
      </c>
      <c r="D710" t="s">
        <v>29</v>
      </c>
      <c r="E710" t="s">
        <v>289</v>
      </c>
      <c r="F710">
        <v>12788</v>
      </c>
      <c r="G710">
        <v>0</v>
      </c>
      <c r="H710">
        <v>13626</v>
      </c>
      <c r="I710">
        <v>0</v>
      </c>
      <c r="J710">
        <v>0</v>
      </c>
      <c r="K710">
        <v>0</v>
      </c>
      <c r="L710">
        <v>6764</v>
      </c>
      <c r="M710">
        <v>0</v>
      </c>
      <c r="N710">
        <v>131</v>
      </c>
      <c r="O710">
        <v>0</v>
      </c>
      <c r="P710">
        <v>0</v>
      </c>
      <c r="Q710">
        <v>0</v>
      </c>
      <c r="R710">
        <v>699</v>
      </c>
      <c r="S710">
        <v>547</v>
      </c>
      <c r="T710">
        <v>5893</v>
      </c>
      <c r="U710">
        <v>0</v>
      </c>
      <c r="V710">
        <v>0</v>
      </c>
      <c r="W710">
        <v>339</v>
      </c>
      <c r="X710">
        <f>NHS_AE_2024_2025[[#This Row],[A&amp;E attendances Type 1]]+
NHS_AE_2024_2025[[#This Row],[A&amp;E attendances Type 2]]+
NHS_AE_2024_2025[[#This Row],[A&amp;E attendances Other A&amp;E Department]]</f>
        <v>26414</v>
      </c>
      <c r="Y710">
        <f t="shared" si="22"/>
        <v>6895</v>
      </c>
      <c r="Z710">
        <f t="shared" si="23"/>
        <v>6232</v>
      </c>
    </row>
    <row r="711" spans="1:26" x14ac:dyDescent="0.2">
      <c r="A711" t="s">
        <v>437</v>
      </c>
      <c r="B711" t="s">
        <v>438</v>
      </c>
      <c r="C711" t="s">
        <v>228</v>
      </c>
      <c r="D711" t="s">
        <v>70</v>
      </c>
      <c r="E711" t="s">
        <v>229</v>
      </c>
      <c r="F711">
        <v>26897</v>
      </c>
      <c r="G711">
        <v>0</v>
      </c>
      <c r="H711">
        <v>3559</v>
      </c>
      <c r="I711">
        <v>23</v>
      </c>
      <c r="J711">
        <v>0</v>
      </c>
      <c r="K711">
        <v>7</v>
      </c>
      <c r="L711">
        <v>9735</v>
      </c>
      <c r="M711">
        <v>0</v>
      </c>
      <c r="N711">
        <v>229</v>
      </c>
      <c r="O711">
        <v>4</v>
      </c>
      <c r="P711">
        <v>0</v>
      </c>
      <c r="Q711">
        <v>0</v>
      </c>
      <c r="R711">
        <v>2597</v>
      </c>
      <c r="S711">
        <v>275</v>
      </c>
      <c r="T711">
        <v>7902</v>
      </c>
      <c r="U711">
        <v>0</v>
      </c>
      <c r="V711">
        <v>174</v>
      </c>
      <c r="W711">
        <v>1290</v>
      </c>
      <c r="X711">
        <f>NHS_AE_2024_2025[[#This Row],[A&amp;E attendances Type 1]]+
NHS_AE_2024_2025[[#This Row],[A&amp;E attendances Type 2]]+
NHS_AE_2024_2025[[#This Row],[A&amp;E attendances Other A&amp;E Department]]</f>
        <v>30456</v>
      </c>
      <c r="Y711">
        <f t="shared" si="22"/>
        <v>9964</v>
      </c>
      <c r="Z711">
        <f t="shared" si="23"/>
        <v>9366</v>
      </c>
    </row>
    <row r="712" spans="1:26" x14ac:dyDescent="0.2">
      <c r="A712" t="s">
        <v>437</v>
      </c>
      <c r="B712" t="s">
        <v>438</v>
      </c>
      <c r="C712" t="s">
        <v>230</v>
      </c>
      <c r="D712" t="s">
        <v>29</v>
      </c>
      <c r="E712" t="s">
        <v>231</v>
      </c>
      <c r="F712">
        <v>23137</v>
      </c>
      <c r="G712">
        <v>451</v>
      </c>
      <c r="H712">
        <v>14486</v>
      </c>
      <c r="I712">
        <v>222</v>
      </c>
      <c r="J712">
        <v>5</v>
      </c>
      <c r="K712">
        <v>224</v>
      </c>
      <c r="L712">
        <v>9238</v>
      </c>
      <c r="M712">
        <v>7</v>
      </c>
      <c r="N712">
        <v>909</v>
      </c>
      <c r="O712">
        <v>114</v>
      </c>
      <c r="P712">
        <v>0</v>
      </c>
      <c r="Q712">
        <v>31</v>
      </c>
      <c r="R712">
        <v>1105</v>
      </c>
      <c r="S712">
        <v>1691</v>
      </c>
      <c r="T712">
        <v>4254</v>
      </c>
      <c r="U712">
        <v>0</v>
      </c>
      <c r="V712">
        <v>51</v>
      </c>
      <c r="W712">
        <v>687</v>
      </c>
      <c r="X712">
        <f>NHS_AE_2024_2025[[#This Row],[A&amp;E attendances Type 1]]+
NHS_AE_2024_2025[[#This Row],[A&amp;E attendances Type 2]]+
NHS_AE_2024_2025[[#This Row],[A&amp;E attendances Other A&amp;E Department]]</f>
        <v>38074</v>
      </c>
      <c r="Y712">
        <f t="shared" si="22"/>
        <v>10154</v>
      </c>
      <c r="Z712">
        <f t="shared" si="23"/>
        <v>4992</v>
      </c>
    </row>
    <row r="713" spans="1:26" x14ac:dyDescent="0.2">
      <c r="A713" t="s">
        <v>437</v>
      </c>
      <c r="B713" t="s">
        <v>438</v>
      </c>
      <c r="C713" t="s">
        <v>396</v>
      </c>
      <c r="D713" t="s">
        <v>29</v>
      </c>
      <c r="E713" t="s">
        <v>397</v>
      </c>
      <c r="F713">
        <v>5687</v>
      </c>
      <c r="G713">
        <v>0</v>
      </c>
      <c r="H713">
        <v>5922</v>
      </c>
      <c r="I713">
        <v>0</v>
      </c>
      <c r="J713">
        <v>0</v>
      </c>
      <c r="K713">
        <v>0</v>
      </c>
      <c r="L713">
        <v>3208</v>
      </c>
      <c r="M713">
        <v>0</v>
      </c>
      <c r="N713">
        <v>90</v>
      </c>
      <c r="O713">
        <v>0</v>
      </c>
      <c r="P713">
        <v>0</v>
      </c>
      <c r="Q713">
        <v>0</v>
      </c>
      <c r="R713">
        <v>624</v>
      </c>
      <c r="S713">
        <v>94</v>
      </c>
      <c r="T713">
        <v>1715</v>
      </c>
      <c r="U713">
        <v>0</v>
      </c>
      <c r="V713">
        <v>0</v>
      </c>
      <c r="W713">
        <v>51</v>
      </c>
      <c r="X713">
        <f>NHS_AE_2024_2025[[#This Row],[A&amp;E attendances Type 1]]+
NHS_AE_2024_2025[[#This Row],[A&amp;E attendances Type 2]]+
NHS_AE_2024_2025[[#This Row],[A&amp;E attendances Other A&amp;E Department]]</f>
        <v>11609</v>
      </c>
      <c r="Y713">
        <f t="shared" si="22"/>
        <v>3298</v>
      </c>
      <c r="Z713">
        <f t="shared" si="23"/>
        <v>1766</v>
      </c>
    </row>
    <row r="714" spans="1:26" x14ac:dyDescent="0.2">
      <c r="A714" t="s">
        <v>437</v>
      </c>
      <c r="B714" t="s">
        <v>438</v>
      </c>
      <c r="C714" t="s">
        <v>380</v>
      </c>
      <c r="D714" t="s">
        <v>55</v>
      </c>
      <c r="E714" t="s">
        <v>381</v>
      </c>
      <c r="F714">
        <v>15299</v>
      </c>
      <c r="G714">
        <v>0</v>
      </c>
      <c r="H714">
        <v>6647</v>
      </c>
      <c r="I714">
        <v>427</v>
      </c>
      <c r="J714">
        <v>0</v>
      </c>
      <c r="K714">
        <v>0</v>
      </c>
      <c r="L714">
        <v>5562</v>
      </c>
      <c r="M714">
        <v>0</v>
      </c>
      <c r="N714">
        <v>133</v>
      </c>
      <c r="O714">
        <v>52</v>
      </c>
      <c r="P714">
        <v>0</v>
      </c>
      <c r="Q714">
        <v>0</v>
      </c>
      <c r="R714">
        <v>499</v>
      </c>
      <c r="S714">
        <v>400</v>
      </c>
      <c r="T714">
        <v>7357</v>
      </c>
      <c r="U714">
        <v>0</v>
      </c>
      <c r="V714">
        <v>0</v>
      </c>
      <c r="W714">
        <v>549</v>
      </c>
      <c r="X714">
        <f>NHS_AE_2024_2025[[#This Row],[A&amp;E attendances Type 1]]+
NHS_AE_2024_2025[[#This Row],[A&amp;E attendances Type 2]]+
NHS_AE_2024_2025[[#This Row],[A&amp;E attendances Other A&amp;E Department]]</f>
        <v>21946</v>
      </c>
      <c r="Y714">
        <f t="shared" si="22"/>
        <v>5695</v>
      </c>
      <c r="Z714">
        <f t="shared" si="23"/>
        <v>7906</v>
      </c>
    </row>
    <row r="715" spans="1:26" x14ac:dyDescent="0.2">
      <c r="A715" t="s">
        <v>437</v>
      </c>
      <c r="B715" t="s">
        <v>438</v>
      </c>
      <c r="C715" t="s">
        <v>292</v>
      </c>
      <c r="D715" t="s">
        <v>55</v>
      </c>
      <c r="E715" t="s">
        <v>293</v>
      </c>
      <c r="F715">
        <v>6236</v>
      </c>
      <c r="G715">
        <v>0</v>
      </c>
      <c r="H715">
        <v>2554</v>
      </c>
      <c r="I715">
        <v>0</v>
      </c>
      <c r="J715">
        <v>0</v>
      </c>
      <c r="K715">
        <v>117</v>
      </c>
      <c r="L715">
        <v>3576</v>
      </c>
      <c r="M715">
        <v>0</v>
      </c>
      <c r="N715">
        <v>44</v>
      </c>
      <c r="O715">
        <v>0</v>
      </c>
      <c r="P715">
        <v>0</v>
      </c>
      <c r="Q715">
        <v>22</v>
      </c>
      <c r="R715">
        <v>537</v>
      </c>
      <c r="S715">
        <v>475</v>
      </c>
      <c r="T715">
        <v>1995</v>
      </c>
      <c r="U715">
        <v>0</v>
      </c>
      <c r="V715">
        <v>0</v>
      </c>
      <c r="W715">
        <v>1161</v>
      </c>
      <c r="X715">
        <f>NHS_AE_2024_2025[[#This Row],[A&amp;E attendances Type 1]]+
NHS_AE_2024_2025[[#This Row],[A&amp;E attendances Type 2]]+
NHS_AE_2024_2025[[#This Row],[A&amp;E attendances Other A&amp;E Department]]</f>
        <v>8790</v>
      </c>
      <c r="Y715">
        <f t="shared" si="22"/>
        <v>3620</v>
      </c>
      <c r="Z715">
        <f t="shared" si="23"/>
        <v>3156</v>
      </c>
    </row>
    <row r="716" spans="1:26" x14ac:dyDescent="0.2">
      <c r="A716" t="s">
        <v>437</v>
      </c>
      <c r="B716" t="s">
        <v>438</v>
      </c>
      <c r="C716" t="s">
        <v>294</v>
      </c>
      <c r="D716" t="s">
        <v>70</v>
      </c>
      <c r="E716" t="s">
        <v>295</v>
      </c>
      <c r="F716">
        <v>14688</v>
      </c>
      <c r="G716">
        <v>0</v>
      </c>
      <c r="H716">
        <v>8042</v>
      </c>
      <c r="I716">
        <v>0</v>
      </c>
      <c r="J716">
        <v>0</v>
      </c>
      <c r="K716">
        <v>957</v>
      </c>
      <c r="L716">
        <v>6486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80</v>
      </c>
      <c r="S716">
        <v>8</v>
      </c>
      <c r="T716">
        <v>4304</v>
      </c>
      <c r="U716">
        <v>0</v>
      </c>
      <c r="V716">
        <v>0</v>
      </c>
      <c r="W716">
        <v>2198</v>
      </c>
      <c r="X716">
        <f>NHS_AE_2024_2025[[#This Row],[A&amp;E attendances Type 1]]+
NHS_AE_2024_2025[[#This Row],[A&amp;E attendances Type 2]]+
NHS_AE_2024_2025[[#This Row],[A&amp;E attendances Other A&amp;E Department]]</f>
        <v>22730</v>
      </c>
      <c r="Y716">
        <f t="shared" si="22"/>
        <v>6486</v>
      </c>
      <c r="Z716">
        <f t="shared" si="23"/>
        <v>6502</v>
      </c>
    </row>
    <row r="717" spans="1:26" x14ac:dyDescent="0.2">
      <c r="A717" t="s">
        <v>437</v>
      </c>
      <c r="B717" t="s">
        <v>438</v>
      </c>
      <c r="C717" t="s">
        <v>194</v>
      </c>
      <c r="D717" t="s">
        <v>50</v>
      </c>
      <c r="E717" t="s">
        <v>195</v>
      </c>
      <c r="F717">
        <v>3892</v>
      </c>
      <c r="G717">
        <v>0</v>
      </c>
      <c r="H717">
        <v>451</v>
      </c>
      <c r="I717">
        <v>272</v>
      </c>
      <c r="J717">
        <v>0</v>
      </c>
      <c r="K717">
        <v>30</v>
      </c>
      <c r="L717">
        <v>355</v>
      </c>
      <c r="M717">
        <v>0</v>
      </c>
      <c r="N717">
        <v>0</v>
      </c>
      <c r="O717">
        <v>20</v>
      </c>
      <c r="P717">
        <v>0</v>
      </c>
      <c r="Q717">
        <v>0</v>
      </c>
      <c r="R717">
        <v>7</v>
      </c>
      <c r="S717">
        <v>0</v>
      </c>
      <c r="T717">
        <v>984</v>
      </c>
      <c r="U717">
        <v>0</v>
      </c>
      <c r="V717">
        <v>0</v>
      </c>
      <c r="W717">
        <v>80</v>
      </c>
      <c r="X717">
        <f>NHS_AE_2024_2025[[#This Row],[A&amp;E attendances Type 1]]+
NHS_AE_2024_2025[[#This Row],[A&amp;E attendances Type 2]]+
NHS_AE_2024_2025[[#This Row],[A&amp;E attendances Other A&amp;E Department]]</f>
        <v>4343</v>
      </c>
      <c r="Y717">
        <f t="shared" si="22"/>
        <v>355</v>
      </c>
      <c r="Z717">
        <f t="shared" si="23"/>
        <v>1064</v>
      </c>
    </row>
    <row r="718" spans="1:26" x14ac:dyDescent="0.2">
      <c r="A718" t="s">
        <v>437</v>
      </c>
      <c r="B718" t="s">
        <v>438</v>
      </c>
      <c r="C718" t="s">
        <v>198</v>
      </c>
      <c r="D718" t="s">
        <v>55</v>
      </c>
      <c r="E718" t="s">
        <v>199</v>
      </c>
      <c r="F718">
        <v>0</v>
      </c>
      <c r="G718">
        <v>1408</v>
      </c>
      <c r="H718">
        <v>0</v>
      </c>
      <c r="I718">
        <v>0</v>
      </c>
      <c r="J718">
        <v>122</v>
      </c>
      <c r="K718">
        <v>0</v>
      </c>
      <c r="L718">
        <v>0</v>
      </c>
      <c r="M718">
        <v>178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97</v>
      </c>
      <c r="V718">
        <v>0</v>
      </c>
      <c r="W718">
        <v>17</v>
      </c>
      <c r="X718">
        <f>NHS_AE_2024_2025[[#This Row],[A&amp;E attendances Type 1]]+
NHS_AE_2024_2025[[#This Row],[A&amp;E attendances Type 2]]+
NHS_AE_2024_2025[[#This Row],[A&amp;E attendances Other A&amp;E Department]]</f>
        <v>1408</v>
      </c>
      <c r="Y718">
        <f t="shared" si="22"/>
        <v>178</v>
      </c>
      <c r="Z718">
        <f t="shared" si="23"/>
        <v>114</v>
      </c>
    </row>
    <row r="719" spans="1:26" x14ac:dyDescent="0.2">
      <c r="A719" t="s">
        <v>437</v>
      </c>
      <c r="B719" t="s">
        <v>438</v>
      </c>
      <c r="C719" t="s">
        <v>370</v>
      </c>
      <c r="D719" t="s">
        <v>29</v>
      </c>
      <c r="E719" t="s">
        <v>371</v>
      </c>
      <c r="F719">
        <v>12884</v>
      </c>
      <c r="G719">
        <v>0</v>
      </c>
      <c r="H719">
        <v>10368</v>
      </c>
      <c r="I719">
        <v>0</v>
      </c>
      <c r="J719">
        <v>0</v>
      </c>
      <c r="K719">
        <v>0</v>
      </c>
      <c r="L719">
        <v>6709</v>
      </c>
      <c r="M719">
        <v>0</v>
      </c>
      <c r="N719">
        <v>1259</v>
      </c>
      <c r="O719">
        <v>0</v>
      </c>
      <c r="P719">
        <v>0</v>
      </c>
      <c r="Q719">
        <v>0</v>
      </c>
      <c r="R719">
        <v>1081</v>
      </c>
      <c r="S719">
        <v>750</v>
      </c>
      <c r="T719">
        <v>4406</v>
      </c>
      <c r="U719">
        <v>0</v>
      </c>
      <c r="V719">
        <v>0</v>
      </c>
      <c r="W719">
        <v>1159</v>
      </c>
      <c r="X719">
        <f>NHS_AE_2024_2025[[#This Row],[A&amp;E attendances Type 1]]+
NHS_AE_2024_2025[[#This Row],[A&amp;E attendances Type 2]]+
NHS_AE_2024_2025[[#This Row],[A&amp;E attendances Other A&amp;E Department]]</f>
        <v>23252</v>
      </c>
      <c r="Y719">
        <f t="shared" si="22"/>
        <v>7968</v>
      </c>
      <c r="Z719">
        <f t="shared" si="23"/>
        <v>5565</v>
      </c>
    </row>
    <row r="720" spans="1:26" x14ac:dyDescent="0.2">
      <c r="A720" t="s">
        <v>437</v>
      </c>
      <c r="B720" t="s">
        <v>438</v>
      </c>
      <c r="C720" t="s">
        <v>308</v>
      </c>
      <c r="D720" t="s">
        <v>32</v>
      </c>
      <c r="E720" t="s">
        <v>309</v>
      </c>
      <c r="F720">
        <v>7205</v>
      </c>
      <c r="G720">
        <v>0</v>
      </c>
      <c r="H720">
        <v>337</v>
      </c>
      <c r="I720">
        <v>1</v>
      </c>
      <c r="J720">
        <v>0</v>
      </c>
      <c r="K720">
        <v>0</v>
      </c>
      <c r="L720">
        <v>2448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383</v>
      </c>
      <c r="S720">
        <v>36</v>
      </c>
      <c r="T720">
        <v>2053</v>
      </c>
      <c r="U720">
        <v>0</v>
      </c>
      <c r="V720">
        <v>0</v>
      </c>
      <c r="W720">
        <v>788</v>
      </c>
      <c r="X720">
        <f>NHS_AE_2024_2025[[#This Row],[A&amp;E attendances Type 1]]+
NHS_AE_2024_2025[[#This Row],[A&amp;E attendances Type 2]]+
NHS_AE_2024_2025[[#This Row],[A&amp;E attendances Other A&amp;E Department]]</f>
        <v>7542</v>
      </c>
      <c r="Y720">
        <f t="shared" si="22"/>
        <v>2448</v>
      </c>
      <c r="Z720">
        <f t="shared" si="23"/>
        <v>2841</v>
      </c>
    </row>
    <row r="721" spans="1:26" x14ac:dyDescent="0.2">
      <c r="A721" t="s">
        <v>437</v>
      </c>
      <c r="B721" t="s">
        <v>438</v>
      </c>
      <c r="C721" t="s">
        <v>408</v>
      </c>
      <c r="D721" t="s">
        <v>50</v>
      </c>
      <c r="E721" t="s">
        <v>409</v>
      </c>
      <c r="F721">
        <v>8126</v>
      </c>
      <c r="G721">
        <v>0</v>
      </c>
      <c r="H721">
        <v>6287</v>
      </c>
      <c r="I721">
        <v>0</v>
      </c>
      <c r="J721">
        <v>0</v>
      </c>
      <c r="K721">
        <v>390</v>
      </c>
      <c r="L721">
        <v>4234</v>
      </c>
      <c r="M721">
        <v>0</v>
      </c>
      <c r="N721">
        <v>42</v>
      </c>
      <c r="O721">
        <v>0</v>
      </c>
      <c r="P721">
        <v>0</v>
      </c>
      <c r="Q721">
        <v>1</v>
      </c>
      <c r="R721">
        <v>570</v>
      </c>
      <c r="S721">
        <v>736</v>
      </c>
      <c r="T721">
        <v>5129</v>
      </c>
      <c r="U721">
        <v>0</v>
      </c>
      <c r="V721">
        <v>0</v>
      </c>
      <c r="W721">
        <v>421</v>
      </c>
      <c r="X721">
        <f>NHS_AE_2024_2025[[#This Row],[A&amp;E attendances Type 1]]+
NHS_AE_2024_2025[[#This Row],[A&amp;E attendances Type 2]]+
NHS_AE_2024_2025[[#This Row],[A&amp;E attendances Other A&amp;E Department]]</f>
        <v>14413</v>
      </c>
      <c r="Y721">
        <f t="shared" si="22"/>
        <v>4276</v>
      </c>
      <c r="Z721">
        <f t="shared" si="23"/>
        <v>5550</v>
      </c>
    </row>
    <row r="722" spans="1:26" x14ac:dyDescent="0.2">
      <c r="A722" t="s">
        <v>437</v>
      </c>
      <c r="B722" t="s">
        <v>438</v>
      </c>
      <c r="C722" t="s">
        <v>156</v>
      </c>
      <c r="D722" t="s">
        <v>29</v>
      </c>
      <c r="E722" t="s">
        <v>157</v>
      </c>
      <c r="F722">
        <v>14118</v>
      </c>
      <c r="G722">
        <v>0</v>
      </c>
      <c r="H722">
        <v>8153</v>
      </c>
      <c r="I722">
        <v>45</v>
      </c>
      <c r="J722">
        <v>0</v>
      </c>
      <c r="K722">
        <v>1120</v>
      </c>
      <c r="L722">
        <v>6639</v>
      </c>
      <c r="M722">
        <v>0</v>
      </c>
      <c r="N722">
        <v>171</v>
      </c>
      <c r="O722">
        <v>18</v>
      </c>
      <c r="P722">
        <v>0</v>
      </c>
      <c r="Q722">
        <v>0</v>
      </c>
      <c r="R722">
        <v>1404</v>
      </c>
      <c r="S722">
        <v>1069</v>
      </c>
      <c r="T722">
        <v>3307</v>
      </c>
      <c r="U722">
        <v>0</v>
      </c>
      <c r="V722">
        <v>0</v>
      </c>
      <c r="W722">
        <v>329</v>
      </c>
      <c r="X722">
        <f>NHS_AE_2024_2025[[#This Row],[A&amp;E attendances Type 1]]+
NHS_AE_2024_2025[[#This Row],[A&amp;E attendances Type 2]]+
NHS_AE_2024_2025[[#This Row],[A&amp;E attendances Other A&amp;E Department]]</f>
        <v>22271</v>
      </c>
      <c r="Y722">
        <f t="shared" si="22"/>
        <v>6810</v>
      </c>
      <c r="Z722">
        <f t="shared" si="23"/>
        <v>3636</v>
      </c>
    </row>
    <row r="723" spans="1:26" x14ac:dyDescent="0.2">
      <c r="A723" t="s">
        <v>437</v>
      </c>
      <c r="B723" t="s">
        <v>438</v>
      </c>
      <c r="C723" t="s">
        <v>252</v>
      </c>
      <c r="D723" t="s">
        <v>37</v>
      </c>
      <c r="E723" t="s">
        <v>253</v>
      </c>
      <c r="F723">
        <v>9858</v>
      </c>
      <c r="G723">
        <v>86</v>
      </c>
      <c r="H723">
        <v>2684</v>
      </c>
      <c r="I723">
        <v>0</v>
      </c>
      <c r="J723">
        <v>0</v>
      </c>
      <c r="K723">
        <v>81</v>
      </c>
      <c r="L723">
        <v>4319</v>
      </c>
      <c r="M723">
        <v>0</v>
      </c>
      <c r="N723">
        <v>96</v>
      </c>
      <c r="O723">
        <v>0</v>
      </c>
      <c r="P723">
        <v>0</v>
      </c>
      <c r="Q723">
        <v>0</v>
      </c>
      <c r="R723">
        <v>402</v>
      </c>
      <c r="S723">
        <v>147</v>
      </c>
      <c r="T723">
        <v>3947</v>
      </c>
      <c r="U723">
        <v>10</v>
      </c>
      <c r="V723">
        <v>23</v>
      </c>
      <c r="W723">
        <v>1250</v>
      </c>
      <c r="X723">
        <f>NHS_AE_2024_2025[[#This Row],[A&amp;E attendances Type 1]]+
NHS_AE_2024_2025[[#This Row],[A&amp;E attendances Type 2]]+
NHS_AE_2024_2025[[#This Row],[A&amp;E attendances Other A&amp;E Department]]</f>
        <v>12628</v>
      </c>
      <c r="Y723">
        <f t="shared" si="22"/>
        <v>4415</v>
      </c>
      <c r="Z723">
        <f t="shared" si="23"/>
        <v>5230</v>
      </c>
    </row>
    <row r="724" spans="1:26" x14ac:dyDescent="0.2">
      <c r="A724" t="s">
        <v>437</v>
      </c>
      <c r="B724" t="s">
        <v>438</v>
      </c>
      <c r="C724" t="s">
        <v>374</v>
      </c>
      <c r="D724" t="s">
        <v>37</v>
      </c>
      <c r="E724" t="s">
        <v>375</v>
      </c>
      <c r="F724">
        <v>10568</v>
      </c>
      <c r="G724">
        <v>0</v>
      </c>
      <c r="H724">
        <v>3847</v>
      </c>
      <c r="I724">
        <v>0</v>
      </c>
      <c r="J724">
        <v>0</v>
      </c>
      <c r="K724">
        <v>0</v>
      </c>
      <c r="L724">
        <v>3504</v>
      </c>
      <c r="M724">
        <v>0</v>
      </c>
      <c r="N724">
        <v>16</v>
      </c>
      <c r="O724">
        <v>0</v>
      </c>
      <c r="P724">
        <v>0</v>
      </c>
      <c r="Q724">
        <v>0</v>
      </c>
      <c r="R724">
        <v>484</v>
      </c>
      <c r="S724">
        <v>497</v>
      </c>
      <c r="T724">
        <v>3014</v>
      </c>
      <c r="U724">
        <v>0</v>
      </c>
      <c r="V724">
        <v>0</v>
      </c>
      <c r="W724">
        <v>402</v>
      </c>
      <c r="X724">
        <f>NHS_AE_2024_2025[[#This Row],[A&amp;E attendances Type 1]]+
NHS_AE_2024_2025[[#This Row],[A&amp;E attendances Type 2]]+
NHS_AE_2024_2025[[#This Row],[A&amp;E attendances Other A&amp;E Department]]</f>
        <v>14415</v>
      </c>
      <c r="Y724">
        <f t="shared" si="22"/>
        <v>3520</v>
      </c>
      <c r="Z724">
        <f t="shared" si="23"/>
        <v>3416</v>
      </c>
    </row>
    <row r="725" spans="1:26" x14ac:dyDescent="0.2">
      <c r="A725" t="s">
        <v>437</v>
      </c>
      <c r="B725" t="s">
        <v>438</v>
      </c>
      <c r="C725" t="s">
        <v>254</v>
      </c>
      <c r="D725" t="s">
        <v>50</v>
      </c>
      <c r="E725" t="s">
        <v>255</v>
      </c>
      <c r="F725">
        <v>7764</v>
      </c>
      <c r="G725">
        <v>0</v>
      </c>
      <c r="H725">
        <v>1625</v>
      </c>
      <c r="I725">
        <v>324</v>
      </c>
      <c r="J725">
        <v>0</v>
      </c>
      <c r="K725">
        <v>32</v>
      </c>
      <c r="L725">
        <v>3698</v>
      </c>
      <c r="M725">
        <v>0</v>
      </c>
      <c r="N725">
        <v>15</v>
      </c>
      <c r="O725">
        <v>78</v>
      </c>
      <c r="P725">
        <v>0</v>
      </c>
      <c r="Q725">
        <v>0</v>
      </c>
      <c r="R725">
        <v>708</v>
      </c>
      <c r="S725">
        <v>502</v>
      </c>
      <c r="T725">
        <v>2205</v>
      </c>
      <c r="U725">
        <v>0</v>
      </c>
      <c r="V725">
        <v>0</v>
      </c>
      <c r="W725">
        <v>661</v>
      </c>
      <c r="X725">
        <f>NHS_AE_2024_2025[[#This Row],[A&amp;E attendances Type 1]]+
NHS_AE_2024_2025[[#This Row],[A&amp;E attendances Type 2]]+
NHS_AE_2024_2025[[#This Row],[A&amp;E attendances Other A&amp;E Department]]</f>
        <v>9389</v>
      </c>
      <c r="Y725">
        <f t="shared" si="22"/>
        <v>3713</v>
      </c>
      <c r="Z725">
        <f t="shared" si="23"/>
        <v>2866</v>
      </c>
    </row>
    <row r="726" spans="1:26" x14ac:dyDescent="0.2">
      <c r="A726" t="s">
        <v>437</v>
      </c>
      <c r="B726" t="s">
        <v>438</v>
      </c>
      <c r="C726" t="s">
        <v>114</v>
      </c>
      <c r="D726" t="s">
        <v>32</v>
      </c>
      <c r="E726" t="s">
        <v>115</v>
      </c>
      <c r="F726">
        <v>7851</v>
      </c>
      <c r="G726">
        <v>515</v>
      </c>
      <c r="H726">
        <v>2051</v>
      </c>
      <c r="I726">
        <v>1282</v>
      </c>
      <c r="J726">
        <v>0</v>
      </c>
      <c r="K726">
        <v>282</v>
      </c>
      <c r="L726">
        <v>3296</v>
      </c>
      <c r="M726">
        <v>11</v>
      </c>
      <c r="N726">
        <v>205</v>
      </c>
      <c r="O726">
        <v>487</v>
      </c>
      <c r="P726">
        <v>0</v>
      </c>
      <c r="Q726">
        <v>24</v>
      </c>
      <c r="R726">
        <v>578</v>
      </c>
      <c r="S726">
        <v>659</v>
      </c>
      <c r="T726">
        <v>2110</v>
      </c>
      <c r="U726">
        <v>0</v>
      </c>
      <c r="V726">
        <v>0</v>
      </c>
      <c r="W726">
        <v>767</v>
      </c>
      <c r="X726">
        <f>NHS_AE_2024_2025[[#This Row],[A&amp;E attendances Type 1]]+
NHS_AE_2024_2025[[#This Row],[A&amp;E attendances Type 2]]+
NHS_AE_2024_2025[[#This Row],[A&amp;E attendances Other A&amp;E Department]]</f>
        <v>10417</v>
      </c>
      <c r="Y726">
        <f t="shared" si="22"/>
        <v>3512</v>
      </c>
      <c r="Z726">
        <f t="shared" si="23"/>
        <v>2877</v>
      </c>
    </row>
    <row r="727" spans="1:26" x14ac:dyDescent="0.2">
      <c r="A727" t="s">
        <v>437</v>
      </c>
      <c r="B727" t="s">
        <v>438</v>
      </c>
      <c r="C727" t="s">
        <v>320</v>
      </c>
      <c r="D727" t="s">
        <v>26</v>
      </c>
      <c r="E727" t="s">
        <v>321</v>
      </c>
      <c r="F727">
        <v>4104</v>
      </c>
      <c r="G727">
        <v>276</v>
      </c>
      <c r="H727">
        <v>1584</v>
      </c>
      <c r="I727">
        <v>159</v>
      </c>
      <c r="J727">
        <v>0</v>
      </c>
      <c r="K727">
        <v>0</v>
      </c>
      <c r="L727">
        <v>1929</v>
      </c>
      <c r="M727">
        <v>0</v>
      </c>
      <c r="N727">
        <v>0</v>
      </c>
      <c r="O727">
        <v>79</v>
      </c>
      <c r="P727">
        <v>0</v>
      </c>
      <c r="Q727">
        <v>0</v>
      </c>
      <c r="R727">
        <v>477</v>
      </c>
      <c r="S727">
        <v>52</v>
      </c>
      <c r="T727">
        <v>1202</v>
      </c>
      <c r="U727">
        <v>0</v>
      </c>
      <c r="V727">
        <v>0</v>
      </c>
      <c r="W727">
        <v>907</v>
      </c>
      <c r="X727">
        <f>NHS_AE_2024_2025[[#This Row],[A&amp;E attendances Type 1]]+
NHS_AE_2024_2025[[#This Row],[A&amp;E attendances Type 2]]+
NHS_AE_2024_2025[[#This Row],[A&amp;E attendances Other A&amp;E Department]]</f>
        <v>5964</v>
      </c>
      <c r="Y727">
        <f t="shared" si="22"/>
        <v>1929</v>
      </c>
      <c r="Z727">
        <f t="shared" si="23"/>
        <v>2109</v>
      </c>
    </row>
    <row r="728" spans="1:26" x14ac:dyDescent="0.2">
      <c r="A728" t="s">
        <v>437</v>
      </c>
      <c r="B728" t="s">
        <v>438</v>
      </c>
      <c r="C728" t="s">
        <v>330</v>
      </c>
      <c r="D728" t="s">
        <v>50</v>
      </c>
      <c r="E728" t="s">
        <v>331</v>
      </c>
      <c r="F728">
        <v>16141</v>
      </c>
      <c r="G728">
        <v>660</v>
      </c>
      <c r="H728">
        <v>11206</v>
      </c>
      <c r="I728">
        <v>7</v>
      </c>
      <c r="J728">
        <v>0</v>
      </c>
      <c r="K728">
        <v>80</v>
      </c>
      <c r="L728">
        <v>7361</v>
      </c>
      <c r="M728">
        <v>0</v>
      </c>
      <c r="N728">
        <v>220</v>
      </c>
      <c r="O728">
        <v>1</v>
      </c>
      <c r="P728">
        <v>0</v>
      </c>
      <c r="Q728">
        <v>0</v>
      </c>
      <c r="R728">
        <v>1511</v>
      </c>
      <c r="S728">
        <v>581</v>
      </c>
      <c r="T728">
        <v>3376</v>
      </c>
      <c r="U728">
        <v>0</v>
      </c>
      <c r="V728">
        <v>0</v>
      </c>
      <c r="W728">
        <v>1133</v>
      </c>
      <c r="X728">
        <f>NHS_AE_2024_2025[[#This Row],[A&amp;E attendances Type 1]]+
NHS_AE_2024_2025[[#This Row],[A&amp;E attendances Type 2]]+
NHS_AE_2024_2025[[#This Row],[A&amp;E attendances Other A&amp;E Department]]</f>
        <v>28007</v>
      </c>
      <c r="Y728">
        <f t="shared" si="22"/>
        <v>7581</v>
      </c>
      <c r="Z728">
        <f t="shared" si="23"/>
        <v>4509</v>
      </c>
    </row>
    <row r="729" spans="1:26" x14ac:dyDescent="0.2">
      <c r="A729" t="s">
        <v>437</v>
      </c>
      <c r="B729" t="s">
        <v>438</v>
      </c>
      <c r="C729" t="s">
        <v>334</v>
      </c>
      <c r="D729" t="s">
        <v>26</v>
      </c>
      <c r="E729" t="s">
        <v>335</v>
      </c>
      <c r="F729">
        <v>11528</v>
      </c>
      <c r="G729">
        <v>0</v>
      </c>
      <c r="H729">
        <v>0</v>
      </c>
      <c r="I729">
        <v>199</v>
      </c>
      <c r="J729">
        <v>0</v>
      </c>
      <c r="K729">
        <v>0</v>
      </c>
      <c r="L729">
        <v>4563</v>
      </c>
      <c r="M729">
        <v>0</v>
      </c>
      <c r="N729">
        <v>0</v>
      </c>
      <c r="O729">
        <v>58</v>
      </c>
      <c r="P729">
        <v>0</v>
      </c>
      <c r="Q729">
        <v>0</v>
      </c>
      <c r="R729">
        <v>378</v>
      </c>
      <c r="S729">
        <v>423</v>
      </c>
      <c r="T729">
        <v>2435</v>
      </c>
      <c r="U729">
        <v>0</v>
      </c>
      <c r="V729">
        <v>0</v>
      </c>
      <c r="W729">
        <v>2179</v>
      </c>
      <c r="X729">
        <f>NHS_AE_2024_2025[[#This Row],[A&amp;E attendances Type 1]]+
NHS_AE_2024_2025[[#This Row],[A&amp;E attendances Type 2]]+
NHS_AE_2024_2025[[#This Row],[A&amp;E attendances Other A&amp;E Department]]</f>
        <v>11528</v>
      </c>
      <c r="Y729">
        <f t="shared" si="22"/>
        <v>4563</v>
      </c>
      <c r="Z729">
        <f t="shared" si="23"/>
        <v>4614</v>
      </c>
    </row>
    <row r="730" spans="1:26" x14ac:dyDescent="0.2">
      <c r="A730" t="s">
        <v>437</v>
      </c>
      <c r="B730" t="s">
        <v>438</v>
      </c>
      <c r="C730" t="s">
        <v>262</v>
      </c>
      <c r="D730" t="s">
        <v>26</v>
      </c>
      <c r="E730" t="s">
        <v>263</v>
      </c>
      <c r="F730">
        <v>0</v>
      </c>
      <c r="G730">
        <v>0</v>
      </c>
      <c r="H730">
        <v>6854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56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20</v>
      </c>
      <c r="X730">
        <f>NHS_AE_2024_2025[[#This Row],[A&amp;E attendances Type 1]]+
NHS_AE_2024_2025[[#This Row],[A&amp;E attendances Type 2]]+
NHS_AE_2024_2025[[#This Row],[A&amp;E attendances Other A&amp;E Department]]</f>
        <v>6854</v>
      </c>
      <c r="Y730">
        <f t="shared" si="22"/>
        <v>56</v>
      </c>
      <c r="Z730">
        <f t="shared" si="23"/>
        <v>20</v>
      </c>
    </row>
    <row r="731" spans="1:26" x14ac:dyDescent="0.2">
      <c r="A731" t="s">
        <v>437</v>
      </c>
      <c r="B731" t="s">
        <v>438</v>
      </c>
      <c r="C731" t="s">
        <v>210</v>
      </c>
      <c r="D731" t="s">
        <v>26</v>
      </c>
      <c r="E731" t="s">
        <v>211</v>
      </c>
      <c r="F731">
        <v>7931</v>
      </c>
      <c r="G731">
        <v>0</v>
      </c>
      <c r="H731">
        <v>0</v>
      </c>
      <c r="I731">
        <v>10</v>
      </c>
      <c r="J731">
        <v>0</v>
      </c>
      <c r="K731">
        <v>0</v>
      </c>
      <c r="L731">
        <v>3221</v>
      </c>
      <c r="M731">
        <v>0</v>
      </c>
      <c r="N731">
        <v>0</v>
      </c>
      <c r="O731">
        <v>4</v>
      </c>
      <c r="P731">
        <v>0</v>
      </c>
      <c r="Q731">
        <v>0</v>
      </c>
      <c r="R731">
        <v>379</v>
      </c>
      <c r="S731">
        <v>536</v>
      </c>
      <c r="T731">
        <v>2563</v>
      </c>
      <c r="U731">
        <v>0</v>
      </c>
      <c r="V731">
        <v>0</v>
      </c>
      <c r="W731">
        <v>2324</v>
      </c>
      <c r="X731">
        <f>NHS_AE_2024_2025[[#This Row],[A&amp;E attendances Type 1]]+
NHS_AE_2024_2025[[#This Row],[A&amp;E attendances Type 2]]+
NHS_AE_2024_2025[[#This Row],[A&amp;E attendances Other A&amp;E Department]]</f>
        <v>7931</v>
      </c>
      <c r="Y731">
        <f t="shared" si="22"/>
        <v>3221</v>
      </c>
      <c r="Z731">
        <f t="shared" si="23"/>
        <v>4887</v>
      </c>
    </row>
    <row r="732" spans="1:26" x14ac:dyDescent="0.2">
      <c r="A732" t="s">
        <v>437</v>
      </c>
      <c r="B732" t="s">
        <v>438</v>
      </c>
      <c r="C732" t="s">
        <v>212</v>
      </c>
      <c r="D732" t="s">
        <v>50</v>
      </c>
      <c r="E732" t="s">
        <v>213</v>
      </c>
      <c r="F732">
        <v>4546</v>
      </c>
      <c r="G732">
        <v>0</v>
      </c>
      <c r="H732">
        <v>10231</v>
      </c>
      <c r="I732">
        <v>0</v>
      </c>
      <c r="J732">
        <v>0</v>
      </c>
      <c r="K732">
        <v>0</v>
      </c>
      <c r="L732">
        <v>2115</v>
      </c>
      <c r="M732">
        <v>0</v>
      </c>
      <c r="N732">
        <v>28</v>
      </c>
      <c r="O732">
        <v>0</v>
      </c>
      <c r="P732">
        <v>0</v>
      </c>
      <c r="Q732">
        <v>0</v>
      </c>
      <c r="R732">
        <v>156</v>
      </c>
      <c r="S732">
        <v>1</v>
      </c>
      <c r="T732">
        <v>1581</v>
      </c>
      <c r="U732">
        <v>0</v>
      </c>
      <c r="V732">
        <v>408</v>
      </c>
      <c r="W732">
        <v>2085</v>
      </c>
      <c r="X732">
        <f>NHS_AE_2024_2025[[#This Row],[A&amp;E attendances Type 1]]+
NHS_AE_2024_2025[[#This Row],[A&amp;E attendances Type 2]]+
NHS_AE_2024_2025[[#This Row],[A&amp;E attendances Other A&amp;E Department]]</f>
        <v>14777</v>
      </c>
      <c r="Y732">
        <f t="shared" si="22"/>
        <v>2143</v>
      </c>
      <c r="Z732">
        <f t="shared" si="23"/>
        <v>4074</v>
      </c>
    </row>
    <row r="733" spans="1:26" x14ac:dyDescent="0.2">
      <c r="A733" t="s">
        <v>437</v>
      </c>
      <c r="B733" t="s">
        <v>438</v>
      </c>
      <c r="C733" t="s">
        <v>172</v>
      </c>
      <c r="D733" t="s">
        <v>37</v>
      </c>
      <c r="E733" t="s">
        <v>173</v>
      </c>
      <c r="F733">
        <v>7068</v>
      </c>
      <c r="G733">
        <v>0</v>
      </c>
      <c r="H733">
        <v>2211</v>
      </c>
      <c r="I733">
        <v>1705</v>
      </c>
      <c r="J733">
        <v>0</v>
      </c>
      <c r="K733">
        <v>1676</v>
      </c>
      <c r="L733">
        <v>3415</v>
      </c>
      <c r="M733">
        <v>0</v>
      </c>
      <c r="N733">
        <v>115</v>
      </c>
      <c r="O733">
        <v>0</v>
      </c>
      <c r="P733">
        <v>0</v>
      </c>
      <c r="Q733">
        <v>0</v>
      </c>
      <c r="R733">
        <v>219</v>
      </c>
      <c r="S733">
        <v>76</v>
      </c>
      <c r="T733">
        <v>2799</v>
      </c>
      <c r="U733">
        <v>0</v>
      </c>
      <c r="V733">
        <v>0</v>
      </c>
      <c r="W733">
        <v>496</v>
      </c>
      <c r="X733">
        <f>NHS_AE_2024_2025[[#This Row],[A&amp;E attendances Type 1]]+
NHS_AE_2024_2025[[#This Row],[A&amp;E attendances Type 2]]+
NHS_AE_2024_2025[[#This Row],[A&amp;E attendances Other A&amp;E Department]]</f>
        <v>9279</v>
      </c>
      <c r="Y733">
        <f t="shared" si="22"/>
        <v>3530</v>
      </c>
      <c r="Z733">
        <f t="shared" si="23"/>
        <v>3295</v>
      </c>
    </row>
    <row r="734" spans="1:26" x14ac:dyDescent="0.2">
      <c r="A734" t="s">
        <v>437</v>
      </c>
      <c r="B734" t="s">
        <v>438</v>
      </c>
      <c r="C734" t="s">
        <v>178</v>
      </c>
      <c r="D734" t="s">
        <v>55</v>
      </c>
      <c r="E734" t="s">
        <v>179</v>
      </c>
      <c r="F734">
        <v>0</v>
      </c>
      <c r="G734">
        <v>0</v>
      </c>
      <c r="H734">
        <v>2711</v>
      </c>
      <c r="I734">
        <v>0</v>
      </c>
      <c r="J734">
        <v>0</v>
      </c>
      <c r="K734">
        <v>146</v>
      </c>
      <c r="L734">
        <v>0</v>
      </c>
      <c r="M734">
        <v>0</v>
      </c>
      <c r="N734">
        <v>154</v>
      </c>
      <c r="O734">
        <v>0</v>
      </c>
      <c r="P734">
        <v>0</v>
      </c>
      <c r="Q734">
        <v>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f>NHS_AE_2024_2025[[#This Row],[A&amp;E attendances Type 1]]+
NHS_AE_2024_2025[[#This Row],[A&amp;E attendances Type 2]]+
NHS_AE_2024_2025[[#This Row],[A&amp;E attendances Other A&amp;E Department]]</f>
        <v>2711</v>
      </c>
      <c r="Y734">
        <f t="shared" si="22"/>
        <v>154</v>
      </c>
      <c r="Z734">
        <f t="shared" si="23"/>
        <v>0</v>
      </c>
    </row>
    <row r="735" spans="1:26" x14ac:dyDescent="0.2">
      <c r="A735" t="s">
        <v>437</v>
      </c>
      <c r="B735" t="s">
        <v>438</v>
      </c>
      <c r="C735" t="s">
        <v>356</v>
      </c>
      <c r="D735" t="s">
        <v>32</v>
      </c>
      <c r="E735" t="s">
        <v>357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3</v>
      </c>
      <c r="W735">
        <v>79</v>
      </c>
      <c r="X735">
        <f>NHS_AE_2024_2025[[#This Row],[A&amp;E attendances Type 1]]+
NHS_AE_2024_2025[[#This Row],[A&amp;E attendances Type 2]]+
NHS_AE_2024_2025[[#This Row],[A&amp;E attendances Other A&amp;E Department]]</f>
        <v>0</v>
      </c>
      <c r="Y735">
        <f t="shared" si="22"/>
        <v>0</v>
      </c>
      <c r="Z735">
        <f t="shared" si="23"/>
        <v>82</v>
      </c>
    </row>
    <row r="736" spans="1:26" x14ac:dyDescent="0.2">
      <c r="A736" t="s">
        <v>437</v>
      </c>
      <c r="B736" t="s">
        <v>438</v>
      </c>
      <c r="C736" t="s">
        <v>276</v>
      </c>
      <c r="D736" t="s">
        <v>37</v>
      </c>
      <c r="E736" t="s">
        <v>277</v>
      </c>
      <c r="F736">
        <v>23507</v>
      </c>
      <c r="G736">
        <v>1239</v>
      </c>
      <c r="H736">
        <v>1249</v>
      </c>
      <c r="I736">
        <v>1582</v>
      </c>
      <c r="J736">
        <v>0</v>
      </c>
      <c r="K736">
        <v>611</v>
      </c>
      <c r="L736">
        <v>9141</v>
      </c>
      <c r="M736">
        <v>31</v>
      </c>
      <c r="N736">
        <v>149</v>
      </c>
      <c r="O736">
        <v>394</v>
      </c>
      <c r="P736">
        <v>0</v>
      </c>
      <c r="Q736">
        <v>2</v>
      </c>
      <c r="R736">
        <v>799</v>
      </c>
      <c r="S736">
        <v>962</v>
      </c>
      <c r="T736">
        <v>7732</v>
      </c>
      <c r="U736">
        <v>26</v>
      </c>
      <c r="V736">
        <v>56</v>
      </c>
      <c r="W736">
        <v>1395</v>
      </c>
      <c r="X736">
        <f>NHS_AE_2024_2025[[#This Row],[A&amp;E attendances Type 1]]+
NHS_AE_2024_2025[[#This Row],[A&amp;E attendances Type 2]]+
NHS_AE_2024_2025[[#This Row],[A&amp;E attendances Other A&amp;E Department]]</f>
        <v>25995</v>
      </c>
      <c r="Y736">
        <f t="shared" si="22"/>
        <v>9321</v>
      </c>
      <c r="Z736">
        <f t="shared" si="23"/>
        <v>9209</v>
      </c>
    </row>
    <row r="737" spans="1:26" x14ac:dyDescent="0.2">
      <c r="A737" t="s">
        <v>437</v>
      </c>
      <c r="B737" t="s">
        <v>438</v>
      </c>
      <c r="C737" t="s">
        <v>412</v>
      </c>
      <c r="D737" t="s">
        <v>32</v>
      </c>
      <c r="E737" t="s">
        <v>413</v>
      </c>
      <c r="F737">
        <v>0</v>
      </c>
      <c r="G737">
        <v>0</v>
      </c>
      <c r="H737">
        <v>490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f>NHS_AE_2024_2025[[#This Row],[A&amp;E attendances Type 1]]+
NHS_AE_2024_2025[[#This Row],[A&amp;E attendances Type 2]]+
NHS_AE_2024_2025[[#This Row],[A&amp;E attendances Other A&amp;E Department]]</f>
        <v>490</v>
      </c>
      <c r="Y737">
        <f t="shared" si="22"/>
        <v>0</v>
      </c>
      <c r="Z737">
        <f t="shared" si="23"/>
        <v>0</v>
      </c>
    </row>
    <row r="738" spans="1:26" x14ac:dyDescent="0.2">
      <c r="A738" t="s">
        <v>437</v>
      </c>
      <c r="B738" t="s">
        <v>438</v>
      </c>
      <c r="C738" t="s">
        <v>286</v>
      </c>
      <c r="D738" t="s">
        <v>37</v>
      </c>
      <c r="E738" t="s">
        <v>287</v>
      </c>
      <c r="F738">
        <v>4136</v>
      </c>
      <c r="G738">
        <v>318</v>
      </c>
      <c r="H738">
        <v>1275</v>
      </c>
      <c r="I738">
        <v>22</v>
      </c>
      <c r="J738">
        <v>0</v>
      </c>
      <c r="K738">
        <v>18</v>
      </c>
      <c r="L738">
        <v>1678</v>
      </c>
      <c r="M738">
        <v>0</v>
      </c>
      <c r="N738">
        <v>0</v>
      </c>
      <c r="O738">
        <v>8</v>
      </c>
      <c r="P738">
        <v>0</v>
      </c>
      <c r="Q738">
        <v>0</v>
      </c>
      <c r="R738">
        <v>207</v>
      </c>
      <c r="S738">
        <v>68</v>
      </c>
      <c r="T738">
        <v>1161</v>
      </c>
      <c r="U738">
        <v>0</v>
      </c>
      <c r="V738">
        <v>0</v>
      </c>
      <c r="W738">
        <v>103</v>
      </c>
      <c r="X738">
        <f>NHS_AE_2024_2025[[#This Row],[A&amp;E attendances Type 1]]+
NHS_AE_2024_2025[[#This Row],[A&amp;E attendances Type 2]]+
NHS_AE_2024_2025[[#This Row],[A&amp;E attendances Other A&amp;E Department]]</f>
        <v>5729</v>
      </c>
      <c r="Y738">
        <f t="shared" si="22"/>
        <v>1678</v>
      </c>
      <c r="Z738">
        <f t="shared" si="23"/>
        <v>1264</v>
      </c>
    </row>
    <row r="739" spans="1:26" x14ac:dyDescent="0.2">
      <c r="A739" t="s">
        <v>437</v>
      </c>
      <c r="B739" t="s">
        <v>438</v>
      </c>
      <c r="C739" t="s">
        <v>224</v>
      </c>
      <c r="D739" t="s">
        <v>29</v>
      </c>
      <c r="E739" t="s">
        <v>225</v>
      </c>
      <c r="F739">
        <v>22906</v>
      </c>
      <c r="G739">
        <v>837</v>
      </c>
      <c r="H739">
        <v>16926</v>
      </c>
      <c r="I739">
        <v>0</v>
      </c>
      <c r="J739">
        <v>0</v>
      </c>
      <c r="K739">
        <v>0</v>
      </c>
      <c r="L739">
        <v>10470</v>
      </c>
      <c r="M739">
        <v>24</v>
      </c>
      <c r="N739">
        <v>1686</v>
      </c>
      <c r="O739">
        <v>0</v>
      </c>
      <c r="P739">
        <v>0</v>
      </c>
      <c r="Q739">
        <v>0</v>
      </c>
      <c r="R739">
        <v>1025</v>
      </c>
      <c r="S739">
        <v>962</v>
      </c>
      <c r="T739">
        <v>4110</v>
      </c>
      <c r="U739">
        <v>0</v>
      </c>
      <c r="V739">
        <v>33</v>
      </c>
      <c r="W739">
        <v>1051</v>
      </c>
      <c r="X739">
        <f>NHS_AE_2024_2025[[#This Row],[A&amp;E attendances Type 1]]+
NHS_AE_2024_2025[[#This Row],[A&amp;E attendances Type 2]]+
NHS_AE_2024_2025[[#This Row],[A&amp;E attendances Other A&amp;E Department]]</f>
        <v>40669</v>
      </c>
      <c r="Y739">
        <f t="shared" si="22"/>
        <v>12180</v>
      </c>
      <c r="Z739">
        <f t="shared" si="23"/>
        <v>5194</v>
      </c>
    </row>
    <row r="740" spans="1:26" x14ac:dyDescent="0.2">
      <c r="A740" t="s">
        <v>437</v>
      </c>
      <c r="B740" t="s">
        <v>438</v>
      </c>
      <c r="C740" t="s">
        <v>190</v>
      </c>
      <c r="D740" t="s">
        <v>50</v>
      </c>
      <c r="E740" t="s">
        <v>191</v>
      </c>
      <c r="F740">
        <v>8651</v>
      </c>
      <c r="G740">
        <v>881</v>
      </c>
      <c r="H740">
        <v>2733</v>
      </c>
      <c r="I740">
        <v>0</v>
      </c>
      <c r="J740">
        <v>0</v>
      </c>
      <c r="K740">
        <v>0</v>
      </c>
      <c r="L740">
        <v>2191</v>
      </c>
      <c r="M740">
        <v>0</v>
      </c>
      <c r="N740">
        <v>2</v>
      </c>
      <c r="O740">
        <v>0</v>
      </c>
      <c r="P740">
        <v>0</v>
      </c>
      <c r="Q740">
        <v>0</v>
      </c>
      <c r="R740">
        <v>574</v>
      </c>
      <c r="S740">
        <v>124</v>
      </c>
      <c r="T740">
        <v>2311</v>
      </c>
      <c r="U740">
        <v>0</v>
      </c>
      <c r="V740">
        <v>18</v>
      </c>
      <c r="W740">
        <v>1393</v>
      </c>
      <c r="X740">
        <f>NHS_AE_2024_2025[[#This Row],[A&amp;E attendances Type 1]]+
NHS_AE_2024_2025[[#This Row],[A&amp;E attendances Type 2]]+
NHS_AE_2024_2025[[#This Row],[A&amp;E attendances Other A&amp;E Department]]</f>
        <v>12265</v>
      </c>
      <c r="Y740">
        <f t="shared" si="22"/>
        <v>2193</v>
      </c>
      <c r="Z740">
        <f t="shared" si="23"/>
        <v>3722</v>
      </c>
    </row>
    <row r="741" spans="1:26" x14ac:dyDescent="0.2">
      <c r="A741" t="s">
        <v>437</v>
      </c>
      <c r="B741" t="s">
        <v>438</v>
      </c>
      <c r="C741" t="s">
        <v>236</v>
      </c>
      <c r="D741" t="s">
        <v>32</v>
      </c>
      <c r="E741" t="s">
        <v>237</v>
      </c>
      <c r="F741">
        <v>8257</v>
      </c>
      <c r="G741">
        <v>0</v>
      </c>
      <c r="H741">
        <v>4002</v>
      </c>
      <c r="I741">
        <v>34</v>
      </c>
      <c r="J741">
        <v>0</v>
      </c>
      <c r="K741">
        <v>133</v>
      </c>
      <c r="L741">
        <v>3202</v>
      </c>
      <c r="M741">
        <v>0</v>
      </c>
      <c r="N741">
        <v>113</v>
      </c>
      <c r="O741">
        <v>13</v>
      </c>
      <c r="P741">
        <v>0</v>
      </c>
      <c r="Q741">
        <v>0</v>
      </c>
      <c r="R741">
        <v>1173</v>
      </c>
      <c r="S741">
        <v>358</v>
      </c>
      <c r="T741">
        <v>3483</v>
      </c>
      <c r="U741">
        <v>0</v>
      </c>
      <c r="V741">
        <v>0</v>
      </c>
      <c r="W741">
        <v>707</v>
      </c>
      <c r="X741">
        <f>NHS_AE_2024_2025[[#This Row],[A&amp;E attendances Type 1]]+
NHS_AE_2024_2025[[#This Row],[A&amp;E attendances Type 2]]+
NHS_AE_2024_2025[[#This Row],[A&amp;E attendances Other A&amp;E Department]]</f>
        <v>12259</v>
      </c>
      <c r="Y741">
        <f t="shared" si="22"/>
        <v>3315</v>
      </c>
      <c r="Z741">
        <f t="shared" si="23"/>
        <v>4190</v>
      </c>
    </row>
    <row r="742" spans="1:26" x14ac:dyDescent="0.2">
      <c r="A742" t="s">
        <v>437</v>
      </c>
      <c r="B742" t="s">
        <v>438</v>
      </c>
      <c r="C742" t="s">
        <v>192</v>
      </c>
      <c r="D742" t="s">
        <v>55</v>
      </c>
      <c r="E742" t="s">
        <v>193</v>
      </c>
      <c r="F742">
        <v>5570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1182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816</v>
      </c>
      <c r="U742">
        <v>0</v>
      </c>
      <c r="V742">
        <v>0</v>
      </c>
      <c r="W742">
        <v>272</v>
      </c>
      <c r="X742">
        <f>NHS_AE_2024_2025[[#This Row],[A&amp;E attendances Type 1]]+
NHS_AE_2024_2025[[#This Row],[A&amp;E attendances Type 2]]+
NHS_AE_2024_2025[[#This Row],[A&amp;E attendances Other A&amp;E Department]]</f>
        <v>5570</v>
      </c>
      <c r="Y742">
        <f t="shared" si="22"/>
        <v>1182</v>
      </c>
      <c r="Z742">
        <f t="shared" si="23"/>
        <v>1088</v>
      </c>
    </row>
    <row r="743" spans="1:26" x14ac:dyDescent="0.2">
      <c r="A743" t="s">
        <v>437</v>
      </c>
      <c r="B743" t="s">
        <v>438</v>
      </c>
      <c r="C743" t="s">
        <v>238</v>
      </c>
      <c r="D743" t="s">
        <v>50</v>
      </c>
      <c r="E743" t="s">
        <v>239</v>
      </c>
      <c r="F743">
        <v>9502</v>
      </c>
      <c r="G743">
        <v>321</v>
      </c>
      <c r="H743">
        <v>6536</v>
      </c>
      <c r="I743">
        <v>0</v>
      </c>
      <c r="J743">
        <v>0</v>
      </c>
      <c r="K743">
        <v>0</v>
      </c>
      <c r="L743">
        <v>5345</v>
      </c>
      <c r="M743">
        <v>0</v>
      </c>
      <c r="N743">
        <v>191</v>
      </c>
      <c r="O743">
        <v>0</v>
      </c>
      <c r="P743">
        <v>0</v>
      </c>
      <c r="Q743">
        <v>0</v>
      </c>
      <c r="R743">
        <v>704</v>
      </c>
      <c r="S743">
        <v>433</v>
      </c>
      <c r="T743">
        <v>4251</v>
      </c>
      <c r="U743">
        <v>0</v>
      </c>
      <c r="V743">
        <v>0</v>
      </c>
      <c r="W743">
        <v>1416</v>
      </c>
      <c r="X743">
        <f>NHS_AE_2024_2025[[#This Row],[A&amp;E attendances Type 1]]+
NHS_AE_2024_2025[[#This Row],[A&amp;E attendances Type 2]]+
NHS_AE_2024_2025[[#This Row],[A&amp;E attendances Other A&amp;E Department]]</f>
        <v>16359</v>
      </c>
      <c r="Y743">
        <f t="shared" si="22"/>
        <v>5536</v>
      </c>
      <c r="Z743">
        <f t="shared" si="23"/>
        <v>5667</v>
      </c>
    </row>
    <row r="744" spans="1:26" x14ac:dyDescent="0.2">
      <c r="A744" t="s">
        <v>437</v>
      </c>
      <c r="B744" t="s">
        <v>438</v>
      </c>
      <c r="C744" t="s">
        <v>240</v>
      </c>
      <c r="D744" t="s">
        <v>50</v>
      </c>
      <c r="E744" t="s">
        <v>241</v>
      </c>
      <c r="F744">
        <v>5169</v>
      </c>
      <c r="G744">
        <v>217</v>
      </c>
      <c r="H744">
        <v>0</v>
      </c>
      <c r="I744">
        <v>476</v>
      </c>
      <c r="J744">
        <v>0</v>
      </c>
      <c r="K744">
        <v>0</v>
      </c>
      <c r="L744">
        <v>2298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446</v>
      </c>
      <c r="S744">
        <v>162</v>
      </c>
      <c r="T744">
        <v>1442</v>
      </c>
      <c r="U744">
        <v>0</v>
      </c>
      <c r="V744">
        <v>0</v>
      </c>
      <c r="W744">
        <v>488</v>
      </c>
      <c r="X744">
        <f>NHS_AE_2024_2025[[#This Row],[A&amp;E attendances Type 1]]+
NHS_AE_2024_2025[[#This Row],[A&amp;E attendances Type 2]]+
NHS_AE_2024_2025[[#This Row],[A&amp;E attendances Other A&amp;E Department]]</f>
        <v>5386</v>
      </c>
      <c r="Y744">
        <f t="shared" si="22"/>
        <v>2298</v>
      </c>
      <c r="Z744">
        <f t="shared" si="23"/>
        <v>1930</v>
      </c>
    </row>
    <row r="745" spans="1:26" x14ac:dyDescent="0.2">
      <c r="A745" t="s">
        <v>437</v>
      </c>
      <c r="B745" t="s">
        <v>438</v>
      </c>
      <c r="C745" t="s">
        <v>296</v>
      </c>
      <c r="D745" t="s">
        <v>70</v>
      </c>
      <c r="E745" t="s">
        <v>297</v>
      </c>
      <c r="F745">
        <v>11244</v>
      </c>
      <c r="G745">
        <v>0</v>
      </c>
      <c r="H745">
        <v>13498</v>
      </c>
      <c r="I745">
        <v>1004</v>
      </c>
      <c r="J745">
        <v>0</v>
      </c>
      <c r="K745">
        <v>568</v>
      </c>
      <c r="L745">
        <v>6074</v>
      </c>
      <c r="M745">
        <v>0</v>
      </c>
      <c r="N745">
        <v>374</v>
      </c>
      <c r="O745">
        <v>0</v>
      </c>
      <c r="P745">
        <v>0</v>
      </c>
      <c r="Q745">
        <v>0</v>
      </c>
      <c r="R745">
        <v>993</v>
      </c>
      <c r="S745">
        <v>778</v>
      </c>
      <c r="T745">
        <v>5855</v>
      </c>
      <c r="U745">
        <v>0</v>
      </c>
      <c r="V745">
        <v>359</v>
      </c>
      <c r="W745">
        <v>1040</v>
      </c>
      <c r="X745">
        <f>NHS_AE_2024_2025[[#This Row],[A&amp;E attendances Type 1]]+
NHS_AE_2024_2025[[#This Row],[A&amp;E attendances Type 2]]+
NHS_AE_2024_2025[[#This Row],[A&amp;E attendances Other A&amp;E Department]]</f>
        <v>24742</v>
      </c>
      <c r="Y745">
        <f t="shared" si="22"/>
        <v>6448</v>
      </c>
      <c r="Z745">
        <f t="shared" si="23"/>
        <v>7254</v>
      </c>
    </row>
    <row r="746" spans="1:26" x14ac:dyDescent="0.2">
      <c r="A746" t="s">
        <v>437</v>
      </c>
      <c r="B746" t="s">
        <v>438</v>
      </c>
      <c r="C746" t="s">
        <v>364</v>
      </c>
      <c r="D746" t="s">
        <v>37</v>
      </c>
      <c r="E746" t="s">
        <v>365</v>
      </c>
      <c r="F746">
        <v>0</v>
      </c>
      <c r="G746">
        <v>0</v>
      </c>
      <c r="H746">
        <v>10491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101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f>NHS_AE_2024_2025[[#This Row],[A&amp;E attendances Type 1]]+
NHS_AE_2024_2025[[#This Row],[A&amp;E attendances Type 2]]+
NHS_AE_2024_2025[[#This Row],[A&amp;E attendances Other A&amp;E Department]]</f>
        <v>10491</v>
      </c>
      <c r="Y746">
        <f t="shared" si="22"/>
        <v>101</v>
      </c>
      <c r="Z746">
        <f t="shared" si="23"/>
        <v>0</v>
      </c>
    </row>
    <row r="747" spans="1:26" x14ac:dyDescent="0.2">
      <c r="A747" t="s">
        <v>437</v>
      </c>
      <c r="B747" t="s">
        <v>438</v>
      </c>
      <c r="C747" t="s">
        <v>298</v>
      </c>
      <c r="D747" t="s">
        <v>32</v>
      </c>
      <c r="E747" t="s">
        <v>299</v>
      </c>
      <c r="F747">
        <v>5996</v>
      </c>
      <c r="G747">
        <v>0</v>
      </c>
      <c r="H747">
        <v>5491</v>
      </c>
      <c r="I747">
        <v>334</v>
      </c>
      <c r="J747">
        <v>0</v>
      </c>
      <c r="K747">
        <v>159</v>
      </c>
      <c r="L747">
        <v>3019</v>
      </c>
      <c r="M747">
        <v>0</v>
      </c>
      <c r="N747">
        <v>296</v>
      </c>
      <c r="O747">
        <v>150</v>
      </c>
      <c r="P747">
        <v>0</v>
      </c>
      <c r="Q747">
        <v>12</v>
      </c>
      <c r="R747">
        <v>841</v>
      </c>
      <c r="S747">
        <v>151</v>
      </c>
      <c r="T747">
        <v>2491</v>
      </c>
      <c r="U747">
        <v>0</v>
      </c>
      <c r="V747">
        <v>208</v>
      </c>
      <c r="W747">
        <v>611</v>
      </c>
      <c r="X747">
        <f>NHS_AE_2024_2025[[#This Row],[A&amp;E attendances Type 1]]+
NHS_AE_2024_2025[[#This Row],[A&amp;E attendances Type 2]]+
NHS_AE_2024_2025[[#This Row],[A&amp;E attendances Other A&amp;E Department]]</f>
        <v>11487</v>
      </c>
      <c r="Y747">
        <f t="shared" si="22"/>
        <v>3315</v>
      </c>
      <c r="Z747">
        <f t="shared" si="23"/>
        <v>3310</v>
      </c>
    </row>
    <row r="748" spans="1:26" x14ac:dyDescent="0.2">
      <c r="A748" t="s">
        <v>437</v>
      </c>
      <c r="B748" t="s">
        <v>438</v>
      </c>
      <c r="C748" t="s">
        <v>300</v>
      </c>
      <c r="D748" t="s">
        <v>37</v>
      </c>
      <c r="E748" t="s">
        <v>301</v>
      </c>
      <c r="F748">
        <v>10784</v>
      </c>
      <c r="G748">
        <v>1122</v>
      </c>
      <c r="H748">
        <v>0</v>
      </c>
      <c r="I748">
        <v>299</v>
      </c>
      <c r="J748">
        <v>0</v>
      </c>
      <c r="K748">
        <v>0</v>
      </c>
      <c r="L748">
        <v>4900</v>
      </c>
      <c r="M748">
        <v>159</v>
      </c>
      <c r="N748">
        <v>0</v>
      </c>
      <c r="O748">
        <v>137</v>
      </c>
      <c r="P748">
        <v>0</v>
      </c>
      <c r="Q748">
        <v>0</v>
      </c>
      <c r="R748">
        <v>481</v>
      </c>
      <c r="S748">
        <v>11</v>
      </c>
      <c r="T748">
        <v>3568</v>
      </c>
      <c r="U748">
        <v>17</v>
      </c>
      <c r="V748">
        <v>0</v>
      </c>
      <c r="W748">
        <v>1465</v>
      </c>
      <c r="X748">
        <f>NHS_AE_2024_2025[[#This Row],[A&amp;E attendances Type 1]]+
NHS_AE_2024_2025[[#This Row],[A&amp;E attendances Type 2]]+
NHS_AE_2024_2025[[#This Row],[A&amp;E attendances Other A&amp;E Department]]</f>
        <v>11906</v>
      </c>
      <c r="Y748">
        <f t="shared" si="22"/>
        <v>5059</v>
      </c>
      <c r="Z748">
        <f t="shared" si="23"/>
        <v>5050</v>
      </c>
    </row>
    <row r="749" spans="1:26" x14ac:dyDescent="0.2">
      <c r="A749" t="s">
        <v>437</v>
      </c>
      <c r="B749" t="s">
        <v>438</v>
      </c>
      <c r="C749" t="s">
        <v>302</v>
      </c>
      <c r="D749" t="s">
        <v>29</v>
      </c>
      <c r="E749" t="s">
        <v>303</v>
      </c>
      <c r="F749">
        <v>9085</v>
      </c>
      <c r="G749">
        <v>702</v>
      </c>
      <c r="H749">
        <v>6171</v>
      </c>
      <c r="I749">
        <v>0</v>
      </c>
      <c r="J749">
        <v>0</v>
      </c>
      <c r="K749">
        <v>0</v>
      </c>
      <c r="L749">
        <v>3570</v>
      </c>
      <c r="M749">
        <v>20</v>
      </c>
      <c r="N749">
        <v>137</v>
      </c>
      <c r="O749">
        <v>0</v>
      </c>
      <c r="P749">
        <v>0</v>
      </c>
      <c r="Q749">
        <v>0</v>
      </c>
      <c r="R749">
        <v>140</v>
      </c>
      <c r="S749">
        <v>19</v>
      </c>
      <c r="T749">
        <v>1883</v>
      </c>
      <c r="U749">
        <v>0</v>
      </c>
      <c r="V749">
        <v>0</v>
      </c>
      <c r="W749">
        <v>232</v>
      </c>
      <c r="X749">
        <f>NHS_AE_2024_2025[[#This Row],[A&amp;E attendances Type 1]]+
NHS_AE_2024_2025[[#This Row],[A&amp;E attendances Type 2]]+
NHS_AE_2024_2025[[#This Row],[A&amp;E attendances Other A&amp;E Department]]</f>
        <v>15958</v>
      </c>
      <c r="Y749">
        <f t="shared" si="22"/>
        <v>3727</v>
      </c>
      <c r="Z749">
        <f t="shared" si="23"/>
        <v>2115</v>
      </c>
    </row>
    <row r="750" spans="1:26" x14ac:dyDescent="0.2">
      <c r="A750" t="s">
        <v>437</v>
      </c>
      <c r="B750" t="s">
        <v>438</v>
      </c>
      <c r="C750" t="s">
        <v>304</v>
      </c>
      <c r="D750" t="s">
        <v>29</v>
      </c>
      <c r="E750" t="s">
        <v>305</v>
      </c>
      <c r="F750">
        <v>11931</v>
      </c>
      <c r="G750">
        <v>0</v>
      </c>
      <c r="H750">
        <v>4589</v>
      </c>
      <c r="I750">
        <v>0</v>
      </c>
      <c r="J750">
        <v>0</v>
      </c>
      <c r="K750">
        <v>0</v>
      </c>
      <c r="L750">
        <v>4204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286</v>
      </c>
      <c r="S750">
        <v>446</v>
      </c>
      <c r="T750">
        <v>1139</v>
      </c>
      <c r="U750">
        <v>0</v>
      </c>
      <c r="V750">
        <v>0</v>
      </c>
      <c r="W750">
        <v>125</v>
      </c>
      <c r="X750">
        <f>NHS_AE_2024_2025[[#This Row],[A&amp;E attendances Type 1]]+
NHS_AE_2024_2025[[#This Row],[A&amp;E attendances Type 2]]+
NHS_AE_2024_2025[[#This Row],[A&amp;E attendances Other A&amp;E Department]]</f>
        <v>16520</v>
      </c>
      <c r="Y750">
        <f t="shared" si="22"/>
        <v>4204</v>
      </c>
      <c r="Z750">
        <f t="shared" si="23"/>
        <v>1264</v>
      </c>
    </row>
    <row r="751" spans="1:26" x14ac:dyDescent="0.2">
      <c r="A751" t="s">
        <v>437</v>
      </c>
      <c r="B751" t="s">
        <v>438</v>
      </c>
      <c r="C751" t="s">
        <v>250</v>
      </c>
      <c r="D751" t="s">
        <v>32</v>
      </c>
      <c r="E751" t="s">
        <v>251</v>
      </c>
      <c r="F751">
        <v>9495</v>
      </c>
      <c r="G751">
        <v>0</v>
      </c>
      <c r="H751">
        <v>5178</v>
      </c>
      <c r="I751">
        <v>372</v>
      </c>
      <c r="J751">
        <v>0</v>
      </c>
      <c r="K751">
        <v>157</v>
      </c>
      <c r="L751">
        <v>4191</v>
      </c>
      <c r="M751">
        <v>0</v>
      </c>
      <c r="N751">
        <v>493</v>
      </c>
      <c r="O751">
        <v>154</v>
      </c>
      <c r="P751">
        <v>0</v>
      </c>
      <c r="Q751">
        <v>4</v>
      </c>
      <c r="R751">
        <v>653</v>
      </c>
      <c r="S751">
        <v>170</v>
      </c>
      <c r="T751">
        <v>3531</v>
      </c>
      <c r="U751">
        <v>0</v>
      </c>
      <c r="V751">
        <v>0</v>
      </c>
      <c r="W751">
        <v>283</v>
      </c>
      <c r="X751">
        <f>NHS_AE_2024_2025[[#This Row],[A&amp;E attendances Type 1]]+
NHS_AE_2024_2025[[#This Row],[A&amp;E attendances Type 2]]+
NHS_AE_2024_2025[[#This Row],[A&amp;E attendances Other A&amp;E Department]]</f>
        <v>14673</v>
      </c>
      <c r="Y751">
        <f t="shared" si="22"/>
        <v>4684</v>
      </c>
      <c r="Z751">
        <f t="shared" si="23"/>
        <v>3814</v>
      </c>
    </row>
    <row r="752" spans="1:26" x14ac:dyDescent="0.2">
      <c r="A752" t="s">
        <v>437</v>
      </c>
      <c r="B752" t="s">
        <v>438</v>
      </c>
      <c r="C752" t="s">
        <v>386</v>
      </c>
      <c r="D752" t="s">
        <v>32</v>
      </c>
      <c r="E752" t="s">
        <v>387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27</v>
      </c>
      <c r="X752">
        <f>NHS_AE_2024_2025[[#This Row],[A&amp;E attendances Type 1]]+
NHS_AE_2024_2025[[#This Row],[A&amp;E attendances Type 2]]+
NHS_AE_2024_2025[[#This Row],[A&amp;E attendances Other A&amp;E Department]]</f>
        <v>0</v>
      </c>
      <c r="Y752">
        <f t="shared" si="22"/>
        <v>0</v>
      </c>
      <c r="Z752">
        <f t="shared" si="23"/>
        <v>27</v>
      </c>
    </row>
    <row r="753" spans="1:26" x14ac:dyDescent="0.2">
      <c r="A753" t="s">
        <v>437</v>
      </c>
      <c r="B753" t="s">
        <v>438</v>
      </c>
      <c r="C753" t="s">
        <v>318</v>
      </c>
      <c r="D753" t="s">
        <v>55</v>
      </c>
      <c r="E753" t="s">
        <v>319</v>
      </c>
      <c r="F753">
        <v>7669</v>
      </c>
      <c r="G753">
        <v>0</v>
      </c>
      <c r="H753">
        <v>2834</v>
      </c>
      <c r="I753">
        <v>319</v>
      </c>
      <c r="J753">
        <v>0</v>
      </c>
      <c r="K753">
        <v>90</v>
      </c>
      <c r="L753">
        <v>3540</v>
      </c>
      <c r="M753">
        <v>0</v>
      </c>
      <c r="N753">
        <v>53</v>
      </c>
      <c r="O753">
        <v>0</v>
      </c>
      <c r="P753">
        <v>0</v>
      </c>
      <c r="Q753">
        <v>0</v>
      </c>
      <c r="R753">
        <v>540</v>
      </c>
      <c r="S753">
        <v>327</v>
      </c>
      <c r="T753">
        <v>1470</v>
      </c>
      <c r="U753">
        <v>0</v>
      </c>
      <c r="V753">
        <v>0</v>
      </c>
      <c r="W753">
        <v>234</v>
      </c>
      <c r="X753">
        <f>NHS_AE_2024_2025[[#This Row],[A&amp;E attendances Type 1]]+
NHS_AE_2024_2025[[#This Row],[A&amp;E attendances Type 2]]+
NHS_AE_2024_2025[[#This Row],[A&amp;E attendances Other A&amp;E Department]]</f>
        <v>10503</v>
      </c>
      <c r="Y753">
        <f t="shared" si="22"/>
        <v>3593</v>
      </c>
      <c r="Z753">
        <f t="shared" si="23"/>
        <v>1704</v>
      </c>
    </row>
    <row r="754" spans="1:26" x14ac:dyDescent="0.2">
      <c r="A754" t="s">
        <v>437</v>
      </c>
      <c r="B754" t="s">
        <v>438</v>
      </c>
      <c r="C754" t="s">
        <v>322</v>
      </c>
      <c r="D754" t="s">
        <v>50</v>
      </c>
      <c r="E754" t="s">
        <v>323</v>
      </c>
      <c r="F754">
        <v>12394</v>
      </c>
      <c r="G754">
        <v>0</v>
      </c>
      <c r="H754">
        <v>3649</v>
      </c>
      <c r="I754">
        <v>0</v>
      </c>
      <c r="J754">
        <v>0</v>
      </c>
      <c r="K754">
        <v>0</v>
      </c>
      <c r="L754">
        <v>4429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1027</v>
      </c>
      <c r="S754">
        <v>124</v>
      </c>
      <c r="T754">
        <v>3496</v>
      </c>
      <c r="U754">
        <v>0</v>
      </c>
      <c r="V754">
        <v>217</v>
      </c>
      <c r="W754">
        <v>1025</v>
      </c>
      <c r="X754">
        <f>NHS_AE_2024_2025[[#This Row],[A&amp;E attendances Type 1]]+
NHS_AE_2024_2025[[#This Row],[A&amp;E attendances Type 2]]+
NHS_AE_2024_2025[[#This Row],[A&amp;E attendances Other A&amp;E Department]]</f>
        <v>16043</v>
      </c>
      <c r="Y754">
        <f t="shared" si="22"/>
        <v>4430</v>
      </c>
      <c r="Z754">
        <f t="shared" si="23"/>
        <v>4738</v>
      </c>
    </row>
    <row r="755" spans="1:26" x14ac:dyDescent="0.2">
      <c r="A755" t="s">
        <v>437</v>
      </c>
      <c r="B755" t="s">
        <v>438</v>
      </c>
      <c r="C755" t="s">
        <v>162</v>
      </c>
      <c r="D755" t="s">
        <v>29</v>
      </c>
      <c r="E755" t="s">
        <v>163</v>
      </c>
      <c r="F755">
        <v>0</v>
      </c>
      <c r="G755">
        <v>5007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65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186</v>
      </c>
      <c r="X755">
        <f>NHS_AE_2024_2025[[#This Row],[A&amp;E attendances Type 1]]+
NHS_AE_2024_2025[[#This Row],[A&amp;E attendances Type 2]]+
NHS_AE_2024_2025[[#This Row],[A&amp;E attendances Other A&amp;E Department]]</f>
        <v>5007</v>
      </c>
      <c r="Y755">
        <f t="shared" si="22"/>
        <v>65</v>
      </c>
      <c r="Z755">
        <f t="shared" si="23"/>
        <v>186</v>
      </c>
    </row>
    <row r="756" spans="1:26" x14ac:dyDescent="0.2">
      <c r="A756" t="s">
        <v>437</v>
      </c>
      <c r="B756" t="s">
        <v>438</v>
      </c>
      <c r="C756" t="s">
        <v>324</v>
      </c>
      <c r="D756" t="s">
        <v>37</v>
      </c>
      <c r="E756" t="s">
        <v>325</v>
      </c>
      <c r="F756">
        <v>7722</v>
      </c>
      <c r="G756">
        <v>0</v>
      </c>
      <c r="H756">
        <v>6157</v>
      </c>
      <c r="I756">
        <v>249</v>
      </c>
      <c r="J756">
        <v>0</v>
      </c>
      <c r="K756">
        <v>1184</v>
      </c>
      <c r="L756">
        <v>2739</v>
      </c>
      <c r="M756">
        <v>0</v>
      </c>
      <c r="N756">
        <v>623</v>
      </c>
      <c r="O756">
        <v>75</v>
      </c>
      <c r="P756">
        <v>0</v>
      </c>
      <c r="Q756">
        <v>0</v>
      </c>
      <c r="R756">
        <v>269</v>
      </c>
      <c r="S756">
        <v>707</v>
      </c>
      <c r="T756">
        <v>1577</v>
      </c>
      <c r="U756">
        <v>0</v>
      </c>
      <c r="V756">
        <v>0</v>
      </c>
      <c r="W756">
        <v>459</v>
      </c>
      <c r="X756">
        <f>NHS_AE_2024_2025[[#This Row],[A&amp;E attendances Type 1]]+
NHS_AE_2024_2025[[#This Row],[A&amp;E attendances Type 2]]+
NHS_AE_2024_2025[[#This Row],[A&amp;E attendances Other A&amp;E Department]]</f>
        <v>13879</v>
      </c>
      <c r="Y756">
        <f t="shared" si="22"/>
        <v>3362</v>
      </c>
      <c r="Z756">
        <f t="shared" si="23"/>
        <v>2036</v>
      </c>
    </row>
    <row r="757" spans="1:26" x14ac:dyDescent="0.2">
      <c r="A757" t="s">
        <v>437</v>
      </c>
      <c r="B757" t="s">
        <v>438</v>
      </c>
      <c r="C757" t="s">
        <v>332</v>
      </c>
      <c r="D757" t="s">
        <v>55</v>
      </c>
      <c r="E757" t="s">
        <v>333</v>
      </c>
      <c r="F757">
        <v>6655</v>
      </c>
      <c r="G757">
        <v>0</v>
      </c>
      <c r="H757">
        <v>4556</v>
      </c>
      <c r="I757">
        <v>0</v>
      </c>
      <c r="J757">
        <v>0</v>
      </c>
      <c r="K757">
        <v>0</v>
      </c>
      <c r="L757">
        <v>3542</v>
      </c>
      <c r="M757">
        <v>0</v>
      </c>
      <c r="N757">
        <v>73</v>
      </c>
      <c r="O757">
        <v>0</v>
      </c>
      <c r="P757">
        <v>0</v>
      </c>
      <c r="Q757">
        <v>0</v>
      </c>
      <c r="R757">
        <v>1015</v>
      </c>
      <c r="S757">
        <v>440</v>
      </c>
      <c r="T757">
        <v>1981</v>
      </c>
      <c r="U757">
        <v>0</v>
      </c>
      <c r="V757">
        <v>0</v>
      </c>
      <c r="W757">
        <v>622</v>
      </c>
      <c r="X757">
        <f>NHS_AE_2024_2025[[#This Row],[A&amp;E attendances Type 1]]+
NHS_AE_2024_2025[[#This Row],[A&amp;E attendances Type 2]]+
NHS_AE_2024_2025[[#This Row],[A&amp;E attendances Other A&amp;E Department]]</f>
        <v>11211</v>
      </c>
      <c r="Y757">
        <f t="shared" si="22"/>
        <v>3615</v>
      </c>
      <c r="Z757">
        <f t="shared" si="23"/>
        <v>2603</v>
      </c>
    </row>
    <row r="758" spans="1:26" x14ac:dyDescent="0.2">
      <c r="A758" t="s">
        <v>437</v>
      </c>
      <c r="B758" t="s">
        <v>438</v>
      </c>
      <c r="C758" t="s">
        <v>392</v>
      </c>
      <c r="D758" t="s">
        <v>50</v>
      </c>
      <c r="E758" t="s">
        <v>393</v>
      </c>
      <c r="F758">
        <v>11293</v>
      </c>
      <c r="G758">
        <v>1530</v>
      </c>
      <c r="H758">
        <v>4882</v>
      </c>
      <c r="I758">
        <v>0</v>
      </c>
      <c r="J758">
        <v>0</v>
      </c>
      <c r="K758">
        <v>1063</v>
      </c>
      <c r="L758">
        <v>4249</v>
      </c>
      <c r="M758">
        <v>110</v>
      </c>
      <c r="N758">
        <v>5</v>
      </c>
      <c r="O758">
        <v>0</v>
      </c>
      <c r="P758">
        <v>0</v>
      </c>
      <c r="Q758">
        <v>0</v>
      </c>
      <c r="R758">
        <v>544</v>
      </c>
      <c r="S758">
        <v>35</v>
      </c>
      <c r="T758">
        <v>3415</v>
      </c>
      <c r="U758">
        <v>17</v>
      </c>
      <c r="V758">
        <v>0</v>
      </c>
      <c r="W758">
        <v>2611</v>
      </c>
      <c r="X758">
        <f>NHS_AE_2024_2025[[#This Row],[A&amp;E attendances Type 1]]+
NHS_AE_2024_2025[[#This Row],[A&amp;E attendances Type 2]]+
NHS_AE_2024_2025[[#This Row],[A&amp;E attendances Other A&amp;E Department]]</f>
        <v>17705</v>
      </c>
      <c r="Y758">
        <f t="shared" si="22"/>
        <v>4364</v>
      </c>
      <c r="Z758">
        <f t="shared" si="23"/>
        <v>6043</v>
      </c>
    </row>
    <row r="759" spans="1:26" x14ac:dyDescent="0.2">
      <c r="A759" t="s">
        <v>437</v>
      </c>
      <c r="B759" t="s">
        <v>438</v>
      </c>
      <c r="C759" t="s">
        <v>336</v>
      </c>
      <c r="D759" t="s">
        <v>50</v>
      </c>
      <c r="E759" t="s">
        <v>337</v>
      </c>
      <c r="F759">
        <v>8770</v>
      </c>
      <c r="G759">
        <v>0</v>
      </c>
      <c r="H759">
        <v>10454</v>
      </c>
      <c r="I759">
        <v>0</v>
      </c>
      <c r="J759">
        <v>0</v>
      </c>
      <c r="K759">
        <v>0</v>
      </c>
      <c r="L759">
        <v>2769</v>
      </c>
      <c r="M759">
        <v>0</v>
      </c>
      <c r="N759">
        <v>4</v>
      </c>
      <c r="O759">
        <v>0</v>
      </c>
      <c r="P759">
        <v>0</v>
      </c>
      <c r="Q759">
        <v>0</v>
      </c>
      <c r="R759">
        <v>116</v>
      </c>
      <c r="S759">
        <v>3</v>
      </c>
      <c r="T759">
        <v>3496</v>
      </c>
      <c r="U759">
        <v>0</v>
      </c>
      <c r="V759">
        <v>16</v>
      </c>
      <c r="W759">
        <v>315</v>
      </c>
      <c r="X759">
        <f>NHS_AE_2024_2025[[#This Row],[A&amp;E attendances Type 1]]+
NHS_AE_2024_2025[[#This Row],[A&amp;E attendances Type 2]]+
NHS_AE_2024_2025[[#This Row],[A&amp;E attendances Other A&amp;E Department]]</f>
        <v>19224</v>
      </c>
      <c r="Y759">
        <f t="shared" si="22"/>
        <v>2773</v>
      </c>
      <c r="Z759">
        <f t="shared" si="23"/>
        <v>3827</v>
      </c>
    </row>
    <row r="760" spans="1:26" x14ac:dyDescent="0.2">
      <c r="A760" t="s">
        <v>437</v>
      </c>
      <c r="B760" t="s">
        <v>438</v>
      </c>
      <c r="C760" t="s">
        <v>208</v>
      </c>
      <c r="D760" t="s">
        <v>32</v>
      </c>
      <c r="E760" t="s">
        <v>209</v>
      </c>
      <c r="F760">
        <v>16929</v>
      </c>
      <c r="G760">
        <v>0</v>
      </c>
      <c r="H760">
        <v>8345</v>
      </c>
      <c r="I760">
        <v>1333</v>
      </c>
      <c r="J760">
        <v>0</v>
      </c>
      <c r="K760">
        <v>22</v>
      </c>
      <c r="L760">
        <v>7999</v>
      </c>
      <c r="M760">
        <v>0</v>
      </c>
      <c r="N760">
        <v>7</v>
      </c>
      <c r="O760">
        <v>318</v>
      </c>
      <c r="P760">
        <v>0</v>
      </c>
      <c r="Q760">
        <v>0</v>
      </c>
      <c r="R760">
        <v>905</v>
      </c>
      <c r="S760">
        <v>862</v>
      </c>
      <c r="T760">
        <v>3737</v>
      </c>
      <c r="U760">
        <v>0</v>
      </c>
      <c r="V760">
        <v>1</v>
      </c>
      <c r="W760">
        <v>1787</v>
      </c>
      <c r="X760">
        <f>NHS_AE_2024_2025[[#This Row],[A&amp;E attendances Type 1]]+
NHS_AE_2024_2025[[#This Row],[A&amp;E attendances Type 2]]+
NHS_AE_2024_2025[[#This Row],[A&amp;E attendances Other A&amp;E Department]]</f>
        <v>25274</v>
      </c>
      <c r="Y760">
        <f t="shared" si="22"/>
        <v>8006</v>
      </c>
      <c r="Z760">
        <f t="shared" si="23"/>
        <v>5525</v>
      </c>
    </row>
    <row r="761" spans="1:26" x14ac:dyDescent="0.2">
      <c r="A761" t="s">
        <v>437</v>
      </c>
      <c r="B761" t="s">
        <v>438</v>
      </c>
      <c r="C761" t="s">
        <v>376</v>
      </c>
      <c r="D761" t="s">
        <v>55</v>
      </c>
      <c r="E761" t="s">
        <v>377</v>
      </c>
      <c r="F761">
        <v>8117</v>
      </c>
      <c r="G761">
        <v>0</v>
      </c>
      <c r="H761">
        <v>2267</v>
      </c>
      <c r="I761">
        <v>60</v>
      </c>
      <c r="J761">
        <v>0</v>
      </c>
      <c r="K761">
        <v>1472</v>
      </c>
      <c r="L761">
        <v>2707</v>
      </c>
      <c r="M761">
        <v>0</v>
      </c>
      <c r="N761">
        <v>51</v>
      </c>
      <c r="O761">
        <v>11</v>
      </c>
      <c r="P761">
        <v>0</v>
      </c>
      <c r="Q761">
        <v>48</v>
      </c>
      <c r="R761">
        <v>558</v>
      </c>
      <c r="S761">
        <v>382</v>
      </c>
      <c r="T761">
        <v>2905</v>
      </c>
      <c r="U761">
        <v>0</v>
      </c>
      <c r="V761">
        <v>18</v>
      </c>
      <c r="W761">
        <v>856</v>
      </c>
      <c r="X761">
        <f>NHS_AE_2024_2025[[#This Row],[A&amp;E attendances Type 1]]+
NHS_AE_2024_2025[[#This Row],[A&amp;E attendances Type 2]]+
NHS_AE_2024_2025[[#This Row],[A&amp;E attendances Other A&amp;E Department]]</f>
        <v>10384</v>
      </c>
      <c r="Y761">
        <f t="shared" si="22"/>
        <v>2758</v>
      </c>
      <c r="Z761">
        <f t="shared" si="23"/>
        <v>3779</v>
      </c>
    </row>
    <row r="762" spans="1:26" x14ac:dyDescent="0.2">
      <c r="A762" t="s">
        <v>437</v>
      </c>
      <c r="B762" t="s">
        <v>438</v>
      </c>
      <c r="C762" t="s">
        <v>342</v>
      </c>
      <c r="D762" t="s">
        <v>37</v>
      </c>
      <c r="E762" t="s">
        <v>343</v>
      </c>
      <c r="F762">
        <v>11788</v>
      </c>
      <c r="G762">
        <v>0</v>
      </c>
      <c r="H762">
        <v>11781</v>
      </c>
      <c r="I762">
        <v>0</v>
      </c>
      <c r="J762">
        <v>0</v>
      </c>
      <c r="K762">
        <v>0</v>
      </c>
      <c r="L762">
        <v>5878</v>
      </c>
      <c r="M762">
        <v>0</v>
      </c>
      <c r="N762">
        <v>441</v>
      </c>
      <c r="O762">
        <v>0</v>
      </c>
      <c r="P762">
        <v>0</v>
      </c>
      <c r="Q762">
        <v>0</v>
      </c>
      <c r="R762">
        <v>346</v>
      </c>
      <c r="S762">
        <v>1177</v>
      </c>
      <c r="T762">
        <v>2602</v>
      </c>
      <c r="U762">
        <v>0</v>
      </c>
      <c r="V762">
        <v>476</v>
      </c>
      <c r="W762">
        <v>477</v>
      </c>
      <c r="X762">
        <f>NHS_AE_2024_2025[[#This Row],[A&amp;E attendances Type 1]]+
NHS_AE_2024_2025[[#This Row],[A&amp;E attendances Type 2]]+
NHS_AE_2024_2025[[#This Row],[A&amp;E attendances Other A&amp;E Department]]</f>
        <v>23569</v>
      </c>
      <c r="Y762">
        <f t="shared" si="22"/>
        <v>6319</v>
      </c>
      <c r="Z762">
        <f t="shared" si="23"/>
        <v>3555</v>
      </c>
    </row>
    <row r="763" spans="1:26" x14ac:dyDescent="0.2">
      <c r="A763" t="s">
        <v>437</v>
      </c>
      <c r="B763" t="s">
        <v>438</v>
      </c>
      <c r="C763" t="s">
        <v>264</v>
      </c>
      <c r="D763" t="s">
        <v>50</v>
      </c>
      <c r="E763" t="s">
        <v>265</v>
      </c>
      <c r="F763">
        <v>8151</v>
      </c>
      <c r="G763">
        <v>0</v>
      </c>
      <c r="H763">
        <v>4608</v>
      </c>
      <c r="I763">
        <v>0</v>
      </c>
      <c r="J763">
        <v>0</v>
      </c>
      <c r="K763">
        <v>0</v>
      </c>
      <c r="L763">
        <v>4986</v>
      </c>
      <c r="M763">
        <v>0</v>
      </c>
      <c r="N763">
        <v>401</v>
      </c>
      <c r="O763">
        <v>0</v>
      </c>
      <c r="P763">
        <v>0</v>
      </c>
      <c r="Q763">
        <v>0</v>
      </c>
      <c r="R763">
        <v>924</v>
      </c>
      <c r="S763">
        <v>391</v>
      </c>
      <c r="T763">
        <v>3249</v>
      </c>
      <c r="U763">
        <v>0</v>
      </c>
      <c r="V763">
        <v>0</v>
      </c>
      <c r="W763">
        <v>2011</v>
      </c>
      <c r="X763">
        <f>NHS_AE_2024_2025[[#This Row],[A&amp;E attendances Type 1]]+
NHS_AE_2024_2025[[#This Row],[A&amp;E attendances Type 2]]+
NHS_AE_2024_2025[[#This Row],[A&amp;E attendances Other A&amp;E Department]]</f>
        <v>12759</v>
      </c>
      <c r="Y763">
        <f t="shared" si="22"/>
        <v>5387</v>
      </c>
      <c r="Z763">
        <f t="shared" si="23"/>
        <v>5260</v>
      </c>
    </row>
    <row r="764" spans="1:26" x14ac:dyDescent="0.2">
      <c r="A764" t="s">
        <v>437</v>
      </c>
      <c r="B764" t="s">
        <v>438</v>
      </c>
      <c r="C764" t="s">
        <v>344</v>
      </c>
      <c r="D764" t="s">
        <v>32</v>
      </c>
      <c r="E764" t="s">
        <v>436</v>
      </c>
      <c r="F764">
        <v>14759</v>
      </c>
      <c r="G764">
        <v>0</v>
      </c>
      <c r="H764">
        <v>3331</v>
      </c>
      <c r="I764">
        <v>0</v>
      </c>
      <c r="J764">
        <v>0</v>
      </c>
      <c r="K764">
        <v>0</v>
      </c>
      <c r="L764">
        <v>6039</v>
      </c>
      <c r="M764">
        <v>0</v>
      </c>
      <c r="N764">
        <v>598</v>
      </c>
      <c r="O764">
        <v>0</v>
      </c>
      <c r="P764">
        <v>0</v>
      </c>
      <c r="Q764">
        <v>0</v>
      </c>
      <c r="R764">
        <v>803</v>
      </c>
      <c r="S764">
        <v>1070</v>
      </c>
      <c r="T764">
        <v>4170</v>
      </c>
      <c r="U764">
        <v>0</v>
      </c>
      <c r="V764">
        <v>0</v>
      </c>
      <c r="W764">
        <v>1118</v>
      </c>
      <c r="X764">
        <f>NHS_AE_2024_2025[[#This Row],[A&amp;E attendances Type 1]]+
NHS_AE_2024_2025[[#This Row],[A&amp;E attendances Type 2]]+
NHS_AE_2024_2025[[#This Row],[A&amp;E attendances Other A&amp;E Department]]</f>
        <v>18090</v>
      </c>
      <c r="Y764">
        <f t="shared" si="22"/>
        <v>6637</v>
      </c>
      <c r="Z764">
        <f t="shared" si="23"/>
        <v>5288</v>
      </c>
    </row>
    <row r="765" spans="1:26" x14ac:dyDescent="0.2">
      <c r="A765" t="s">
        <v>437</v>
      </c>
      <c r="B765" t="s">
        <v>438</v>
      </c>
      <c r="C765" t="s">
        <v>268</v>
      </c>
      <c r="D765" t="s">
        <v>37</v>
      </c>
      <c r="E765" t="s">
        <v>269</v>
      </c>
      <c r="F765">
        <v>16890</v>
      </c>
      <c r="G765">
        <v>0</v>
      </c>
      <c r="H765">
        <v>1982</v>
      </c>
      <c r="I765">
        <v>793</v>
      </c>
      <c r="J765">
        <v>0</v>
      </c>
      <c r="K765">
        <v>223</v>
      </c>
      <c r="L765">
        <v>3358</v>
      </c>
      <c r="M765">
        <v>0</v>
      </c>
      <c r="N765">
        <v>13</v>
      </c>
      <c r="O765">
        <v>103</v>
      </c>
      <c r="P765">
        <v>0</v>
      </c>
      <c r="Q765">
        <v>2</v>
      </c>
      <c r="R765">
        <v>817</v>
      </c>
      <c r="S765">
        <v>189</v>
      </c>
      <c r="T765">
        <v>4950</v>
      </c>
      <c r="U765">
        <v>0</v>
      </c>
      <c r="V765">
        <v>0</v>
      </c>
      <c r="W765">
        <v>914</v>
      </c>
      <c r="X765">
        <f>NHS_AE_2024_2025[[#This Row],[A&amp;E attendances Type 1]]+
NHS_AE_2024_2025[[#This Row],[A&amp;E attendances Type 2]]+
NHS_AE_2024_2025[[#This Row],[A&amp;E attendances Other A&amp;E Department]]</f>
        <v>18872</v>
      </c>
      <c r="Y765">
        <f t="shared" si="22"/>
        <v>3371</v>
      </c>
      <c r="Z765">
        <f t="shared" si="23"/>
        <v>5864</v>
      </c>
    </row>
    <row r="766" spans="1:26" x14ac:dyDescent="0.2">
      <c r="A766" t="s">
        <v>437</v>
      </c>
      <c r="B766" t="s">
        <v>438</v>
      </c>
      <c r="C766" t="s">
        <v>350</v>
      </c>
      <c r="D766" t="s">
        <v>55</v>
      </c>
      <c r="E766" t="s">
        <v>351</v>
      </c>
      <c r="F766">
        <v>6149</v>
      </c>
      <c r="G766">
        <v>0</v>
      </c>
      <c r="H766">
        <v>2655</v>
      </c>
      <c r="I766">
        <v>223</v>
      </c>
      <c r="J766">
        <v>0</v>
      </c>
      <c r="K766">
        <v>92</v>
      </c>
      <c r="L766">
        <v>3291</v>
      </c>
      <c r="M766">
        <v>0</v>
      </c>
      <c r="N766">
        <v>62</v>
      </c>
      <c r="O766">
        <v>70</v>
      </c>
      <c r="P766">
        <v>0</v>
      </c>
      <c r="Q766">
        <v>4</v>
      </c>
      <c r="R766">
        <v>532</v>
      </c>
      <c r="S766">
        <v>908</v>
      </c>
      <c r="T766">
        <v>1542</v>
      </c>
      <c r="U766">
        <v>0</v>
      </c>
      <c r="V766">
        <v>0</v>
      </c>
      <c r="W766">
        <v>145</v>
      </c>
      <c r="X766">
        <f>NHS_AE_2024_2025[[#This Row],[A&amp;E attendances Type 1]]+
NHS_AE_2024_2025[[#This Row],[A&amp;E attendances Type 2]]+
NHS_AE_2024_2025[[#This Row],[A&amp;E attendances Other A&amp;E Department]]</f>
        <v>8804</v>
      </c>
      <c r="Y766">
        <f t="shared" si="22"/>
        <v>3353</v>
      </c>
      <c r="Z766">
        <f t="shared" si="23"/>
        <v>1687</v>
      </c>
    </row>
    <row r="767" spans="1:26" x14ac:dyDescent="0.2">
      <c r="A767" t="s">
        <v>437</v>
      </c>
      <c r="B767" t="s">
        <v>438</v>
      </c>
      <c r="C767" t="s">
        <v>176</v>
      </c>
      <c r="D767" t="s">
        <v>55</v>
      </c>
      <c r="E767" t="s">
        <v>177</v>
      </c>
      <c r="F767">
        <v>7854</v>
      </c>
      <c r="G767">
        <v>0</v>
      </c>
      <c r="H767">
        <v>9854</v>
      </c>
      <c r="I767">
        <v>307</v>
      </c>
      <c r="J767">
        <v>0</v>
      </c>
      <c r="K767">
        <v>322</v>
      </c>
      <c r="L767">
        <v>3654</v>
      </c>
      <c r="M767">
        <v>0</v>
      </c>
      <c r="N767">
        <v>116</v>
      </c>
      <c r="O767">
        <v>91</v>
      </c>
      <c r="P767">
        <v>0</v>
      </c>
      <c r="Q767">
        <v>0</v>
      </c>
      <c r="R767">
        <v>377</v>
      </c>
      <c r="S767">
        <v>579</v>
      </c>
      <c r="T767">
        <v>2405</v>
      </c>
      <c r="U767">
        <v>0</v>
      </c>
      <c r="V767">
        <v>0</v>
      </c>
      <c r="W767">
        <v>1471</v>
      </c>
      <c r="X767">
        <f>NHS_AE_2024_2025[[#This Row],[A&amp;E attendances Type 1]]+
NHS_AE_2024_2025[[#This Row],[A&amp;E attendances Type 2]]+
NHS_AE_2024_2025[[#This Row],[A&amp;E attendances Other A&amp;E Department]]</f>
        <v>17708</v>
      </c>
      <c r="Y767">
        <f t="shared" si="22"/>
        <v>3770</v>
      </c>
      <c r="Z767">
        <f t="shared" si="23"/>
        <v>3876</v>
      </c>
    </row>
    <row r="768" spans="1:26" x14ac:dyDescent="0.2">
      <c r="A768" t="s">
        <v>437</v>
      </c>
      <c r="B768" t="s">
        <v>438</v>
      </c>
      <c r="C768" t="s">
        <v>214</v>
      </c>
      <c r="D768" t="s">
        <v>55</v>
      </c>
      <c r="E768" t="s">
        <v>215</v>
      </c>
      <c r="F768">
        <v>10449</v>
      </c>
      <c r="G768">
        <v>0</v>
      </c>
      <c r="H768">
        <v>3136</v>
      </c>
      <c r="I768">
        <v>259</v>
      </c>
      <c r="J768">
        <v>0</v>
      </c>
      <c r="K768">
        <v>80</v>
      </c>
      <c r="L768">
        <v>4239</v>
      </c>
      <c r="M768">
        <v>0</v>
      </c>
      <c r="N768">
        <v>162</v>
      </c>
      <c r="O768">
        <v>66</v>
      </c>
      <c r="P768">
        <v>0</v>
      </c>
      <c r="Q768">
        <v>3</v>
      </c>
      <c r="R768">
        <v>891</v>
      </c>
      <c r="S768">
        <v>455</v>
      </c>
      <c r="T768">
        <v>2100</v>
      </c>
      <c r="U768">
        <v>0</v>
      </c>
      <c r="V768">
        <v>84</v>
      </c>
      <c r="W768">
        <v>1103</v>
      </c>
      <c r="X768">
        <f>NHS_AE_2024_2025[[#This Row],[A&amp;E attendances Type 1]]+
NHS_AE_2024_2025[[#This Row],[A&amp;E attendances Type 2]]+
NHS_AE_2024_2025[[#This Row],[A&amp;E attendances Other A&amp;E Department]]</f>
        <v>13585</v>
      </c>
      <c r="Y768">
        <f t="shared" si="22"/>
        <v>4401</v>
      </c>
      <c r="Z768">
        <f t="shared" si="23"/>
        <v>3287</v>
      </c>
    </row>
    <row r="769" spans="1:26" x14ac:dyDescent="0.2">
      <c r="A769" t="s">
        <v>437</v>
      </c>
      <c r="B769" t="s">
        <v>438</v>
      </c>
      <c r="C769" t="s">
        <v>354</v>
      </c>
      <c r="D769" t="s">
        <v>50</v>
      </c>
      <c r="E769" t="s">
        <v>355</v>
      </c>
      <c r="F769">
        <v>11724</v>
      </c>
      <c r="G769">
        <v>0</v>
      </c>
      <c r="H769">
        <v>3703</v>
      </c>
      <c r="I769">
        <v>0</v>
      </c>
      <c r="J769">
        <v>0</v>
      </c>
      <c r="K769">
        <v>7048</v>
      </c>
      <c r="L769">
        <v>4853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1764</v>
      </c>
      <c r="S769">
        <v>16</v>
      </c>
      <c r="T769">
        <v>4006</v>
      </c>
      <c r="U769">
        <v>0</v>
      </c>
      <c r="V769">
        <v>0</v>
      </c>
      <c r="W769">
        <v>741</v>
      </c>
      <c r="X769">
        <f>NHS_AE_2024_2025[[#This Row],[A&amp;E attendances Type 1]]+
NHS_AE_2024_2025[[#This Row],[A&amp;E attendances Type 2]]+
NHS_AE_2024_2025[[#This Row],[A&amp;E attendances Other A&amp;E Department]]</f>
        <v>15427</v>
      </c>
      <c r="Y769">
        <f t="shared" si="22"/>
        <v>4853</v>
      </c>
      <c r="Z769">
        <f t="shared" si="23"/>
        <v>4747</v>
      </c>
    </row>
    <row r="770" spans="1:26" x14ac:dyDescent="0.2">
      <c r="A770" t="s">
        <v>437</v>
      </c>
      <c r="B770" t="s">
        <v>438</v>
      </c>
      <c r="C770" t="s">
        <v>188</v>
      </c>
      <c r="D770" t="s">
        <v>26</v>
      </c>
      <c r="E770" t="s">
        <v>189</v>
      </c>
      <c r="F770">
        <v>13998</v>
      </c>
      <c r="G770">
        <v>2114</v>
      </c>
      <c r="H770">
        <v>0</v>
      </c>
      <c r="I770">
        <v>0</v>
      </c>
      <c r="J770">
        <v>0</v>
      </c>
      <c r="K770">
        <v>0</v>
      </c>
      <c r="L770">
        <v>5660</v>
      </c>
      <c r="M770">
        <v>175</v>
      </c>
      <c r="N770">
        <v>0</v>
      </c>
      <c r="O770">
        <v>0</v>
      </c>
      <c r="P770">
        <v>0</v>
      </c>
      <c r="Q770">
        <v>0</v>
      </c>
      <c r="R770">
        <v>1118</v>
      </c>
      <c r="S770">
        <v>664</v>
      </c>
      <c r="T770">
        <v>4689</v>
      </c>
      <c r="U770">
        <v>11</v>
      </c>
      <c r="V770">
        <v>0</v>
      </c>
      <c r="W770">
        <v>1483</v>
      </c>
      <c r="X770">
        <f>NHS_AE_2024_2025[[#This Row],[A&amp;E attendances Type 1]]+
NHS_AE_2024_2025[[#This Row],[A&amp;E attendances Type 2]]+
NHS_AE_2024_2025[[#This Row],[A&amp;E attendances Other A&amp;E Department]]</f>
        <v>16112</v>
      </c>
      <c r="Y770">
        <f t="shared" ref="Y770:Y833" si="24">L770+M770+N770</f>
        <v>5835</v>
      </c>
      <c r="Z770">
        <f t="shared" ref="Z770:Z833" si="25">T770+U770+V770+W770</f>
        <v>6183</v>
      </c>
    </row>
    <row r="771" spans="1:26" x14ac:dyDescent="0.2">
      <c r="A771" t="s">
        <v>437</v>
      </c>
      <c r="B771" t="s">
        <v>438</v>
      </c>
      <c r="C771" t="s">
        <v>362</v>
      </c>
      <c r="D771" t="s">
        <v>26</v>
      </c>
      <c r="E771" t="s">
        <v>363</v>
      </c>
      <c r="F771">
        <v>7674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3269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763</v>
      </c>
      <c r="S771">
        <v>205</v>
      </c>
      <c r="T771">
        <v>2305</v>
      </c>
      <c r="U771">
        <v>0</v>
      </c>
      <c r="V771">
        <v>12</v>
      </c>
      <c r="W771">
        <v>1594</v>
      </c>
      <c r="X771">
        <f>NHS_AE_2024_2025[[#This Row],[A&amp;E attendances Type 1]]+
NHS_AE_2024_2025[[#This Row],[A&amp;E attendances Type 2]]+
NHS_AE_2024_2025[[#This Row],[A&amp;E attendances Other A&amp;E Department]]</f>
        <v>7674</v>
      </c>
      <c r="Y771">
        <f t="shared" si="24"/>
        <v>3269</v>
      </c>
      <c r="Z771">
        <f t="shared" si="25"/>
        <v>3911</v>
      </c>
    </row>
    <row r="772" spans="1:26" x14ac:dyDescent="0.2">
      <c r="A772" t="s">
        <v>437</v>
      </c>
      <c r="B772" t="s">
        <v>438</v>
      </c>
      <c r="C772" t="s">
        <v>384</v>
      </c>
      <c r="D772" t="s">
        <v>55</v>
      </c>
      <c r="E772" t="s">
        <v>385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174</v>
      </c>
      <c r="X772">
        <f>NHS_AE_2024_2025[[#This Row],[A&amp;E attendances Type 1]]+
NHS_AE_2024_2025[[#This Row],[A&amp;E attendances Type 2]]+
NHS_AE_2024_2025[[#This Row],[A&amp;E attendances Other A&amp;E Department]]</f>
        <v>0</v>
      </c>
      <c r="Y772">
        <f t="shared" si="24"/>
        <v>0</v>
      </c>
      <c r="Z772">
        <f t="shared" si="25"/>
        <v>174</v>
      </c>
    </row>
    <row r="773" spans="1:26" x14ac:dyDescent="0.2">
      <c r="A773" t="s">
        <v>437</v>
      </c>
      <c r="B773" t="s">
        <v>438</v>
      </c>
      <c r="C773" t="s">
        <v>246</v>
      </c>
      <c r="D773" t="s">
        <v>70</v>
      </c>
      <c r="E773" t="s">
        <v>247</v>
      </c>
      <c r="F773">
        <v>9643</v>
      </c>
      <c r="G773">
        <v>0</v>
      </c>
      <c r="H773">
        <v>5233</v>
      </c>
      <c r="I773">
        <v>280</v>
      </c>
      <c r="J773">
        <v>0</v>
      </c>
      <c r="K773">
        <v>296</v>
      </c>
      <c r="L773">
        <v>4689</v>
      </c>
      <c r="M773">
        <v>0</v>
      </c>
      <c r="N773">
        <v>44</v>
      </c>
      <c r="O773">
        <v>85</v>
      </c>
      <c r="P773">
        <v>0</v>
      </c>
      <c r="Q773">
        <v>7</v>
      </c>
      <c r="R773">
        <v>406</v>
      </c>
      <c r="S773">
        <v>630</v>
      </c>
      <c r="T773">
        <v>2413</v>
      </c>
      <c r="U773">
        <v>0</v>
      </c>
      <c r="V773">
        <v>21</v>
      </c>
      <c r="W773">
        <v>432</v>
      </c>
      <c r="X773">
        <f>NHS_AE_2024_2025[[#This Row],[A&amp;E attendances Type 1]]+
NHS_AE_2024_2025[[#This Row],[A&amp;E attendances Type 2]]+
NHS_AE_2024_2025[[#This Row],[A&amp;E attendances Other A&amp;E Department]]</f>
        <v>14876</v>
      </c>
      <c r="Y773">
        <f t="shared" si="24"/>
        <v>4733</v>
      </c>
      <c r="Z773">
        <f t="shared" si="25"/>
        <v>2866</v>
      </c>
    </row>
    <row r="774" spans="1:26" x14ac:dyDescent="0.2">
      <c r="A774" t="s">
        <v>437</v>
      </c>
      <c r="B774" t="s">
        <v>438</v>
      </c>
      <c r="C774" t="s">
        <v>368</v>
      </c>
      <c r="D774" t="s">
        <v>50</v>
      </c>
      <c r="E774" t="s">
        <v>369</v>
      </c>
      <c r="F774">
        <v>7927</v>
      </c>
      <c r="G774">
        <v>1109</v>
      </c>
      <c r="H774">
        <v>6570</v>
      </c>
      <c r="I774">
        <v>366</v>
      </c>
      <c r="J774">
        <v>1</v>
      </c>
      <c r="K774">
        <v>1247</v>
      </c>
      <c r="L774">
        <v>4223</v>
      </c>
      <c r="M774">
        <v>0</v>
      </c>
      <c r="N774">
        <v>295</v>
      </c>
      <c r="O774">
        <v>175</v>
      </c>
      <c r="P774">
        <v>0</v>
      </c>
      <c r="Q774">
        <v>10</v>
      </c>
      <c r="R774">
        <v>943</v>
      </c>
      <c r="S774">
        <v>8</v>
      </c>
      <c r="T774">
        <v>3372</v>
      </c>
      <c r="U774">
        <v>0</v>
      </c>
      <c r="V774">
        <v>0</v>
      </c>
      <c r="W774">
        <v>2795</v>
      </c>
      <c r="X774">
        <f>NHS_AE_2024_2025[[#This Row],[A&amp;E attendances Type 1]]+
NHS_AE_2024_2025[[#This Row],[A&amp;E attendances Type 2]]+
NHS_AE_2024_2025[[#This Row],[A&amp;E attendances Other A&amp;E Department]]</f>
        <v>15606</v>
      </c>
      <c r="Y774">
        <f t="shared" si="24"/>
        <v>4518</v>
      </c>
      <c r="Z774">
        <f t="shared" si="25"/>
        <v>6167</v>
      </c>
    </row>
    <row r="775" spans="1:26" x14ac:dyDescent="0.2">
      <c r="A775" t="s">
        <v>437</v>
      </c>
      <c r="B775" t="s">
        <v>438</v>
      </c>
      <c r="C775" t="s">
        <v>316</v>
      </c>
      <c r="D775" t="s">
        <v>70</v>
      </c>
      <c r="E775" t="s">
        <v>317</v>
      </c>
      <c r="F775">
        <v>10792</v>
      </c>
      <c r="G775">
        <v>0</v>
      </c>
      <c r="H775">
        <v>7401</v>
      </c>
      <c r="I775">
        <v>0</v>
      </c>
      <c r="J775">
        <v>0</v>
      </c>
      <c r="K775">
        <v>0</v>
      </c>
      <c r="L775">
        <v>3503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902</v>
      </c>
      <c r="S775">
        <v>294</v>
      </c>
      <c r="T775">
        <v>2292</v>
      </c>
      <c r="U775">
        <v>0</v>
      </c>
      <c r="V775">
        <v>0</v>
      </c>
      <c r="W775">
        <v>1500</v>
      </c>
      <c r="X775">
        <f>NHS_AE_2024_2025[[#This Row],[A&amp;E attendances Type 1]]+
NHS_AE_2024_2025[[#This Row],[A&amp;E attendances Type 2]]+
NHS_AE_2024_2025[[#This Row],[A&amp;E attendances Other A&amp;E Department]]</f>
        <v>18193</v>
      </c>
      <c r="Y775">
        <f t="shared" si="24"/>
        <v>3503</v>
      </c>
      <c r="Z775">
        <f t="shared" si="25"/>
        <v>3792</v>
      </c>
    </row>
    <row r="776" spans="1:26" x14ac:dyDescent="0.2">
      <c r="A776" t="s">
        <v>437</v>
      </c>
      <c r="B776" t="s">
        <v>438</v>
      </c>
      <c r="C776" t="s">
        <v>390</v>
      </c>
      <c r="D776" t="s">
        <v>26</v>
      </c>
      <c r="E776" t="s">
        <v>391</v>
      </c>
      <c r="F776">
        <v>4962</v>
      </c>
      <c r="G776">
        <v>0</v>
      </c>
      <c r="H776">
        <v>4772</v>
      </c>
      <c r="I776">
        <v>0</v>
      </c>
      <c r="J776">
        <v>0</v>
      </c>
      <c r="K776">
        <v>0</v>
      </c>
      <c r="L776">
        <v>2388</v>
      </c>
      <c r="M776">
        <v>0</v>
      </c>
      <c r="N776">
        <v>288</v>
      </c>
      <c r="O776">
        <v>0</v>
      </c>
      <c r="P776">
        <v>0</v>
      </c>
      <c r="Q776">
        <v>0</v>
      </c>
      <c r="R776">
        <v>403</v>
      </c>
      <c r="S776">
        <v>378</v>
      </c>
      <c r="T776">
        <v>2201</v>
      </c>
      <c r="U776">
        <v>0</v>
      </c>
      <c r="V776">
        <v>0</v>
      </c>
      <c r="W776">
        <v>1323</v>
      </c>
      <c r="X776">
        <f>NHS_AE_2024_2025[[#This Row],[A&amp;E attendances Type 1]]+
NHS_AE_2024_2025[[#This Row],[A&amp;E attendances Type 2]]+
NHS_AE_2024_2025[[#This Row],[A&amp;E attendances Other A&amp;E Department]]</f>
        <v>9734</v>
      </c>
      <c r="Y776">
        <f t="shared" si="24"/>
        <v>2676</v>
      </c>
      <c r="Z776">
        <f t="shared" si="25"/>
        <v>3524</v>
      </c>
    </row>
    <row r="777" spans="1:26" x14ac:dyDescent="0.2">
      <c r="A777" t="s">
        <v>437</v>
      </c>
      <c r="B777" t="s">
        <v>438</v>
      </c>
      <c r="C777" t="s">
        <v>88</v>
      </c>
      <c r="D777" t="s">
        <v>29</v>
      </c>
      <c r="E777" t="s">
        <v>89</v>
      </c>
      <c r="F777">
        <v>11981</v>
      </c>
      <c r="G777">
        <v>0</v>
      </c>
      <c r="H777">
        <v>0</v>
      </c>
      <c r="I777">
        <v>367</v>
      </c>
      <c r="J777">
        <v>0</v>
      </c>
      <c r="K777">
        <v>0</v>
      </c>
      <c r="L777">
        <v>3195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309</v>
      </c>
      <c r="S777">
        <v>203</v>
      </c>
      <c r="T777">
        <v>1231</v>
      </c>
      <c r="U777">
        <v>0</v>
      </c>
      <c r="V777">
        <v>0</v>
      </c>
      <c r="W777">
        <v>252</v>
      </c>
      <c r="X777">
        <f>NHS_AE_2024_2025[[#This Row],[A&amp;E attendances Type 1]]+
NHS_AE_2024_2025[[#This Row],[A&amp;E attendances Type 2]]+
NHS_AE_2024_2025[[#This Row],[A&amp;E attendances Other A&amp;E Department]]</f>
        <v>11981</v>
      </c>
      <c r="Y777">
        <f t="shared" si="24"/>
        <v>3195</v>
      </c>
      <c r="Z777">
        <f t="shared" si="25"/>
        <v>1483</v>
      </c>
    </row>
    <row r="778" spans="1:26" x14ac:dyDescent="0.2">
      <c r="A778" t="s">
        <v>437</v>
      </c>
      <c r="B778" t="s">
        <v>438</v>
      </c>
      <c r="C778" t="s">
        <v>340</v>
      </c>
      <c r="D778" t="s">
        <v>29</v>
      </c>
      <c r="E778" t="s">
        <v>341</v>
      </c>
      <c r="F778">
        <v>9712</v>
      </c>
      <c r="G778">
        <v>355</v>
      </c>
      <c r="H778">
        <v>1226</v>
      </c>
      <c r="I778">
        <v>444</v>
      </c>
      <c r="J778">
        <v>1</v>
      </c>
      <c r="K778">
        <v>39</v>
      </c>
      <c r="L778">
        <v>3009</v>
      </c>
      <c r="M778">
        <v>0</v>
      </c>
      <c r="N778">
        <v>72</v>
      </c>
      <c r="O778">
        <v>54</v>
      </c>
      <c r="P778">
        <v>0</v>
      </c>
      <c r="Q778">
        <v>0</v>
      </c>
      <c r="R778">
        <v>243</v>
      </c>
      <c r="S778">
        <v>652</v>
      </c>
      <c r="T778">
        <v>1793</v>
      </c>
      <c r="U778">
        <v>4</v>
      </c>
      <c r="V778">
        <v>0</v>
      </c>
      <c r="W778">
        <v>123</v>
      </c>
      <c r="X778">
        <f>NHS_AE_2024_2025[[#This Row],[A&amp;E attendances Type 1]]+
NHS_AE_2024_2025[[#This Row],[A&amp;E attendances Type 2]]+
NHS_AE_2024_2025[[#This Row],[A&amp;E attendances Other A&amp;E Department]]</f>
        <v>11293</v>
      </c>
      <c r="Y778">
        <f t="shared" si="24"/>
        <v>3081</v>
      </c>
      <c r="Z778">
        <f t="shared" si="25"/>
        <v>1920</v>
      </c>
    </row>
    <row r="779" spans="1:26" x14ac:dyDescent="0.2">
      <c r="A779" t="s">
        <v>437</v>
      </c>
      <c r="B779" t="s">
        <v>438</v>
      </c>
      <c r="C779" t="s">
        <v>346</v>
      </c>
      <c r="D779" t="s">
        <v>70</v>
      </c>
      <c r="E779" t="s">
        <v>347</v>
      </c>
      <c r="F779">
        <v>8035</v>
      </c>
      <c r="G779">
        <v>0</v>
      </c>
      <c r="H779">
        <v>6880</v>
      </c>
      <c r="I779">
        <v>0</v>
      </c>
      <c r="J779">
        <v>0</v>
      </c>
      <c r="K779">
        <v>0</v>
      </c>
      <c r="L779">
        <v>4478</v>
      </c>
      <c r="M779">
        <v>0</v>
      </c>
      <c r="N779">
        <v>127</v>
      </c>
      <c r="O779">
        <v>0</v>
      </c>
      <c r="P779">
        <v>0</v>
      </c>
      <c r="Q779">
        <v>0</v>
      </c>
      <c r="R779">
        <v>254</v>
      </c>
      <c r="S779">
        <v>267</v>
      </c>
      <c r="T779">
        <v>2493</v>
      </c>
      <c r="U779">
        <v>0</v>
      </c>
      <c r="V779">
        <v>5</v>
      </c>
      <c r="W779">
        <v>226</v>
      </c>
      <c r="X779">
        <f>NHS_AE_2024_2025[[#This Row],[A&amp;E attendances Type 1]]+
NHS_AE_2024_2025[[#This Row],[A&amp;E attendances Type 2]]+
NHS_AE_2024_2025[[#This Row],[A&amp;E attendances Other A&amp;E Department]]</f>
        <v>14915</v>
      </c>
      <c r="Y779">
        <f t="shared" si="24"/>
        <v>4605</v>
      </c>
      <c r="Z779">
        <f t="shared" si="25"/>
        <v>2724</v>
      </c>
    </row>
    <row r="780" spans="1:26" x14ac:dyDescent="0.2">
      <c r="A780" t="s">
        <v>437</v>
      </c>
      <c r="B780" t="s">
        <v>438</v>
      </c>
      <c r="C780" t="s">
        <v>378</v>
      </c>
      <c r="D780" t="s">
        <v>37</v>
      </c>
      <c r="E780" t="s">
        <v>379</v>
      </c>
      <c r="F780">
        <v>0</v>
      </c>
      <c r="G780">
        <v>0</v>
      </c>
      <c r="H780">
        <v>1173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23</v>
      </c>
      <c r="W780">
        <v>0</v>
      </c>
      <c r="X780">
        <f>NHS_AE_2024_2025[[#This Row],[A&amp;E attendances Type 1]]+
NHS_AE_2024_2025[[#This Row],[A&amp;E attendances Type 2]]+
NHS_AE_2024_2025[[#This Row],[A&amp;E attendances Other A&amp;E Department]]</f>
        <v>1173</v>
      </c>
      <c r="Y780">
        <f t="shared" si="24"/>
        <v>9</v>
      </c>
      <c r="Z780">
        <f t="shared" si="25"/>
        <v>23</v>
      </c>
    </row>
    <row r="781" spans="1:26" x14ac:dyDescent="0.2">
      <c r="A781" t="s">
        <v>437</v>
      </c>
      <c r="B781" t="s">
        <v>438</v>
      </c>
      <c r="C781" t="s">
        <v>406</v>
      </c>
      <c r="D781" t="s">
        <v>37</v>
      </c>
      <c r="E781" t="s">
        <v>407</v>
      </c>
      <c r="F781">
        <v>9494</v>
      </c>
      <c r="G781">
        <v>2262</v>
      </c>
      <c r="H781">
        <v>2057</v>
      </c>
      <c r="I781">
        <v>818</v>
      </c>
      <c r="J781">
        <v>17</v>
      </c>
      <c r="K781">
        <v>0</v>
      </c>
      <c r="L781">
        <v>3716</v>
      </c>
      <c r="M781">
        <v>15</v>
      </c>
      <c r="N781">
        <v>0</v>
      </c>
      <c r="O781">
        <v>331</v>
      </c>
      <c r="P781">
        <v>0</v>
      </c>
      <c r="Q781">
        <v>0</v>
      </c>
      <c r="R781">
        <v>528</v>
      </c>
      <c r="S781">
        <v>12</v>
      </c>
      <c r="T781">
        <v>2192</v>
      </c>
      <c r="U781">
        <v>1</v>
      </c>
      <c r="V781">
        <v>0</v>
      </c>
      <c r="W781">
        <v>405</v>
      </c>
      <c r="X781">
        <f>NHS_AE_2024_2025[[#This Row],[A&amp;E attendances Type 1]]+
NHS_AE_2024_2025[[#This Row],[A&amp;E attendances Type 2]]+
NHS_AE_2024_2025[[#This Row],[A&amp;E attendances Other A&amp;E Department]]</f>
        <v>13813</v>
      </c>
      <c r="Y781">
        <f t="shared" si="24"/>
        <v>3731</v>
      </c>
      <c r="Z781">
        <f t="shared" si="25"/>
        <v>2598</v>
      </c>
    </row>
    <row r="782" spans="1:26" x14ac:dyDescent="0.2">
      <c r="A782" t="s">
        <v>437</v>
      </c>
      <c r="B782" t="s">
        <v>438</v>
      </c>
      <c r="C782" t="s">
        <v>410</v>
      </c>
      <c r="D782" t="s">
        <v>32</v>
      </c>
      <c r="E782" t="s">
        <v>411</v>
      </c>
      <c r="F782">
        <v>4700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982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6</v>
      </c>
      <c r="T782">
        <v>979</v>
      </c>
      <c r="U782">
        <v>0</v>
      </c>
      <c r="V782">
        <v>0</v>
      </c>
      <c r="W782">
        <v>134</v>
      </c>
      <c r="X782">
        <f>NHS_AE_2024_2025[[#This Row],[A&amp;E attendances Type 1]]+
NHS_AE_2024_2025[[#This Row],[A&amp;E attendances Type 2]]+
NHS_AE_2024_2025[[#This Row],[A&amp;E attendances Other A&amp;E Department]]</f>
        <v>4700</v>
      </c>
      <c r="Y782">
        <f t="shared" si="24"/>
        <v>982</v>
      </c>
      <c r="Z782">
        <f t="shared" si="25"/>
        <v>1113</v>
      </c>
    </row>
    <row r="783" spans="1:26" x14ac:dyDescent="0.2">
      <c r="A783" t="s">
        <v>437</v>
      </c>
      <c r="B783" t="s">
        <v>438</v>
      </c>
      <c r="C783" t="s">
        <v>424</v>
      </c>
      <c r="D783" t="s">
        <v>37</v>
      </c>
      <c r="E783" t="s">
        <v>425</v>
      </c>
      <c r="F783">
        <v>11154</v>
      </c>
      <c r="G783">
        <v>1621</v>
      </c>
      <c r="H783">
        <v>2142</v>
      </c>
      <c r="I783">
        <v>1587</v>
      </c>
      <c r="J783">
        <v>0</v>
      </c>
      <c r="K783">
        <v>86</v>
      </c>
      <c r="L783">
        <v>4359</v>
      </c>
      <c r="M783">
        <v>0</v>
      </c>
      <c r="N783">
        <v>2</v>
      </c>
      <c r="O783">
        <v>490</v>
      </c>
      <c r="P783">
        <v>0</v>
      </c>
      <c r="Q783">
        <v>0</v>
      </c>
      <c r="R783">
        <v>836</v>
      </c>
      <c r="S783">
        <v>0</v>
      </c>
      <c r="T783">
        <v>3945</v>
      </c>
      <c r="U783">
        <v>102</v>
      </c>
      <c r="V783">
        <v>6</v>
      </c>
      <c r="W783">
        <v>4035</v>
      </c>
      <c r="X783">
        <f>NHS_AE_2024_2025[[#This Row],[A&amp;E attendances Type 1]]+
NHS_AE_2024_2025[[#This Row],[A&amp;E attendances Type 2]]+
NHS_AE_2024_2025[[#This Row],[A&amp;E attendances Other A&amp;E Department]]</f>
        <v>14917</v>
      </c>
      <c r="Y783">
        <f t="shared" si="24"/>
        <v>4361</v>
      </c>
      <c r="Z783">
        <f t="shared" si="25"/>
        <v>8088</v>
      </c>
    </row>
    <row r="784" spans="1:26" x14ac:dyDescent="0.2">
      <c r="A784" t="s">
        <v>437</v>
      </c>
      <c r="B784" t="s">
        <v>438</v>
      </c>
      <c r="C784" t="s">
        <v>306</v>
      </c>
      <c r="D784" t="s">
        <v>29</v>
      </c>
      <c r="E784" t="s">
        <v>307</v>
      </c>
      <c r="F784">
        <v>8065</v>
      </c>
      <c r="G784">
        <v>0</v>
      </c>
      <c r="H784">
        <v>2886</v>
      </c>
      <c r="I784">
        <v>492</v>
      </c>
      <c r="J784">
        <v>0</v>
      </c>
      <c r="K784">
        <v>0</v>
      </c>
      <c r="L784">
        <v>2134</v>
      </c>
      <c r="M784">
        <v>0</v>
      </c>
      <c r="N784">
        <v>0</v>
      </c>
      <c r="O784">
        <v>55</v>
      </c>
      <c r="P784">
        <v>0</v>
      </c>
      <c r="Q784">
        <v>0</v>
      </c>
      <c r="R784">
        <v>453</v>
      </c>
      <c r="S784">
        <v>738</v>
      </c>
      <c r="T784">
        <v>2380</v>
      </c>
      <c r="U784">
        <v>0</v>
      </c>
      <c r="V784">
        <v>0</v>
      </c>
      <c r="W784">
        <v>672</v>
      </c>
      <c r="X784">
        <f>NHS_AE_2024_2025[[#This Row],[A&amp;E attendances Type 1]]+
NHS_AE_2024_2025[[#This Row],[A&amp;E attendances Type 2]]+
NHS_AE_2024_2025[[#This Row],[A&amp;E attendances Other A&amp;E Department]]</f>
        <v>10951</v>
      </c>
      <c r="Y784">
        <f t="shared" si="24"/>
        <v>2134</v>
      </c>
      <c r="Z784">
        <f t="shared" si="25"/>
        <v>3052</v>
      </c>
    </row>
    <row r="785" spans="1:26" x14ac:dyDescent="0.2">
      <c r="A785" t="s">
        <v>437</v>
      </c>
      <c r="B785" t="s">
        <v>438</v>
      </c>
      <c r="C785" t="s">
        <v>314</v>
      </c>
      <c r="D785" t="s">
        <v>32</v>
      </c>
      <c r="E785" t="s">
        <v>315</v>
      </c>
      <c r="F785">
        <v>6292</v>
      </c>
      <c r="G785">
        <v>0</v>
      </c>
      <c r="H785">
        <v>1466</v>
      </c>
      <c r="I785">
        <v>0</v>
      </c>
      <c r="J785">
        <v>0</v>
      </c>
      <c r="K785">
        <v>0</v>
      </c>
      <c r="L785">
        <v>2296</v>
      </c>
      <c r="M785">
        <v>0</v>
      </c>
      <c r="N785">
        <v>62</v>
      </c>
      <c r="O785">
        <v>0</v>
      </c>
      <c r="P785">
        <v>0</v>
      </c>
      <c r="Q785">
        <v>0</v>
      </c>
      <c r="R785">
        <v>316</v>
      </c>
      <c r="S785">
        <v>392</v>
      </c>
      <c r="T785">
        <v>982</v>
      </c>
      <c r="U785">
        <v>0</v>
      </c>
      <c r="V785">
        <v>0</v>
      </c>
      <c r="W785">
        <v>1</v>
      </c>
      <c r="X785">
        <f>NHS_AE_2024_2025[[#This Row],[A&amp;E attendances Type 1]]+
NHS_AE_2024_2025[[#This Row],[A&amp;E attendances Type 2]]+
NHS_AE_2024_2025[[#This Row],[A&amp;E attendances Other A&amp;E Department]]</f>
        <v>7758</v>
      </c>
      <c r="Y785">
        <f t="shared" si="24"/>
        <v>2358</v>
      </c>
      <c r="Z785">
        <f t="shared" si="25"/>
        <v>983</v>
      </c>
    </row>
    <row r="786" spans="1:26" x14ac:dyDescent="0.2">
      <c r="A786" t="s">
        <v>437</v>
      </c>
      <c r="B786" t="s">
        <v>438</v>
      </c>
      <c r="C786" t="s">
        <v>352</v>
      </c>
      <c r="D786" t="s">
        <v>50</v>
      </c>
      <c r="E786" t="s">
        <v>353</v>
      </c>
      <c r="F786">
        <v>14812</v>
      </c>
      <c r="G786">
        <v>119</v>
      </c>
      <c r="H786">
        <v>5233</v>
      </c>
      <c r="I786">
        <v>112</v>
      </c>
      <c r="J786">
        <v>0</v>
      </c>
      <c r="K786">
        <v>63</v>
      </c>
      <c r="L786">
        <v>6475</v>
      </c>
      <c r="M786">
        <v>0</v>
      </c>
      <c r="N786">
        <v>387</v>
      </c>
      <c r="O786">
        <v>2</v>
      </c>
      <c r="P786">
        <v>0</v>
      </c>
      <c r="Q786">
        <v>0</v>
      </c>
      <c r="R786">
        <v>2042</v>
      </c>
      <c r="S786">
        <v>458</v>
      </c>
      <c r="T786">
        <v>3169</v>
      </c>
      <c r="U786">
        <v>0</v>
      </c>
      <c r="V786">
        <v>125</v>
      </c>
      <c r="W786">
        <v>792</v>
      </c>
      <c r="X786">
        <f>NHS_AE_2024_2025[[#This Row],[A&amp;E attendances Type 1]]+
NHS_AE_2024_2025[[#This Row],[A&amp;E attendances Type 2]]+
NHS_AE_2024_2025[[#This Row],[A&amp;E attendances Other A&amp;E Department]]</f>
        <v>20164</v>
      </c>
      <c r="Y786">
        <f t="shared" si="24"/>
        <v>6862</v>
      </c>
      <c r="Z786">
        <f t="shared" si="25"/>
        <v>4086</v>
      </c>
    </row>
    <row r="787" spans="1:26" x14ac:dyDescent="0.2">
      <c r="A787" t="s">
        <v>437</v>
      </c>
      <c r="B787" t="s">
        <v>438</v>
      </c>
      <c r="C787" t="s">
        <v>234</v>
      </c>
      <c r="D787" t="s">
        <v>26</v>
      </c>
      <c r="E787" t="s">
        <v>235</v>
      </c>
      <c r="F787">
        <v>3471</v>
      </c>
      <c r="G787">
        <v>0</v>
      </c>
      <c r="H787">
        <v>0</v>
      </c>
      <c r="I787">
        <v>341</v>
      </c>
      <c r="J787">
        <v>0</v>
      </c>
      <c r="K787">
        <v>3557</v>
      </c>
      <c r="L787">
        <v>1509</v>
      </c>
      <c r="M787">
        <v>0</v>
      </c>
      <c r="N787">
        <v>0</v>
      </c>
      <c r="O787">
        <v>101</v>
      </c>
      <c r="P787">
        <v>0</v>
      </c>
      <c r="Q787">
        <v>6</v>
      </c>
      <c r="R787">
        <v>192</v>
      </c>
      <c r="S787">
        <v>24</v>
      </c>
      <c r="T787">
        <v>1548</v>
      </c>
      <c r="U787">
        <v>0</v>
      </c>
      <c r="V787">
        <v>0</v>
      </c>
      <c r="W787">
        <v>493</v>
      </c>
      <c r="X787">
        <f>NHS_AE_2024_2025[[#This Row],[A&amp;E attendances Type 1]]+
NHS_AE_2024_2025[[#This Row],[A&amp;E attendances Type 2]]+
NHS_AE_2024_2025[[#This Row],[A&amp;E attendances Other A&amp;E Department]]</f>
        <v>3471</v>
      </c>
      <c r="Y787">
        <f t="shared" si="24"/>
        <v>1509</v>
      </c>
      <c r="Z787">
        <f t="shared" si="25"/>
        <v>2041</v>
      </c>
    </row>
    <row r="788" spans="1:26" x14ac:dyDescent="0.2">
      <c r="A788" t="s">
        <v>437</v>
      </c>
      <c r="B788" t="s">
        <v>438</v>
      </c>
      <c r="C788" t="s">
        <v>418</v>
      </c>
      <c r="D788" t="s">
        <v>55</v>
      </c>
      <c r="E788" t="s">
        <v>419</v>
      </c>
      <c r="F788">
        <v>22781</v>
      </c>
      <c r="G788">
        <v>0</v>
      </c>
      <c r="H788">
        <v>8419</v>
      </c>
      <c r="I788">
        <v>0</v>
      </c>
      <c r="J788">
        <v>0</v>
      </c>
      <c r="K788">
        <v>0</v>
      </c>
      <c r="L788">
        <v>9896</v>
      </c>
      <c r="M788">
        <v>0</v>
      </c>
      <c r="N788">
        <v>408</v>
      </c>
      <c r="O788">
        <v>0</v>
      </c>
      <c r="P788">
        <v>0</v>
      </c>
      <c r="Q788">
        <v>0</v>
      </c>
      <c r="R788">
        <v>1156</v>
      </c>
      <c r="S788">
        <v>1005</v>
      </c>
      <c r="T788">
        <v>6566</v>
      </c>
      <c r="U788">
        <v>0</v>
      </c>
      <c r="V788">
        <v>314</v>
      </c>
      <c r="W788">
        <v>1919</v>
      </c>
      <c r="X788">
        <f>NHS_AE_2024_2025[[#This Row],[A&amp;E attendances Type 1]]+
NHS_AE_2024_2025[[#This Row],[A&amp;E attendances Type 2]]+
NHS_AE_2024_2025[[#This Row],[A&amp;E attendances Other A&amp;E Department]]</f>
        <v>31200</v>
      </c>
      <c r="Y788">
        <f t="shared" si="24"/>
        <v>10304</v>
      </c>
      <c r="Z788">
        <f t="shared" si="25"/>
        <v>8799</v>
      </c>
    </row>
    <row r="789" spans="1:26" x14ac:dyDescent="0.2">
      <c r="A789" t="s">
        <v>437</v>
      </c>
      <c r="B789" t="s">
        <v>438</v>
      </c>
      <c r="C789" t="s">
        <v>398</v>
      </c>
      <c r="D789" t="s">
        <v>55</v>
      </c>
      <c r="E789" t="s">
        <v>399</v>
      </c>
      <c r="F789">
        <v>6626</v>
      </c>
      <c r="G789">
        <v>0</v>
      </c>
      <c r="H789">
        <v>2815</v>
      </c>
      <c r="I789">
        <v>0</v>
      </c>
      <c r="J789">
        <v>0</v>
      </c>
      <c r="K789">
        <v>187</v>
      </c>
      <c r="L789">
        <v>3677</v>
      </c>
      <c r="M789">
        <v>0</v>
      </c>
      <c r="N789">
        <v>27</v>
      </c>
      <c r="O789">
        <v>0</v>
      </c>
      <c r="P789">
        <v>0</v>
      </c>
      <c r="Q789">
        <v>2</v>
      </c>
      <c r="R789">
        <v>346</v>
      </c>
      <c r="S789">
        <v>871</v>
      </c>
      <c r="T789">
        <v>1781</v>
      </c>
      <c r="U789">
        <v>0</v>
      </c>
      <c r="V789">
        <v>0</v>
      </c>
      <c r="W789">
        <v>1567</v>
      </c>
      <c r="X789">
        <f>NHS_AE_2024_2025[[#This Row],[A&amp;E attendances Type 1]]+
NHS_AE_2024_2025[[#This Row],[A&amp;E attendances Type 2]]+
NHS_AE_2024_2025[[#This Row],[A&amp;E attendances Other A&amp;E Department]]</f>
        <v>9441</v>
      </c>
      <c r="Y789">
        <f t="shared" si="24"/>
        <v>3704</v>
      </c>
      <c r="Z789">
        <f t="shared" si="25"/>
        <v>3348</v>
      </c>
    </row>
    <row r="790" spans="1:26" x14ac:dyDescent="0.2">
      <c r="A790" t="s">
        <v>437</v>
      </c>
      <c r="B790" t="s">
        <v>438</v>
      </c>
      <c r="C790" t="s">
        <v>358</v>
      </c>
      <c r="D790" t="s">
        <v>29</v>
      </c>
      <c r="E790" t="s">
        <v>359</v>
      </c>
      <c r="F790">
        <v>11067</v>
      </c>
      <c r="G790">
        <v>3367</v>
      </c>
      <c r="H790">
        <v>6469</v>
      </c>
      <c r="I790">
        <v>0</v>
      </c>
      <c r="J790">
        <v>0</v>
      </c>
      <c r="K790">
        <v>431</v>
      </c>
      <c r="L790">
        <v>4982</v>
      </c>
      <c r="M790">
        <v>39</v>
      </c>
      <c r="N790">
        <v>361</v>
      </c>
      <c r="O790">
        <v>0</v>
      </c>
      <c r="P790">
        <v>0</v>
      </c>
      <c r="Q790">
        <v>0</v>
      </c>
      <c r="R790">
        <v>617</v>
      </c>
      <c r="S790">
        <v>364</v>
      </c>
      <c r="T790">
        <v>3265</v>
      </c>
      <c r="U790">
        <v>0</v>
      </c>
      <c r="V790">
        <v>0</v>
      </c>
      <c r="W790">
        <v>1042</v>
      </c>
      <c r="X790">
        <f>NHS_AE_2024_2025[[#This Row],[A&amp;E attendances Type 1]]+
NHS_AE_2024_2025[[#This Row],[A&amp;E attendances Type 2]]+
NHS_AE_2024_2025[[#This Row],[A&amp;E attendances Other A&amp;E Department]]</f>
        <v>20903</v>
      </c>
      <c r="Y790">
        <f t="shared" si="24"/>
        <v>5382</v>
      </c>
      <c r="Z790">
        <f t="shared" si="25"/>
        <v>4307</v>
      </c>
    </row>
    <row r="791" spans="1:26" x14ac:dyDescent="0.2">
      <c r="A791" t="s">
        <v>437</v>
      </c>
      <c r="B791" t="s">
        <v>438</v>
      </c>
      <c r="C791" t="s">
        <v>72</v>
      </c>
      <c r="D791" t="s">
        <v>55</v>
      </c>
      <c r="E791" t="s">
        <v>73</v>
      </c>
      <c r="F791">
        <v>0</v>
      </c>
      <c r="G791">
        <v>0</v>
      </c>
      <c r="H791">
        <v>1730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6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f>NHS_AE_2024_2025[[#This Row],[A&amp;E attendances Type 1]]+
NHS_AE_2024_2025[[#This Row],[A&amp;E attendances Type 2]]+
NHS_AE_2024_2025[[#This Row],[A&amp;E attendances Other A&amp;E Department]]</f>
        <v>1730</v>
      </c>
      <c r="Y791">
        <f t="shared" si="24"/>
        <v>6</v>
      </c>
      <c r="Z791">
        <f t="shared" si="25"/>
        <v>0</v>
      </c>
    </row>
    <row r="792" spans="1:26" x14ac:dyDescent="0.2">
      <c r="A792" t="s">
        <v>437</v>
      </c>
      <c r="B792" t="s">
        <v>438</v>
      </c>
      <c r="C792" t="s">
        <v>74</v>
      </c>
      <c r="D792" t="s">
        <v>26</v>
      </c>
      <c r="E792" t="s">
        <v>75</v>
      </c>
      <c r="F792">
        <v>0</v>
      </c>
      <c r="G792">
        <v>0</v>
      </c>
      <c r="H792">
        <v>913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f>NHS_AE_2024_2025[[#This Row],[A&amp;E attendances Type 1]]+
NHS_AE_2024_2025[[#This Row],[A&amp;E attendances Type 2]]+
NHS_AE_2024_2025[[#This Row],[A&amp;E attendances Other A&amp;E Department]]</f>
        <v>913</v>
      </c>
      <c r="Y792">
        <f t="shared" si="24"/>
        <v>5</v>
      </c>
      <c r="Z792">
        <f t="shared" si="25"/>
        <v>0</v>
      </c>
    </row>
    <row r="793" spans="1:26" x14ac:dyDescent="0.2">
      <c r="A793" t="s">
        <v>437</v>
      </c>
      <c r="B793" t="s">
        <v>438</v>
      </c>
      <c r="C793" t="s">
        <v>170</v>
      </c>
      <c r="D793" t="s">
        <v>32</v>
      </c>
      <c r="E793" t="s">
        <v>171</v>
      </c>
      <c r="F793">
        <v>14519</v>
      </c>
      <c r="G793">
        <v>1625</v>
      </c>
      <c r="H793">
        <v>882</v>
      </c>
      <c r="I793">
        <v>0</v>
      </c>
      <c r="J793">
        <v>0</v>
      </c>
      <c r="K793">
        <v>0</v>
      </c>
      <c r="L793">
        <v>7643</v>
      </c>
      <c r="M793">
        <v>70</v>
      </c>
      <c r="N793">
        <v>301</v>
      </c>
      <c r="O793">
        <v>0</v>
      </c>
      <c r="P793">
        <v>0</v>
      </c>
      <c r="Q793">
        <v>0</v>
      </c>
      <c r="R793">
        <v>214</v>
      </c>
      <c r="S793">
        <v>509</v>
      </c>
      <c r="T793">
        <v>4242</v>
      </c>
      <c r="U793">
        <v>0</v>
      </c>
      <c r="V793">
        <v>0</v>
      </c>
      <c r="W793">
        <v>3931</v>
      </c>
      <c r="X793">
        <f>NHS_AE_2024_2025[[#This Row],[A&amp;E attendances Type 1]]+
NHS_AE_2024_2025[[#This Row],[A&amp;E attendances Type 2]]+
NHS_AE_2024_2025[[#This Row],[A&amp;E attendances Other A&amp;E Department]]</f>
        <v>17026</v>
      </c>
      <c r="Y793">
        <f t="shared" si="24"/>
        <v>8014</v>
      </c>
      <c r="Z793">
        <f t="shared" si="25"/>
        <v>8173</v>
      </c>
    </row>
    <row r="794" spans="1:26" x14ac:dyDescent="0.2">
      <c r="A794" t="s">
        <v>437</v>
      </c>
      <c r="B794" t="s">
        <v>438</v>
      </c>
      <c r="C794" t="s">
        <v>382</v>
      </c>
      <c r="D794" t="s">
        <v>26</v>
      </c>
      <c r="E794" t="s">
        <v>383</v>
      </c>
      <c r="F794">
        <v>10816</v>
      </c>
      <c r="G794">
        <v>0</v>
      </c>
      <c r="H794">
        <v>8601</v>
      </c>
      <c r="I794">
        <v>0</v>
      </c>
      <c r="J794">
        <v>0</v>
      </c>
      <c r="K794">
        <v>0</v>
      </c>
      <c r="L794">
        <v>5066</v>
      </c>
      <c r="M794">
        <v>0</v>
      </c>
      <c r="N794">
        <v>168</v>
      </c>
      <c r="O794">
        <v>0</v>
      </c>
      <c r="P794">
        <v>0</v>
      </c>
      <c r="Q794">
        <v>0</v>
      </c>
      <c r="R794">
        <v>575</v>
      </c>
      <c r="S794">
        <v>271</v>
      </c>
      <c r="T794">
        <v>2698</v>
      </c>
      <c r="U794">
        <v>0</v>
      </c>
      <c r="V794">
        <v>0</v>
      </c>
      <c r="W794">
        <v>1604</v>
      </c>
      <c r="X794">
        <f>NHS_AE_2024_2025[[#This Row],[A&amp;E attendances Type 1]]+
NHS_AE_2024_2025[[#This Row],[A&amp;E attendances Type 2]]+
NHS_AE_2024_2025[[#This Row],[A&amp;E attendances Other A&amp;E Department]]</f>
        <v>19417</v>
      </c>
      <c r="Y794">
        <f t="shared" si="24"/>
        <v>5234</v>
      </c>
      <c r="Z794">
        <f t="shared" si="25"/>
        <v>4302</v>
      </c>
    </row>
    <row r="795" spans="1:26" x14ac:dyDescent="0.2">
      <c r="A795" t="s">
        <v>437</v>
      </c>
      <c r="B795" t="s">
        <v>438</v>
      </c>
      <c r="C795" t="s">
        <v>128</v>
      </c>
      <c r="D795" t="s">
        <v>37</v>
      </c>
      <c r="E795" t="s">
        <v>129</v>
      </c>
      <c r="F795">
        <v>0</v>
      </c>
      <c r="G795">
        <v>0</v>
      </c>
      <c r="H795">
        <v>8561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43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f>NHS_AE_2024_2025[[#This Row],[A&amp;E attendances Type 1]]+
NHS_AE_2024_2025[[#This Row],[A&amp;E attendances Type 2]]+
NHS_AE_2024_2025[[#This Row],[A&amp;E attendances Other A&amp;E Department]]</f>
        <v>8561</v>
      </c>
      <c r="Y795">
        <f t="shared" si="24"/>
        <v>43</v>
      </c>
      <c r="Z795">
        <f t="shared" si="25"/>
        <v>0</v>
      </c>
    </row>
    <row r="796" spans="1:26" x14ac:dyDescent="0.2">
      <c r="A796" t="s">
        <v>437</v>
      </c>
      <c r="B796" t="s">
        <v>431</v>
      </c>
      <c r="C796" t="s">
        <v>431</v>
      </c>
      <c r="D796" t="s">
        <v>431</v>
      </c>
      <c r="E796" t="s">
        <v>431</v>
      </c>
      <c r="F796">
        <v>1241931</v>
      </c>
      <c r="G796">
        <v>45071</v>
      </c>
      <c r="H796">
        <v>721461</v>
      </c>
      <c r="I796">
        <v>29405</v>
      </c>
      <c r="J796">
        <v>611</v>
      </c>
      <c r="K796">
        <v>49592</v>
      </c>
      <c r="L796">
        <v>521619</v>
      </c>
      <c r="M796">
        <v>1851</v>
      </c>
      <c r="N796">
        <v>22206</v>
      </c>
      <c r="O796">
        <v>7883</v>
      </c>
      <c r="P796">
        <v>30</v>
      </c>
      <c r="Q796">
        <v>557</v>
      </c>
      <c r="R796">
        <v>83614</v>
      </c>
      <c r="S796">
        <v>47623</v>
      </c>
      <c r="T796">
        <v>362605</v>
      </c>
      <c r="U796">
        <v>1252</v>
      </c>
      <c r="V796">
        <v>3721</v>
      </c>
      <c r="W796">
        <v>128517</v>
      </c>
      <c r="X796">
        <f>NHS_AE_2024_2025[[#This Row],[A&amp;E attendances Type 1]]+
NHS_AE_2024_2025[[#This Row],[A&amp;E attendances Type 2]]+
NHS_AE_2024_2025[[#This Row],[A&amp;E attendances Other A&amp;E Department]]</f>
        <v>2008463</v>
      </c>
      <c r="Y796">
        <f t="shared" si="24"/>
        <v>545676</v>
      </c>
      <c r="Z796">
        <f t="shared" si="25"/>
        <v>496095</v>
      </c>
    </row>
    <row r="797" spans="1:26" x14ac:dyDescent="0.2">
      <c r="A797" t="s">
        <v>441</v>
      </c>
      <c r="B797" t="s">
        <v>442</v>
      </c>
      <c r="C797" t="s">
        <v>36</v>
      </c>
      <c r="D797" t="s">
        <v>37</v>
      </c>
      <c r="E797" t="s">
        <v>38</v>
      </c>
      <c r="F797">
        <v>0</v>
      </c>
      <c r="G797">
        <v>0</v>
      </c>
      <c r="H797">
        <v>2652</v>
      </c>
      <c r="I797">
        <v>0</v>
      </c>
      <c r="J797">
        <v>0</v>
      </c>
      <c r="K797">
        <v>5</v>
      </c>
      <c r="L797">
        <v>0</v>
      </c>
      <c r="M797">
        <v>0</v>
      </c>
      <c r="N797">
        <v>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f>NHS_AE_2024_2025[[#This Row],[A&amp;E attendances Type 1]]+
NHS_AE_2024_2025[[#This Row],[A&amp;E attendances Type 2]]+
NHS_AE_2024_2025[[#This Row],[A&amp;E attendances Other A&amp;E Department]]</f>
        <v>2652</v>
      </c>
      <c r="Y797">
        <f t="shared" si="24"/>
        <v>3</v>
      </c>
      <c r="Z797">
        <f t="shared" si="25"/>
        <v>0</v>
      </c>
    </row>
    <row r="798" spans="1:26" x14ac:dyDescent="0.2">
      <c r="A798" t="s">
        <v>441</v>
      </c>
      <c r="B798" t="s">
        <v>442</v>
      </c>
      <c r="C798" t="s">
        <v>28</v>
      </c>
      <c r="D798" t="s">
        <v>29</v>
      </c>
      <c r="E798" t="s">
        <v>30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45</v>
      </c>
      <c r="X798">
        <f>NHS_AE_2024_2025[[#This Row],[A&amp;E attendances Type 1]]+
NHS_AE_2024_2025[[#This Row],[A&amp;E attendances Type 2]]+
NHS_AE_2024_2025[[#This Row],[A&amp;E attendances Other A&amp;E Department]]</f>
        <v>0</v>
      </c>
      <c r="Y798">
        <f t="shared" si="24"/>
        <v>0</v>
      </c>
      <c r="Z798">
        <f t="shared" si="25"/>
        <v>45</v>
      </c>
    </row>
    <row r="799" spans="1:26" x14ac:dyDescent="0.2">
      <c r="A799" t="s">
        <v>441</v>
      </c>
      <c r="B799" t="s">
        <v>442</v>
      </c>
      <c r="C799" t="s">
        <v>49</v>
      </c>
      <c r="D799" t="s">
        <v>50</v>
      </c>
      <c r="E799" t="s">
        <v>51</v>
      </c>
      <c r="F799">
        <v>14485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4954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1427</v>
      </c>
      <c r="S799">
        <v>33</v>
      </c>
      <c r="T799">
        <v>2970</v>
      </c>
      <c r="U799">
        <v>0</v>
      </c>
      <c r="V799">
        <v>0</v>
      </c>
      <c r="W799">
        <v>219</v>
      </c>
      <c r="X799">
        <f>NHS_AE_2024_2025[[#This Row],[A&amp;E attendances Type 1]]+
NHS_AE_2024_2025[[#This Row],[A&amp;E attendances Type 2]]+
NHS_AE_2024_2025[[#This Row],[A&amp;E attendances Other A&amp;E Department]]</f>
        <v>14485</v>
      </c>
      <c r="Y799">
        <f t="shared" si="24"/>
        <v>4954</v>
      </c>
      <c r="Z799">
        <f t="shared" si="25"/>
        <v>3189</v>
      </c>
    </row>
    <row r="800" spans="1:26" x14ac:dyDescent="0.2">
      <c r="A800" t="s">
        <v>441</v>
      </c>
      <c r="B800" t="s">
        <v>442</v>
      </c>
      <c r="C800" t="s">
        <v>59</v>
      </c>
      <c r="D800" t="s">
        <v>37</v>
      </c>
      <c r="E800" t="s">
        <v>60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f>NHS_AE_2024_2025[[#This Row],[A&amp;E attendances Type 1]]+
NHS_AE_2024_2025[[#This Row],[A&amp;E attendances Type 2]]+
NHS_AE_2024_2025[[#This Row],[A&amp;E attendances Other A&amp;E Department]]</f>
        <v>0</v>
      </c>
      <c r="Y800">
        <f t="shared" si="24"/>
        <v>0</v>
      </c>
      <c r="Z800">
        <f t="shared" si="25"/>
        <v>0</v>
      </c>
    </row>
    <row r="801" spans="1:26" x14ac:dyDescent="0.2">
      <c r="A801" t="s">
        <v>441</v>
      </c>
      <c r="B801" t="s">
        <v>442</v>
      </c>
      <c r="C801" t="s">
        <v>25</v>
      </c>
      <c r="D801" t="s">
        <v>26</v>
      </c>
      <c r="E801" t="s">
        <v>27</v>
      </c>
      <c r="F801">
        <v>0</v>
      </c>
      <c r="G801">
        <v>0</v>
      </c>
      <c r="H801">
        <v>599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f>NHS_AE_2024_2025[[#This Row],[A&amp;E attendances Type 1]]+
NHS_AE_2024_2025[[#This Row],[A&amp;E attendances Type 2]]+
NHS_AE_2024_2025[[#This Row],[A&amp;E attendances Other A&amp;E Department]]</f>
        <v>599</v>
      </c>
      <c r="Y801">
        <f t="shared" si="24"/>
        <v>0</v>
      </c>
      <c r="Z801">
        <f t="shared" si="25"/>
        <v>0</v>
      </c>
    </row>
    <row r="802" spans="1:26" x14ac:dyDescent="0.2">
      <c r="A802" t="s">
        <v>441</v>
      </c>
      <c r="B802" t="s">
        <v>442</v>
      </c>
      <c r="C802" t="s">
        <v>220</v>
      </c>
      <c r="D802" t="s">
        <v>50</v>
      </c>
      <c r="E802" t="s">
        <v>221</v>
      </c>
      <c r="F802">
        <v>0</v>
      </c>
      <c r="G802">
        <v>0</v>
      </c>
      <c r="H802">
        <v>313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f>NHS_AE_2024_2025[[#This Row],[A&amp;E attendances Type 1]]+
NHS_AE_2024_2025[[#This Row],[A&amp;E attendances Type 2]]+
NHS_AE_2024_2025[[#This Row],[A&amp;E attendances Other A&amp;E Department]]</f>
        <v>313</v>
      </c>
      <c r="Y802">
        <f t="shared" si="24"/>
        <v>0</v>
      </c>
      <c r="Z802">
        <f t="shared" si="25"/>
        <v>0</v>
      </c>
    </row>
    <row r="803" spans="1:26" x14ac:dyDescent="0.2">
      <c r="A803" t="s">
        <v>441</v>
      </c>
      <c r="B803" t="s">
        <v>442</v>
      </c>
      <c r="C803" t="s">
        <v>94</v>
      </c>
      <c r="D803" t="s">
        <v>32</v>
      </c>
      <c r="E803" t="s">
        <v>95</v>
      </c>
      <c r="F803">
        <v>0</v>
      </c>
      <c r="G803">
        <v>0</v>
      </c>
      <c r="H803">
        <v>305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f>NHS_AE_2024_2025[[#This Row],[A&amp;E attendances Type 1]]+
NHS_AE_2024_2025[[#This Row],[A&amp;E attendances Type 2]]+
NHS_AE_2024_2025[[#This Row],[A&amp;E attendances Other A&amp;E Department]]</f>
        <v>305</v>
      </c>
      <c r="Y803">
        <f t="shared" si="24"/>
        <v>0</v>
      </c>
      <c r="Z803">
        <f t="shared" si="25"/>
        <v>0</v>
      </c>
    </row>
    <row r="804" spans="1:26" x14ac:dyDescent="0.2">
      <c r="A804" t="s">
        <v>441</v>
      </c>
      <c r="B804" t="s">
        <v>442</v>
      </c>
      <c r="C804" t="s">
        <v>134</v>
      </c>
      <c r="D804" t="s">
        <v>37</v>
      </c>
      <c r="E804" t="s">
        <v>135</v>
      </c>
      <c r="F804">
        <v>0</v>
      </c>
      <c r="G804">
        <v>0</v>
      </c>
      <c r="H804">
        <v>2070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f>NHS_AE_2024_2025[[#This Row],[A&amp;E attendances Type 1]]+
NHS_AE_2024_2025[[#This Row],[A&amp;E attendances Type 2]]+
NHS_AE_2024_2025[[#This Row],[A&amp;E attendances Other A&amp;E Department]]</f>
        <v>2070</v>
      </c>
      <c r="Y804">
        <f t="shared" si="24"/>
        <v>0</v>
      </c>
      <c r="Z804">
        <f t="shared" si="25"/>
        <v>0</v>
      </c>
    </row>
    <row r="805" spans="1:26" x14ac:dyDescent="0.2">
      <c r="A805" t="s">
        <v>441</v>
      </c>
      <c r="B805" t="s">
        <v>442</v>
      </c>
      <c r="C805" t="s">
        <v>72</v>
      </c>
      <c r="D805" t="s">
        <v>55</v>
      </c>
      <c r="E805" t="s">
        <v>73</v>
      </c>
      <c r="F805">
        <v>0</v>
      </c>
      <c r="G805">
        <v>0</v>
      </c>
      <c r="H805">
        <v>1730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6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f>NHS_AE_2024_2025[[#This Row],[A&amp;E attendances Type 1]]+
NHS_AE_2024_2025[[#This Row],[A&amp;E attendances Type 2]]+
NHS_AE_2024_2025[[#This Row],[A&amp;E attendances Other A&amp;E Department]]</f>
        <v>1730</v>
      </c>
      <c r="Y805">
        <f t="shared" si="24"/>
        <v>6</v>
      </c>
      <c r="Z805">
        <f t="shared" si="25"/>
        <v>0</v>
      </c>
    </row>
    <row r="806" spans="1:26" x14ac:dyDescent="0.2">
      <c r="A806" t="s">
        <v>441</v>
      </c>
      <c r="B806" t="s">
        <v>442</v>
      </c>
      <c r="C806" t="s">
        <v>74</v>
      </c>
      <c r="D806" t="s">
        <v>26</v>
      </c>
      <c r="E806" t="s">
        <v>75</v>
      </c>
      <c r="F806">
        <v>0</v>
      </c>
      <c r="G806">
        <v>0</v>
      </c>
      <c r="H806">
        <v>913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f>NHS_AE_2024_2025[[#This Row],[A&amp;E attendances Type 1]]+
NHS_AE_2024_2025[[#This Row],[A&amp;E attendances Type 2]]+
NHS_AE_2024_2025[[#This Row],[A&amp;E attendances Other A&amp;E Department]]</f>
        <v>913</v>
      </c>
      <c r="Y806">
        <f t="shared" si="24"/>
        <v>5</v>
      </c>
      <c r="Z806">
        <f t="shared" si="25"/>
        <v>0</v>
      </c>
    </row>
    <row r="807" spans="1:26" x14ac:dyDescent="0.2">
      <c r="A807" t="s">
        <v>441</v>
      </c>
      <c r="B807" t="s">
        <v>442</v>
      </c>
      <c r="C807" t="s">
        <v>100</v>
      </c>
      <c r="D807" t="s">
        <v>37</v>
      </c>
      <c r="E807" t="s">
        <v>101</v>
      </c>
      <c r="F807">
        <v>0</v>
      </c>
      <c r="G807">
        <v>0</v>
      </c>
      <c r="H807">
        <v>5148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268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f>NHS_AE_2024_2025[[#This Row],[A&amp;E attendances Type 1]]+
NHS_AE_2024_2025[[#This Row],[A&amp;E attendances Type 2]]+
NHS_AE_2024_2025[[#This Row],[A&amp;E attendances Other A&amp;E Department]]</f>
        <v>5148</v>
      </c>
      <c r="Y807">
        <f t="shared" si="24"/>
        <v>268</v>
      </c>
      <c r="Z807">
        <f t="shared" si="25"/>
        <v>0</v>
      </c>
    </row>
    <row r="808" spans="1:26" x14ac:dyDescent="0.2">
      <c r="A808" t="s">
        <v>441</v>
      </c>
      <c r="B808" t="s">
        <v>442</v>
      </c>
      <c r="C808" t="s">
        <v>78</v>
      </c>
      <c r="D808" t="s">
        <v>37</v>
      </c>
      <c r="E808" t="s">
        <v>79</v>
      </c>
      <c r="F808">
        <v>0</v>
      </c>
      <c r="G808">
        <v>0</v>
      </c>
      <c r="H808">
        <v>2292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91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f>NHS_AE_2024_2025[[#This Row],[A&amp;E attendances Type 1]]+
NHS_AE_2024_2025[[#This Row],[A&amp;E attendances Type 2]]+
NHS_AE_2024_2025[[#This Row],[A&amp;E attendances Other A&amp;E Department]]</f>
        <v>2292</v>
      </c>
      <c r="Y808">
        <f t="shared" si="24"/>
        <v>91</v>
      </c>
      <c r="Z808">
        <f t="shared" si="25"/>
        <v>0</v>
      </c>
    </row>
    <row r="809" spans="1:26" x14ac:dyDescent="0.2">
      <c r="A809" t="s">
        <v>441</v>
      </c>
      <c r="B809" t="s">
        <v>442</v>
      </c>
      <c r="C809" t="s">
        <v>80</v>
      </c>
      <c r="D809" t="s">
        <v>37</v>
      </c>
      <c r="E809" t="s">
        <v>81</v>
      </c>
      <c r="F809">
        <v>0</v>
      </c>
      <c r="G809">
        <v>0</v>
      </c>
      <c r="H809">
        <v>2535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48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f>NHS_AE_2024_2025[[#This Row],[A&amp;E attendances Type 1]]+
NHS_AE_2024_2025[[#This Row],[A&amp;E attendances Type 2]]+
NHS_AE_2024_2025[[#This Row],[A&amp;E attendances Other A&amp;E Department]]</f>
        <v>2535</v>
      </c>
      <c r="Y809">
        <f t="shared" si="24"/>
        <v>48</v>
      </c>
      <c r="Z809">
        <f t="shared" si="25"/>
        <v>0</v>
      </c>
    </row>
    <row r="810" spans="1:26" x14ac:dyDescent="0.2">
      <c r="A810" t="s">
        <v>441</v>
      </c>
      <c r="B810" t="s">
        <v>442</v>
      </c>
      <c r="C810" t="s">
        <v>292</v>
      </c>
      <c r="D810" t="s">
        <v>55</v>
      </c>
      <c r="E810" t="s">
        <v>293</v>
      </c>
      <c r="F810">
        <v>6632</v>
      </c>
      <c r="G810">
        <v>0</v>
      </c>
      <c r="H810">
        <v>2710</v>
      </c>
      <c r="I810">
        <v>0</v>
      </c>
      <c r="J810">
        <v>0</v>
      </c>
      <c r="K810">
        <v>52</v>
      </c>
      <c r="L810">
        <v>4017</v>
      </c>
      <c r="M810">
        <v>0</v>
      </c>
      <c r="N810">
        <v>48</v>
      </c>
      <c r="O810">
        <v>0</v>
      </c>
      <c r="P810">
        <v>0</v>
      </c>
      <c r="Q810">
        <v>5</v>
      </c>
      <c r="R810">
        <v>545</v>
      </c>
      <c r="S810">
        <v>724</v>
      </c>
      <c r="T810">
        <v>2149</v>
      </c>
      <c r="U810">
        <v>0</v>
      </c>
      <c r="V810">
        <v>0</v>
      </c>
      <c r="W810">
        <v>1294</v>
      </c>
      <c r="X810">
        <f>NHS_AE_2024_2025[[#This Row],[A&amp;E attendances Type 1]]+
NHS_AE_2024_2025[[#This Row],[A&amp;E attendances Type 2]]+
NHS_AE_2024_2025[[#This Row],[A&amp;E attendances Other A&amp;E Department]]</f>
        <v>9342</v>
      </c>
      <c r="Y810">
        <f t="shared" si="24"/>
        <v>4065</v>
      </c>
      <c r="Z810">
        <f t="shared" si="25"/>
        <v>3443</v>
      </c>
    </row>
    <row r="811" spans="1:26" x14ac:dyDescent="0.2">
      <c r="A811" t="s">
        <v>441</v>
      </c>
      <c r="B811" t="s">
        <v>442</v>
      </c>
      <c r="C811" t="s">
        <v>154</v>
      </c>
      <c r="D811" t="s">
        <v>70</v>
      </c>
      <c r="E811" t="s">
        <v>155</v>
      </c>
      <c r="F811">
        <v>6535</v>
      </c>
      <c r="G811">
        <v>0</v>
      </c>
      <c r="H811">
        <v>1515</v>
      </c>
      <c r="I811">
        <v>0</v>
      </c>
      <c r="J811">
        <v>0</v>
      </c>
      <c r="K811">
        <v>0</v>
      </c>
      <c r="L811">
        <v>3057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606</v>
      </c>
      <c r="S811">
        <v>456</v>
      </c>
      <c r="T811">
        <v>1611</v>
      </c>
      <c r="U811">
        <v>0</v>
      </c>
      <c r="V811">
        <v>0</v>
      </c>
      <c r="W811">
        <v>498</v>
      </c>
      <c r="X811">
        <f>NHS_AE_2024_2025[[#This Row],[A&amp;E attendances Type 1]]+
NHS_AE_2024_2025[[#This Row],[A&amp;E attendances Type 2]]+
NHS_AE_2024_2025[[#This Row],[A&amp;E attendances Other A&amp;E Department]]</f>
        <v>8050</v>
      </c>
      <c r="Y811">
        <f t="shared" si="24"/>
        <v>3057</v>
      </c>
      <c r="Z811">
        <f t="shared" si="25"/>
        <v>2109</v>
      </c>
    </row>
    <row r="812" spans="1:26" x14ac:dyDescent="0.2">
      <c r="A812" t="s">
        <v>441</v>
      </c>
      <c r="B812" t="s">
        <v>442</v>
      </c>
      <c r="C812" t="s">
        <v>47</v>
      </c>
      <c r="D812" t="s">
        <v>26</v>
      </c>
      <c r="E812" t="s">
        <v>48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10</v>
      </c>
      <c r="W812">
        <v>81</v>
      </c>
      <c r="X812">
        <f>NHS_AE_2024_2025[[#This Row],[A&amp;E attendances Type 1]]+
NHS_AE_2024_2025[[#This Row],[A&amp;E attendances Type 2]]+
NHS_AE_2024_2025[[#This Row],[A&amp;E attendances Other A&amp;E Department]]</f>
        <v>0</v>
      </c>
      <c r="Y812">
        <f t="shared" si="24"/>
        <v>0</v>
      </c>
      <c r="Z812">
        <f t="shared" si="25"/>
        <v>91</v>
      </c>
    </row>
    <row r="813" spans="1:26" x14ac:dyDescent="0.2">
      <c r="A813" t="s">
        <v>441</v>
      </c>
      <c r="B813" t="s">
        <v>442</v>
      </c>
      <c r="C813" t="s">
        <v>112</v>
      </c>
      <c r="D813" t="s">
        <v>55</v>
      </c>
      <c r="E813" t="s">
        <v>113</v>
      </c>
      <c r="F813">
        <v>4011</v>
      </c>
      <c r="G813">
        <v>0</v>
      </c>
      <c r="H813">
        <v>0</v>
      </c>
      <c r="I813">
        <v>78</v>
      </c>
      <c r="J813">
        <v>0</v>
      </c>
      <c r="K813">
        <v>59</v>
      </c>
      <c r="L813">
        <v>2049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154</v>
      </c>
      <c r="S813">
        <v>451</v>
      </c>
      <c r="T813">
        <v>784</v>
      </c>
      <c r="U813">
        <v>0</v>
      </c>
      <c r="V813">
        <v>0</v>
      </c>
      <c r="W813">
        <v>208</v>
      </c>
      <c r="X813">
        <f>NHS_AE_2024_2025[[#This Row],[A&amp;E attendances Type 1]]+
NHS_AE_2024_2025[[#This Row],[A&amp;E attendances Type 2]]+
NHS_AE_2024_2025[[#This Row],[A&amp;E attendances Other A&amp;E Department]]</f>
        <v>4011</v>
      </c>
      <c r="Y813">
        <f t="shared" si="24"/>
        <v>2049</v>
      </c>
      <c r="Z813">
        <f t="shared" si="25"/>
        <v>992</v>
      </c>
    </row>
    <row r="814" spans="1:26" x14ac:dyDescent="0.2">
      <c r="A814" t="s">
        <v>441</v>
      </c>
      <c r="B814" t="s">
        <v>442</v>
      </c>
      <c r="C814" t="s">
        <v>166</v>
      </c>
      <c r="D814" t="s">
        <v>50</v>
      </c>
      <c r="E814" t="s">
        <v>167</v>
      </c>
      <c r="F814">
        <v>0</v>
      </c>
      <c r="G814">
        <v>0</v>
      </c>
      <c r="H814">
        <v>974</v>
      </c>
      <c r="I814">
        <v>0</v>
      </c>
      <c r="J814">
        <v>0</v>
      </c>
      <c r="K814">
        <v>29</v>
      </c>
      <c r="L814">
        <v>0</v>
      </c>
      <c r="M814">
        <v>0</v>
      </c>
      <c r="N814">
        <v>6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f>NHS_AE_2024_2025[[#This Row],[A&amp;E attendances Type 1]]+
NHS_AE_2024_2025[[#This Row],[A&amp;E attendances Type 2]]+
NHS_AE_2024_2025[[#This Row],[A&amp;E attendances Other A&amp;E Department]]</f>
        <v>974</v>
      </c>
      <c r="Y814">
        <f t="shared" si="24"/>
        <v>6</v>
      </c>
      <c r="Z814">
        <f t="shared" si="25"/>
        <v>0</v>
      </c>
    </row>
    <row r="815" spans="1:26" x14ac:dyDescent="0.2">
      <c r="A815" t="s">
        <v>441</v>
      </c>
      <c r="B815" t="s">
        <v>442</v>
      </c>
      <c r="C815" t="s">
        <v>174</v>
      </c>
      <c r="D815" t="s">
        <v>50</v>
      </c>
      <c r="E815" t="s">
        <v>175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104</v>
      </c>
      <c r="X815">
        <f>NHS_AE_2024_2025[[#This Row],[A&amp;E attendances Type 1]]+
NHS_AE_2024_2025[[#This Row],[A&amp;E attendances Type 2]]+
NHS_AE_2024_2025[[#This Row],[A&amp;E attendances Other A&amp;E Department]]</f>
        <v>0</v>
      </c>
      <c r="Y815">
        <f t="shared" si="24"/>
        <v>0</v>
      </c>
      <c r="Z815">
        <f t="shared" si="25"/>
        <v>104</v>
      </c>
    </row>
    <row r="816" spans="1:26" x14ac:dyDescent="0.2">
      <c r="A816" t="s">
        <v>441</v>
      </c>
      <c r="B816" t="s">
        <v>442</v>
      </c>
      <c r="C816" t="s">
        <v>54</v>
      </c>
      <c r="D816" t="s">
        <v>55</v>
      </c>
      <c r="E816" t="s">
        <v>56</v>
      </c>
      <c r="F816">
        <v>0</v>
      </c>
      <c r="G816">
        <v>0</v>
      </c>
      <c r="H816">
        <v>4232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265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f>NHS_AE_2024_2025[[#This Row],[A&amp;E attendances Type 1]]+
NHS_AE_2024_2025[[#This Row],[A&amp;E attendances Type 2]]+
NHS_AE_2024_2025[[#This Row],[A&amp;E attendances Other A&amp;E Department]]</f>
        <v>4232</v>
      </c>
      <c r="Y816">
        <f t="shared" si="24"/>
        <v>265</v>
      </c>
      <c r="Z816">
        <f t="shared" si="25"/>
        <v>0</v>
      </c>
    </row>
    <row r="817" spans="1:26" x14ac:dyDescent="0.2">
      <c r="A817" t="s">
        <v>441</v>
      </c>
      <c r="B817" t="s">
        <v>442</v>
      </c>
      <c r="C817" t="s">
        <v>180</v>
      </c>
      <c r="D817" t="s">
        <v>26</v>
      </c>
      <c r="E817" t="s">
        <v>181</v>
      </c>
      <c r="F817">
        <v>0</v>
      </c>
      <c r="G817">
        <v>0</v>
      </c>
      <c r="H817">
        <v>1619</v>
      </c>
      <c r="I817">
        <v>0</v>
      </c>
      <c r="J817">
        <v>0</v>
      </c>
      <c r="K817">
        <v>16</v>
      </c>
      <c r="L817">
        <v>0</v>
      </c>
      <c r="M817">
        <v>0</v>
      </c>
      <c r="N817">
        <v>35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f>NHS_AE_2024_2025[[#This Row],[A&amp;E attendances Type 1]]+
NHS_AE_2024_2025[[#This Row],[A&amp;E attendances Type 2]]+
NHS_AE_2024_2025[[#This Row],[A&amp;E attendances Other A&amp;E Department]]</f>
        <v>1619</v>
      </c>
      <c r="Y817">
        <f t="shared" si="24"/>
        <v>35</v>
      </c>
      <c r="Z817">
        <f t="shared" si="25"/>
        <v>0</v>
      </c>
    </row>
    <row r="818" spans="1:26" x14ac:dyDescent="0.2">
      <c r="A818" t="s">
        <v>441</v>
      </c>
      <c r="B818" t="s">
        <v>442</v>
      </c>
      <c r="C818" t="s">
        <v>61</v>
      </c>
      <c r="D818" t="s">
        <v>55</v>
      </c>
      <c r="E818" t="s">
        <v>62</v>
      </c>
      <c r="F818">
        <v>0</v>
      </c>
      <c r="G818">
        <v>0</v>
      </c>
      <c r="H818">
        <v>1666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8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f>NHS_AE_2024_2025[[#This Row],[A&amp;E attendances Type 1]]+
NHS_AE_2024_2025[[#This Row],[A&amp;E attendances Type 2]]+
NHS_AE_2024_2025[[#This Row],[A&amp;E attendances Other A&amp;E Department]]</f>
        <v>1666</v>
      </c>
      <c r="Y818">
        <f t="shared" si="24"/>
        <v>8</v>
      </c>
      <c r="Z818">
        <f t="shared" si="25"/>
        <v>0</v>
      </c>
    </row>
    <row r="819" spans="1:26" x14ac:dyDescent="0.2">
      <c r="A819" t="s">
        <v>441</v>
      </c>
      <c r="B819" t="s">
        <v>442</v>
      </c>
      <c r="C819" t="s">
        <v>63</v>
      </c>
      <c r="D819" t="s">
        <v>32</v>
      </c>
      <c r="E819" t="s">
        <v>64</v>
      </c>
      <c r="F819">
        <v>0</v>
      </c>
      <c r="G819">
        <v>0</v>
      </c>
      <c r="H819">
        <v>7079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f>NHS_AE_2024_2025[[#This Row],[A&amp;E attendances Type 1]]+
NHS_AE_2024_2025[[#This Row],[A&amp;E attendances Type 2]]+
NHS_AE_2024_2025[[#This Row],[A&amp;E attendances Other A&amp;E Department]]</f>
        <v>7079</v>
      </c>
      <c r="Y819">
        <f t="shared" si="24"/>
        <v>0</v>
      </c>
      <c r="Z819">
        <f t="shared" si="25"/>
        <v>0</v>
      </c>
    </row>
    <row r="820" spans="1:26" x14ac:dyDescent="0.2">
      <c r="A820" t="s">
        <v>441</v>
      </c>
      <c r="B820" t="s">
        <v>442</v>
      </c>
      <c r="C820" t="s">
        <v>31</v>
      </c>
      <c r="D820" t="s">
        <v>32</v>
      </c>
      <c r="E820" t="s">
        <v>33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1429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f>NHS_AE_2024_2025[[#This Row],[A&amp;E attendances Type 1]]+
NHS_AE_2024_2025[[#This Row],[A&amp;E attendances Type 2]]+
NHS_AE_2024_2025[[#This Row],[A&amp;E attendances Other A&amp;E Department]]</f>
        <v>0</v>
      </c>
      <c r="Y820">
        <f t="shared" si="24"/>
        <v>0</v>
      </c>
      <c r="Z820">
        <f t="shared" si="25"/>
        <v>0</v>
      </c>
    </row>
    <row r="821" spans="1:26" x14ac:dyDescent="0.2">
      <c r="A821" t="s">
        <v>441</v>
      </c>
      <c r="B821" t="s">
        <v>442</v>
      </c>
      <c r="C821" t="s">
        <v>41</v>
      </c>
      <c r="D821" t="s">
        <v>32</v>
      </c>
      <c r="E821" t="s">
        <v>42</v>
      </c>
      <c r="F821">
        <v>0</v>
      </c>
      <c r="G821">
        <v>0</v>
      </c>
      <c r="H821">
        <v>3194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f>NHS_AE_2024_2025[[#This Row],[A&amp;E attendances Type 1]]+
NHS_AE_2024_2025[[#This Row],[A&amp;E attendances Type 2]]+
NHS_AE_2024_2025[[#This Row],[A&amp;E attendances Other A&amp;E Department]]</f>
        <v>3194</v>
      </c>
      <c r="Y821">
        <f t="shared" si="24"/>
        <v>0</v>
      </c>
      <c r="Z821">
        <f t="shared" si="25"/>
        <v>0</v>
      </c>
    </row>
    <row r="822" spans="1:26" x14ac:dyDescent="0.2">
      <c r="A822" t="s">
        <v>441</v>
      </c>
      <c r="B822" t="s">
        <v>442</v>
      </c>
      <c r="C822" t="s">
        <v>82</v>
      </c>
      <c r="D822" t="s">
        <v>55</v>
      </c>
      <c r="E822" t="s">
        <v>83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187</v>
      </c>
      <c r="X822">
        <f>NHS_AE_2024_2025[[#This Row],[A&amp;E attendances Type 1]]+
NHS_AE_2024_2025[[#This Row],[A&amp;E attendances Type 2]]+
NHS_AE_2024_2025[[#This Row],[A&amp;E attendances Other A&amp;E Department]]</f>
        <v>0</v>
      </c>
      <c r="Y822">
        <f t="shared" si="24"/>
        <v>0</v>
      </c>
      <c r="Z822">
        <f t="shared" si="25"/>
        <v>187</v>
      </c>
    </row>
    <row r="823" spans="1:26" x14ac:dyDescent="0.2">
      <c r="A823" t="s">
        <v>441</v>
      </c>
      <c r="B823" t="s">
        <v>442</v>
      </c>
      <c r="C823" t="s">
        <v>400</v>
      </c>
      <c r="D823" t="s">
        <v>50</v>
      </c>
      <c r="E823" t="s">
        <v>401</v>
      </c>
      <c r="F823">
        <v>4739</v>
      </c>
      <c r="G823">
        <v>0</v>
      </c>
      <c r="H823">
        <v>836</v>
      </c>
      <c r="I823">
        <v>361</v>
      </c>
      <c r="J823">
        <v>0</v>
      </c>
      <c r="K823">
        <v>42</v>
      </c>
      <c r="L823">
        <v>1550</v>
      </c>
      <c r="M823">
        <v>0</v>
      </c>
      <c r="N823">
        <v>0</v>
      </c>
      <c r="O823">
        <v>78</v>
      </c>
      <c r="P823">
        <v>0</v>
      </c>
      <c r="Q823">
        <v>0</v>
      </c>
      <c r="R823">
        <v>460</v>
      </c>
      <c r="S823">
        <v>90</v>
      </c>
      <c r="T823">
        <v>1173</v>
      </c>
      <c r="U823">
        <v>0</v>
      </c>
      <c r="V823">
        <v>0</v>
      </c>
      <c r="W823">
        <v>289</v>
      </c>
      <c r="X823">
        <f>NHS_AE_2024_2025[[#This Row],[A&amp;E attendances Type 1]]+
NHS_AE_2024_2025[[#This Row],[A&amp;E attendances Type 2]]+
NHS_AE_2024_2025[[#This Row],[A&amp;E attendances Other A&amp;E Department]]</f>
        <v>5575</v>
      </c>
      <c r="Y823">
        <f t="shared" si="24"/>
        <v>1550</v>
      </c>
      <c r="Z823">
        <f t="shared" si="25"/>
        <v>1462</v>
      </c>
    </row>
    <row r="824" spans="1:26" x14ac:dyDescent="0.2">
      <c r="A824" t="s">
        <v>441</v>
      </c>
      <c r="B824" t="s">
        <v>442</v>
      </c>
      <c r="C824" t="s">
        <v>102</v>
      </c>
      <c r="D824" t="s">
        <v>55</v>
      </c>
      <c r="E824" t="s">
        <v>103</v>
      </c>
      <c r="F824">
        <v>14224</v>
      </c>
      <c r="G824">
        <v>1684</v>
      </c>
      <c r="H824">
        <v>7490</v>
      </c>
      <c r="I824">
        <v>499</v>
      </c>
      <c r="J824">
        <v>0</v>
      </c>
      <c r="K824">
        <v>0</v>
      </c>
      <c r="L824">
        <v>6639</v>
      </c>
      <c r="M824">
        <v>24</v>
      </c>
      <c r="N824">
        <v>122</v>
      </c>
      <c r="O824">
        <v>78</v>
      </c>
      <c r="P824">
        <v>0</v>
      </c>
      <c r="Q824">
        <v>0</v>
      </c>
      <c r="R824">
        <v>2034</v>
      </c>
      <c r="S824">
        <v>1117</v>
      </c>
      <c r="T824">
        <v>4597</v>
      </c>
      <c r="U824">
        <v>0</v>
      </c>
      <c r="V824">
        <v>0</v>
      </c>
      <c r="W824">
        <v>2238</v>
      </c>
      <c r="X824">
        <f>NHS_AE_2024_2025[[#This Row],[A&amp;E attendances Type 1]]+
NHS_AE_2024_2025[[#This Row],[A&amp;E attendances Type 2]]+
NHS_AE_2024_2025[[#This Row],[A&amp;E attendances Other A&amp;E Department]]</f>
        <v>23398</v>
      </c>
      <c r="Y824">
        <f t="shared" si="24"/>
        <v>6785</v>
      </c>
      <c r="Z824">
        <f t="shared" si="25"/>
        <v>6835</v>
      </c>
    </row>
    <row r="825" spans="1:26" x14ac:dyDescent="0.2">
      <c r="A825" t="s">
        <v>441</v>
      </c>
      <c r="B825" t="s">
        <v>442</v>
      </c>
      <c r="C825" t="s">
        <v>84</v>
      </c>
      <c r="D825" t="s">
        <v>50</v>
      </c>
      <c r="E825" t="s">
        <v>85</v>
      </c>
      <c r="F825">
        <v>8663</v>
      </c>
      <c r="G825">
        <v>0</v>
      </c>
      <c r="H825">
        <v>0</v>
      </c>
      <c r="I825">
        <v>20</v>
      </c>
      <c r="J825">
        <v>0</v>
      </c>
      <c r="K825">
        <v>0</v>
      </c>
      <c r="L825">
        <v>3459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795</v>
      </c>
      <c r="S825">
        <v>0</v>
      </c>
      <c r="T825">
        <v>2894</v>
      </c>
      <c r="U825">
        <v>0</v>
      </c>
      <c r="V825">
        <v>0</v>
      </c>
      <c r="W825">
        <v>516</v>
      </c>
      <c r="X825">
        <f>NHS_AE_2024_2025[[#This Row],[A&amp;E attendances Type 1]]+
NHS_AE_2024_2025[[#This Row],[A&amp;E attendances Type 2]]+
NHS_AE_2024_2025[[#This Row],[A&amp;E attendances Other A&amp;E Department]]</f>
        <v>8663</v>
      </c>
      <c r="Y825">
        <f t="shared" si="24"/>
        <v>3459</v>
      </c>
      <c r="Z825">
        <f t="shared" si="25"/>
        <v>3410</v>
      </c>
    </row>
    <row r="826" spans="1:26" x14ac:dyDescent="0.2">
      <c r="A826" t="s">
        <v>441</v>
      </c>
      <c r="B826" t="s">
        <v>442</v>
      </c>
      <c r="C826" t="s">
        <v>256</v>
      </c>
      <c r="D826" t="s">
        <v>37</v>
      </c>
      <c r="E826" t="s">
        <v>257</v>
      </c>
      <c r="F826">
        <v>0</v>
      </c>
      <c r="G826">
        <v>0</v>
      </c>
      <c r="H826">
        <v>3531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314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f>NHS_AE_2024_2025[[#This Row],[A&amp;E attendances Type 1]]+
NHS_AE_2024_2025[[#This Row],[A&amp;E attendances Type 2]]+
NHS_AE_2024_2025[[#This Row],[A&amp;E attendances Other A&amp;E Department]]</f>
        <v>3531</v>
      </c>
      <c r="Y826">
        <f t="shared" si="24"/>
        <v>314</v>
      </c>
      <c r="Z826">
        <f t="shared" si="25"/>
        <v>0</v>
      </c>
    </row>
    <row r="827" spans="1:26" x14ac:dyDescent="0.2">
      <c r="A827" t="s">
        <v>441</v>
      </c>
      <c r="B827" t="s">
        <v>442</v>
      </c>
      <c r="C827" t="s">
        <v>86</v>
      </c>
      <c r="D827" t="s">
        <v>37</v>
      </c>
      <c r="E827" t="s">
        <v>87</v>
      </c>
      <c r="F827">
        <v>0</v>
      </c>
      <c r="G827">
        <v>0</v>
      </c>
      <c r="H827">
        <v>1279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3</v>
      </c>
      <c r="W827">
        <v>444</v>
      </c>
      <c r="X827">
        <f>NHS_AE_2024_2025[[#This Row],[A&amp;E attendances Type 1]]+
NHS_AE_2024_2025[[#This Row],[A&amp;E attendances Type 2]]+
NHS_AE_2024_2025[[#This Row],[A&amp;E attendances Other A&amp;E Department]]</f>
        <v>1279</v>
      </c>
      <c r="Y827">
        <f t="shared" si="24"/>
        <v>1</v>
      </c>
      <c r="Z827">
        <f t="shared" si="25"/>
        <v>447</v>
      </c>
    </row>
    <row r="828" spans="1:26" x14ac:dyDescent="0.2">
      <c r="A828" t="s">
        <v>441</v>
      </c>
      <c r="B828" t="s">
        <v>442</v>
      </c>
      <c r="C828" t="s">
        <v>260</v>
      </c>
      <c r="D828" t="s">
        <v>37</v>
      </c>
      <c r="E828" t="s">
        <v>261</v>
      </c>
      <c r="F828">
        <v>10059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3370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441</v>
      </c>
      <c r="S828">
        <v>521</v>
      </c>
      <c r="T828">
        <v>2810</v>
      </c>
      <c r="U828">
        <v>0</v>
      </c>
      <c r="V828">
        <v>0</v>
      </c>
      <c r="W828">
        <v>725</v>
      </c>
      <c r="X828">
        <f>NHS_AE_2024_2025[[#This Row],[A&amp;E attendances Type 1]]+
NHS_AE_2024_2025[[#This Row],[A&amp;E attendances Type 2]]+
NHS_AE_2024_2025[[#This Row],[A&amp;E attendances Other A&amp;E Department]]</f>
        <v>10059</v>
      </c>
      <c r="Y828">
        <f t="shared" si="24"/>
        <v>3370</v>
      </c>
      <c r="Z828">
        <f t="shared" si="25"/>
        <v>3535</v>
      </c>
    </row>
    <row r="829" spans="1:26" x14ac:dyDescent="0.2">
      <c r="A829" t="s">
        <v>441</v>
      </c>
      <c r="B829" t="s">
        <v>442</v>
      </c>
      <c r="C829" t="s">
        <v>164</v>
      </c>
      <c r="D829" t="s">
        <v>37</v>
      </c>
      <c r="E829" t="s">
        <v>165</v>
      </c>
      <c r="F829">
        <v>9612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3640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527</v>
      </c>
      <c r="S829">
        <v>703</v>
      </c>
      <c r="T829">
        <v>2940</v>
      </c>
      <c r="U829">
        <v>0</v>
      </c>
      <c r="V829">
        <v>0</v>
      </c>
      <c r="W829">
        <v>922</v>
      </c>
      <c r="X829">
        <f>NHS_AE_2024_2025[[#This Row],[A&amp;E attendances Type 1]]+
NHS_AE_2024_2025[[#This Row],[A&amp;E attendances Type 2]]+
NHS_AE_2024_2025[[#This Row],[A&amp;E attendances Other A&amp;E Department]]</f>
        <v>9612</v>
      </c>
      <c r="Y829">
        <f t="shared" si="24"/>
        <v>3640</v>
      </c>
      <c r="Z829">
        <f t="shared" si="25"/>
        <v>3862</v>
      </c>
    </row>
    <row r="830" spans="1:26" x14ac:dyDescent="0.2">
      <c r="A830" t="s">
        <v>441</v>
      </c>
      <c r="B830" t="s">
        <v>442</v>
      </c>
      <c r="C830" t="s">
        <v>124</v>
      </c>
      <c r="D830" t="s">
        <v>37</v>
      </c>
      <c r="E830" t="s">
        <v>434</v>
      </c>
      <c r="F830">
        <v>0</v>
      </c>
      <c r="G830">
        <v>0</v>
      </c>
      <c r="H830">
        <v>2632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56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132</v>
      </c>
      <c r="X830">
        <f>NHS_AE_2024_2025[[#This Row],[A&amp;E attendances Type 1]]+
NHS_AE_2024_2025[[#This Row],[A&amp;E attendances Type 2]]+
NHS_AE_2024_2025[[#This Row],[A&amp;E attendances Other A&amp;E Department]]</f>
        <v>2632</v>
      </c>
      <c r="Y830">
        <f t="shared" si="24"/>
        <v>56</v>
      </c>
      <c r="Z830">
        <f t="shared" si="25"/>
        <v>132</v>
      </c>
    </row>
    <row r="831" spans="1:26" x14ac:dyDescent="0.2">
      <c r="A831" t="s">
        <v>441</v>
      </c>
      <c r="B831" t="s">
        <v>442</v>
      </c>
      <c r="C831" t="s">
        <v>218</v>
      </c>
      <c r="D831" t="s">
        <v>70</v>
      </c>
      <c r="E831" t="s">
        <v>219</v>
      </c>
      <c r="F831">
        <v>0</v>
      </c>
      <c r="G831">
        <v>0</v>
      </c>
      <c r="H831">
        <v>1125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37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f>NHS_AE_2024_2025[[#This Row],[A&amp;E attendances Type 1]]+
NHS_AE_2024_2025[[#This Row],[A&amp;E attendances Type 2]]+
NHS_AE_2024_2025[[#This Row],[A&amp;E attendances Other A&amp;E Department]]</f>
        <v>1125</v>
      </c>
      <c r="Y831">
        <f t="shared" si="24"/>
        <v>37</v>
      </c>
      <c r="Z831">
        <f t="shared" si="25"/>
        <v>0</v>
      </c>
    </row>
    <row r="832" spans="1:26" x14ac:dyDescent="0.2">
      <c r="A832" t="s">
        <v>441</v>
      </c>
      <c r="B832" t="s">
        <v>442</v>
      </c>
      <c r="C832" t="s">
        <v>130</v>
      </c>
      <c r="D832" t="s">
        <v>70</v>
      </c>
      <c r="E832" t="s">
        <v>131</v>
      </c>
      <c r="F832">
        <v>0</v>
      </c>
      <c r="G832">
        <v>0</v>
      </c>
      <c r="H832">
        <v>3234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f>NHS_AE_2024_2025[[#This Row],[A&amp;E attendances Type 1]]+
NHS_AE_2024_2025[[#This Row],[A&amp;E attendances Type 2]]+
NHS_AE_2024_2025[[#This Row],[A&amp;E attendances Other A&amp;E Department]]</f>
        <v>3234</v>
      </c>
      <c r="Y832">
        <f t="shared" si="24"/>
        <v>0</v>
      </c>
      <c r="Z832">
        <f t="shared" si="25"/>
        <v>0</v>
      </c>
    </row>
    <row r="833" spans="1:26" x14ac:dyDescent="0.2">
      <c r="A833" t="s">
        <v>441</v>
      </c>
      <c r="B833" t="s">
        <v>442</v>
      </c>
      <c r="C833" t="s">
        <v>106</v>
      </c>
      <c r="D833" t="s">
        <v>37</v>
      </c>
      <c r="E833" t="s">
        <v>107</v>
      </c>
      <c r="F833">
        <v>0</v>
      </c>
      <c r="G833">
        <v>0</v>
      </c>
      <c r="H833">
        <v>1987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f>NHS_AE_2024_2025[[#This Row],[A&amp;E attendances Type 1]]+
NHS_AE_2024_2025[[#This Row],[A&amp;E attendances Type 2]]+
NHS_AE_2024_2025[[#This Row],[A&amp;E attendances Other A&amp;E Department]]</f>
        <v>1987</v>
      </c>
      <c r="Y833">
        <f t="shared" si="24"/>
        <v>0</v>
      </c>
      <c r="Z833">
        <f t="shared" si="25"/>
        <v>0</v>
      </c>
    </row>
    <row r="834" spans="1:26" x14ac:dyDescent="0.2">
      <c r="A834" t="s">
        <v>441</v>
      </c>
      <c r="B834" t="s">
        <v>442</v>
      </c>
      <c r="C834" t="s">
        <v>65</v>
      </c>
      <c r="D834" t="s">
        <v>32</v>
      </c>
      <c r="E834" t="s">
        <v>66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2337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f>NHS_AE_2024_2025[[#This Row],[A&amp;E attendances Type 1]]+
NHS_AE_2024_2025[[#This Row],[A&amp;E attendances Type 2]]+
NHS_AE_2024_2025[[#This Row],[A&amp;E attendances Other A&amp;E Department]]</f>
        <v>0</v>
      </c>
      <c r="Y834">
        <f t="shared" ref="Y834:Y897" si="26">L834+M834+N834</f>
        <v>0</v>
      </c>
      <c r="Z834">
        <f t="shared" ref="Z834:Z897" si="27">T834+U834+V834+W834</f>
        <v>0</v>
      </c>
    </row>
    <row r="835" spans="1:26" x14ac:dyDescent="0.2">
      <c r="A835" t="s">
        <v>441</v>
      </c>
      <c r="B835" t="s">
        <v>442</v>
      </c>
      <c r="C835" t="s">
        <v>146</v>
      </c>
      <c r="D835" t="s">
        <v>32</v>
      </c>
      <c r="E835" t="s">
        <v>147</v>
      </c>
      <c r="F835">
        <v>0</v>
      </c>
      <c r="G835">
        <v>0</v>
      </c>
      <c r="H835">
        <v>5135</v>
      </c>
      <c r="I835">
        <v>0</v>
      </c>
      <c r="J835">
        <v>0</v>
      </c>
      <c r="K835">
        <v>274</v>
      </c>
      <c r="L835">
        <v>0</v>
      </c>
      <c r="M835">
        <v>0</v>
      </c>
      <c r="N835">
        <v>604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f>NHS_AE_2024_2025[[#This Row],[A&amp;E attendances Type 1]]+
NHS_AE_2024_2025[[#This Row],[A&amp;E attendances Type 2]]+
NHS_AE_2024_2025[[#This Row],[A&amp;E attendances Other A&amp;E Department]]</f>
        <v>5135</v>
      </c>
      <c r="Y835">
        <f t="shared" si="26"/>
        <v>604</v>
      </c>
      <c r="Z835">
        <f t="shared" si="27"/>
        <v>0</v>
      </c>
    </row>
    <row r="836" spans="1:26" x14ac:dyDescent="0.2">
      <c r="A836" t="s">
        <v>441</v>
      </c>
      <c r="B836" t="s">
        <v>442</v>
      </c>
      <c r="C836" t="s">
        <v>120</v>
      </c>
      <c r="D836" t="s">
        <v>50</v>
      </c>
      <c r="E836" t="s">
        <v>121</v>
      </c>
      <c r="F836">
        <v>10809</v>
      </c>
      <c r="G836">
        <v>1172</v>
      </c>
      <c r="H836">
        <v>5192</v>
      </c>
      <c r="I836">
        <v>750</v>
      </c>
      <c r="J836">
        <v>0</v>
      </c>
      <c r="K836">
        <v>1490</v>
      </c>
      <c r="L836">
        <v>6163</v>
      </c>
      <c r="M836">
        <v>33</v>
      </c>
      <c r="N836">
        <v>217</v>
      </c>
      <c r="O836">
        <v>426</v>
      </c>
      <c r="P836">
        <v>0</v>
      </c>
      <c r="Q836">
        <v>53</v>
      </c>
      <c r="R836">
        <v>1224</v>
      </c>
      <c r="S836">
        <v>55</v>
      </c>
      <c r="T836">
        <v>4624</v>
      </c>
      <c r="U836">
        <v>15</v>
      </c>
      <c r="V836">
        <v>0</v>
      </c>
      <c r="W836">
        <v>1150</v>
      </c>
      <c r="X836">
        <f>NHS_AE_2024_2025[[#This Row],[A&amp;E attendances Type 1]]+
NHS_AE_2024_2025[[#This Row],[A&amp;E attendances Type 2]]+
NHS_AE_2024_2025[[#This Row],[A&amp;E attendances Other A&amp;E Department]]</f>
        <v>17173</v>
      </c>
      <c r="Y836">
        <f t="shared" si="26"/>
        <v>6413</v>
      </c>
      <c r="Z836">
        <f t="shared" si="27"/>
        <v>5789</v>
      </c>
    </row>
    <row r="837" spans="1:26" x14ac:dyDescent="0.2">
      <c r="A837" t="s">
        <v>441</v>
      </c>
      <c r="B837" t="s">
        <v>442</v>
      </c>
      <c r="C837" t="s">
        <v>43</v>
      </c>
      <c r="D837" t="s">
        <v>26</v>
      </c>
      <c r="E837" t="s">
        <v>44</v>
      </c>
      <c r="F837">
        <v>5843</v>
      </c>
      <c r="G837">
        <v>0</v>
      </c>
      <c r="H837">
        <v>2879</v>
      </c>
      <c r="I837">
        <v>353</v>
      </c>
      <c r="J837">
        <v>0</v>
      </c>
      <c r="K837">
        <v>141</v>
      </c>
      <c r="L837">
        <v>2900</v>
      </c>
      <c r="M837">
        <v>0</v>
      </c>
      <c r="N837">
        <v>14</v>
      </c>
      <c r="O837">
        <v>155</v>
      </c>
      <c r="P837">
        <v>0</v>
      </c>
      <c r="Q837">
        <v>0</v>
      </c>
      <c r="R837">
        <v>396</v>
      </c>
      <c r="S837">
        <v>70</v>
      </c>
      <c r="T837">
        <v>2166</v>
      </c>
      <c r="U837">
        <v>0</v>
      </c>
      <c r="V837">
        <v>0</v>
      </c>
      <c r="W837">
        <v>1229</v>
      </c>
      <c r="X837">
        <f>NHS_AE_2024_2025[[#This Row],[A&amp;E attendances Type 1]]+
NHS_AE_2024_2025[[#This Row],[A&amp;E attendances Type 2]]+
NHS_AE_2024_2025[[#This Row],[A&amp;E attendances Other A&amp;E Department]]</f>
        <v>8722</v>
      </c>
      <c r="Y837">
        <f t="shared" si="26"/>
        <v>2914</v>
      </c>
      <c r="Z837">
        <f t="shared" si="27"/>
        <v>3395</v>
      </c>
    </row>
    <row r="838" spans="1:26" x14ac:dyDescent="0.2">
      <c r="A838" t="s">
        <v>441</v>
      </c>
      <c r="B838" t="s">
        <v>442</v>
      </c>
      <c r="C838" t="s">
        <v>402</v>
      </c>
      <c r="D838" t="s">
        <v>70</v>
      </c>
      <c r="E838" t="s">
        <v>403</v>
      </c>
      <c r="F838">
        <v>6370</v>
      </c>
      <c r="G838">
        <v>0</v>
      </c>
      <c r="H838">
        <v>1131</v>
      </c>
      <c r="I838">
        <v>0</v>
      </c>
      <c r="J838">
        <v>0</v>
      </c>
      <c r="K838">
        <v>0</v>
      </c>
      <c r="L838">
        <v>2953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265</v>
      </c>
      <c r="S838">
        <v>122</v>
      </c>
      <c r="T838">
        <v>2035</v>
      </c>
      <c r="U838">
        <v>0</v>
      </c>
      <c r="V838">
        <v>0</v>
      </c>
      <c r="W838">
        <v>313</v>
      </c>
      <c r="X838">
        <f>NHS_AE_2024_2025[[#This Row],[A&amp;E attendances Type 1]]+
NHS_AE_2024_2025[[#This Row],[A&amp;E attendances Type 2]]+
NHS_AE_2024_2025[[#This Row],[A&amp;E attendances Other A&amp;E Department]]</f>
        <v>7501</v>
      </c>
      <c r="Y838">
        <f t="shared" si="26"/>
        <v>2953</v>
      </c>
      <c r="Z838">
        <f t="shared" si="27"/>
        <v>2348</v>
      </c>
    </row>
    <row r="839" spans="1:26" x14ac:dyDescent="0.2">
      <c r="A839" t="s">
        <v>441</v>
      </c>
      <c r="B839" t="s">
        <v>442</v>
      </c>
      <c r="C839" t="s">
        <v>270</v>
      </c>
      <c r="D839" t="s">
        <v>32</v>
      </c>
      <c r="E839" t="s">
        <v>271</v>
      </c>
      <c r="F839">
        <v>10692</v>
      </c>
      <c r="G839">
        <v>1103</v>
      </c>
      <c r="H839">
        <v>8325</v>
      </c>
      <c r="I839">
        <v>589</v>
      </c>
      <c r="J839">
        <v>0</v>
      </c>
      <c r="K839">
        <v>0</v>
      </c>
      <c r="L839">
        <v>4832</v>
      </c>
      <c r="M839">
        <v>183</v>
      </c>
      <c r="N839">
        <v>294</v>
      </c>
      <c r="O839">
        <v>0</v>
      </c>
      <c r="P839">
        <v>0</v>
      </c>
      <c r="Q839">
        <v>0</v>
      </c>
      <c r="R839">
        <v>804</v>
      </c>
      <c r="S839">
        <v>196</v>
      </c>
      <c r="T839">
        <v>2578</v>
      </c>
      <c r="U839">
        <v>0</v>
      </c>
      <c r="V839">
        <v>0</v>
      </c>
      <c r="W839">
        <v>507</v>
      </c>
      <c r="X839">
        <f>NHS_AE_2024_2025[[#This Row],[A&amp;E attendances Type 1]]+
NHS_AE_2024_2025[[#This Row],[A&amp;E attendances Type 2]]+
NHS_AE_2024_2025[[#This Row],[A&amp;E attendances Other A&amp;E Department]]</f>
        <v>20120</v>
      </c>
      <c r="Y839">
        <f t="shared" si="26"/>
        <v>5309</v>
      </c>
      <c r="Z839">
        <f t="shared" si="27"/>
        <v>3085</v>
      </c>
    </row>
    <row r="840" spans="1:26" x14ac:dyDescent="0.2">
      <c r="A840" t="s">
        <v>441</v>
      </c>
      <c r="B840" t="s">
        <v>442</v>
      </c>
      <c r="C840" t="s">
        <v>278</v>
      </c>
      <c r="D840" t="s">
        <v>32</v>
      </c>
      <c r="E840" t="s">
        <v>279</v>
      </c>
      <c r="F840">
        <v>0</v>
      </c>
      <c r="G840">
        <v>0</v>
      </c>
      <c r="H840">
        <v>247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f>NHS_AE_2024_2025[[#This Row],[A&amp;E attendances Type 1]]+
NHS_AE_2024_2025[[#This Row],[A&amp;E attendances Type 2]]+
NHS_AE_2024_2025[[#This Row],[A&amp;E attendances Other A&amp;E Department]]</f>
        <v>247</v>
      </c>
      <c r="Y840">
        <f t="shared" si="26"/>
        <v>0</v>
      </c>
      <c r="Z840">
        <f t="shared" si="27"/>
        <v>0</v>
      </c>
    </row>
    <row r="841" spans="1:26" x14ac:dyDescent="0.2">
      <c r="A841" t="s">
        <v>441</v>
      </c>
      <c r="B841" t="s">
        <v>442</v>
      </c>
      <c r="C841" t="s">
        <v>412</v>
      </c>
      <c r="D841" t="s">
        <v>32</v>
      </c>
      <c r="E841" t="s">
        <v>413</v>
      </c>
      <c r="F841">
        <v>0</v>
      </c>
      <c r="G841">
        <v>0</v>
      </c>
      <c r="H841">
        <v>495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f>NHS_AE_2024_2025[[#This Row],[A&amp;E attendances Type 1]]+
NHS_AE_2024_2025[[#This Row],[A&amp;E attendances Type 2]]+
NHS_AE_2024_2025[[#This Row],[A&amp;E attendances Other A&amp;E Department]]</f>
        <v>495</v>
      </c>
      <c r="Y841">
        <f t="shared" si="26"/>
        <v>0</v>
      </c>
      <c r="Z841">
        <f t="shared" si="27"/>
        <v>0</v>
      </c>
    </row>
    <row r="842" spans="1:26" x14ac:dyDescent="0.2">
      <c r="A842" t="s">
        <v>441</v>
      </c>
      <c r="B842" t="s">
        <v>442</v>
      </c>
      <c r="C842" t="s">
        <v>69</v>
      </c>
      <c r="D842" t="s">
        <v>70</v>
      </c>
      <c r="E842" t="s">
        <v>71</v>
      </c>
      <c r="F842">
        <v>0</v>
      </c>
      <c r="G842">
        <v>0</v>
      </c>
      <c r="H842">
        <v>2063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56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f>NHS_AE_2024_2025[[#This Row],[A&amp;E attendances Type 1]]+
NHS_AE_2024_2025[[#This Row],[A&amp;E attendances Type 2]]+
NHS_AE_2024_2025[[#This Row],[A&amp;E attendances Other A&amp;E Department]]</f>
        <v>2063</v>
      </c>
      <c r="Y842">
        <f t="shared" si="26"/>
        <v>56</v>
      </c>
      <c r="Z842">
        <f t="shared" si="27"/>
        <v>0</v>
      </c>
    </row>
    <row r="843" spans="1:26" x14ac:dyDescent="0.2">
      <c r="A843" t="s">
        <v>441</v>
      </c>
      <c r="B843" t="s">
        <v>442</v>
      </c>
      <c r="C843" t="s">
        <v>39</v>
      </c>
      <c r="D843" t="s">
        <v>26</v>
      </c>
      <c r="E843" t="s">
        <v>40</v>
      </c>
      <c r="F843">
        <v>0</v>
      </c>
      <c r="G843">
        <v>0</v>
      </c>
      <c r="H843">
        <v>77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f>NHS_AE_2024_2025[[#This Row],[A&amp;E attendances Type 1]]+
NHS_AE_2024_2025[[#This Row],[A&amp;E attendances Type 2]]+
NHS_AE_2024_2025[[#This Row],[A&amp;E attendances Other A&amp;E Department]]</f>
        <v>77</v>
      </c>
      <c r="Y843">
        <f t="shared" si="26"/>
        <v>0</v>
      </c>
      <c r="Z843">
        <f t="shared" si="27"/>
        <v>0</v>
      </c>
    </row>
    <row r="844" spans="1:26" x14ac:dyDescent="0.2">
      <c r="A844" t="s">
        <v>441</v>
      </c>
      <c r="B844" t="s">
        <v>442</v>
      </c>
      <c r="C844" t="s">
        <v>222</v>
      </c>
      <c r="D844" t="s">
        <v>32</v>
      </c>
      <c r="E844" t="s">
        <v>223</v>
      </c>
      <c r="F844">
        <v>0</v>
      </c>
      <c r="G844">
        <v>0</v>
      </c>
      <c r="H844">
        <v>4432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f>NHS_AE_2024_2025[[#This Row],[A&amp;E attendances Type 1]]+
NHS_AE_2024_2025[[#This Row],[A&amp;E attendances Type 2]]+
NHS_AE_2024_2025[[#This Row],[A&amp;E attendances Other A&amp;E Department]]</f>
        <v>4432</v>
      </c>
      <c r="Y844">
        <f t="shared" si="26"/>
        <v>0</v>
      </c>
      <c r="Z844">
        <f t="shared" si="27"/>
        <v>0</v>
      </c>
    </row>
    <row r="845" spans="1:26" x14ac:dyDescent="0.2">
      <c r="A845" t="s">
        <v>441</v>
      </c>
      <c r="B845" t="s">
        <v>442</v>
      </c>
      <c r="C845" t="s">
        <v>110</v>
      </c>
      <c r="D845" t="s">
        <v>37</v>
      </c>
      <c r="E845" t="s">
        <v>111</v>
      </c>
      <c r="F845">
        <v>0</v>
      </c>
      <c r="G845">
        <v>0</v>
      </c>
      <c r="H845">
        <v>1090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f>NHS_AE_2024_2025[[#This Row],[A&amp;E attendances Type 1]]+
NHS_AE_2024_2025[[#This Row],[A&amp;E attendances Type 2]]+
NHS_AE_2024_2025[[#This Row],[A&amp;E attendances Other A&amp;E Department]]</f>
        <v>1090</v>
      </c>
      <c r="Y845">
        <f t="shared" si="26"/>
        <v>0</v>
      </c>
      <c r="Z845">
        <f t="shared" si="27"/>
        <v>0</v>
      </c>
    </row>
    <row r="846" spans="1:26" x14ac:dyDescent="0.2">
      <c r="A846" t="s">
        <v>441</v>
      </c>
      <c r="B846" t="s">
        <v>442</v>
      </c>
      <c r="C846" t="s">
        <v>226</v>
      </c>
      <c r="D846" t="s">
        <v>37</v>
      </c>
      <c r="E846" t="s">
        <v>227</v>
      </c>
      <c r="F846">
        <v>6385</v>
      </c>
      <c r="G846">
        <v>0</v>
      </c>
      <c r="H846">
        <v>1360</v>
      </c>
      <c r="I846">
        <v>855</v>
      </c>
      <c r="J846">
        <v>0</v>
      </c>
      <c r="K846">
        <v>3</v>
      </c>
      <c r="L846">
        <v>1892</v>
      </c>
      <c r="M846">
        <v>0</v>
      </c>
      <c r="N846">
        <v>0</v>
      </c>
      <c r="O846">
        <v>180</v>
      </c>
      <c r="P846">
        <v>0</v>
      </c>
      <c r="Q846">
        <v>0</v>
      </c>
      <c r="R846">
        <v>414</v>
      </c>
      <c r="S846">
        <v>13</v>
      </c>
      <c r="T846">
        <v>2451</v>
      </c>
      <c r="U846">
        <v>0</v>
      </c>
      <c r="V846">
        <v>0</v>
      </c>
      <c r="W846">
        <v>1165</v>
      </c>
      <c r="X846">
        <f>NHS_AE_2024_2025[[#This Row],[A&amp;E attendances Type 1]]+
NHS_AE_2024_2025[[#This Row],[A&amp;E attendances Type 2]]+
NHS_AE_2024_2025[[#This Row],[A&amp;E attendances Other A&amp;E Department]]</f>
        <v>7745</v>
      </c>
      <c r="Y846">
        <f t="shared" si="26"/>
        <v>1892</v>
      </c>
      <c r="Z846">
        <f t="shared" si="27"/>
        <v>3616</v>
      </c>
    </row>
    <row r="847" spans="1:26" x14ac:dyDescent="0.2">
      <c r="A847" t="s">
        <v>441</v>
      </c>
      <c r="B847" t="s">
        <v>442</v>
      </c>
      <c r="C847" t="s">
        <v>190</v>
      </c>
      <c r="D847" t="s">
        <v>50</v>
      </c>
      <c r="E847" t="s">
        <v>191</v>
      </c>
      <c r="F847">
        <v>8851</v>
      </c>
      <c r="G847">
        <v>961</v>
      </c>
      <c r="H847">
        <v>2947</v>
      </c>
      <c r="I847">
        <v>0</v>
      </c>
      <c r="J847">
        <v>0</v>
      </c>
      <c r="K847">
        <v>0</v>
      </c>
      <c r="L847">
        <v>2289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710</v>
      </c>
      <c r="S847">
        <v>122</v>
      </c>
      <c r="T847">
        <v>2521</v>
      </c>
      <c r="U847">
        <v>0</v>
      </c>
      <c r="V847">
        <v>33</v>
      </c>
      <c r="W847">
        <v>1486</v>
      </c>
      <c r="X847">
        <f>NHS_AE_2024_2025[[#This Row],[A&amp;E attendances Type 1]]+
NHS_AE_2024_2025[[#This Row],[A&amp;E attendances Type 2]]+
NHS_AE_2024_2025[[#This Row],[A&amp;E attendances Other A&amp;E Department]]</f>
        <v>12759</v>
      </c>
      <c r="Y847">
        <f t="shared" si="26"/>
        <v>2289</v>
      </c>
      <c r="Z847">
        <f t="shared" si="27"/>
        <v>4040</v>
      </c>
    </row>
    <row r="848" spans="1:26" x14ac:dyDescent="0.2">
      <c r="A848" t="s">
        <v>441</v>
      </c>
      <c r="B848" t="s">
        <v>442</v>
      </c>
      <c r="C848" t="s">
        <v>45</v>
      </c>
      <c r="D848" t="s">
        <v>26</v>
      </c>
      <c r="E848" t="s">
        <v>46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2</v>
      </c>
      <c r="W848">
        <v>0</v>
      </c>
      <c r="X848">
        <f>NHS_AE_2024_2025[[#This Row],[A&amp;E attendances Type 1]]+
NHS_AE_2024_2025[[#This Row],[A&amp;E attendances Type 2]]+
NHS_AE_2024_2025[[#This Row],[A&amp;E attendances Other A&amp;E Department]]</f>
        <v>0</v>
      </c>
      <c r="Y848">
        <f t="shared" si="26"/>
        <v>0</v>
      </c>
      <c r="Z848">
        <f t="shared" si="27"/>
        <v>2</v>
      </c>
    </row>
    <row r="849" spans="1:26" x14ac:dyDescent="0.2">
      <c r="A849" t="s">
        <v>441</v>
      </c>
      <c r="B849" t="s">
        <v>442</v>
      </c>
      <c r="C849" t="s">
        <v>126</v>
      </c>
      <c r="D849" t="s">
        <v>70</v>
      </c>
      <c r="E849" t="s">
        <v>127</v>
      </c>
      <c r="F849">
        <v>8229</v>
      </c>
      <c r="G849">
        <v>0</v>
      </c>
      <c r="H849">
        <v>6655</v>
      </c>
      <c r="I849">
        <v>0</v>
      </c>
      <c r="J849">
        <v>0</v>
      </c>
      <c r="K849">
        <v>837</v>
      </c>
      <c r="L849">
        <v>3010</v>
      </c>
      <c r="M849">
        <v>0</v>
      </c>
      <c r="N849">
        <v>92</v>
      </c>
      <c r="O849">
        <v>0</v>
      </c>
      <c r="P849">
        <v>0</v>
      </c>
      <c r="Q849">
        <v>0</v>
      </c>
      <c r="R849">
        <v>919</v>
      </c>
      <c r="S849">
        <v>28</v>
      </c>
      <c r="T849">
        <v>4215</v>
      </c>
      <c r="U849">
        <v>0</v>
      </c>
      <c r="V849">
        <v>0</v>
      </c>
      <c r="W849">
        <v>601</v>
      </c>
      <c r="X849">
        <f>NHS_AE_2024_2025[[#This Row],[A&amp;E attendances Type 1]]+
NHS_AE_2024_2025[[#This Row],[A&amp;E attendances Type 2]]+
NHS_AE_2024_2025[[#This Row],[A&amp;E attendances Other A&amp;E Department]]</f>
        <v>14884</v>
      </c>
      <c r="Y849">
        <f t="shared" si="26"/>
        <v>3102</v>
      </c>
      <c r="Z849">
        <f t="shared" si="27"/>
        <v>4816</v>
      </c>
    </row>
    <row r="850" spans="1:26" x14ac:dyDescent="0.2">
      <c r="A850" t="s">
        <v>441</v>
      </c>
      <c r="B850" t="s">
        <v>442</v>
      </c>
      <c r="C850" t="s">
        <v>57</v>
      </c>
      <c r="D850" t="s">
        <v>32</v>
      </c>
      <c r="E850" t="s">
        <v>58</v>
      </c>
      <c r="F850">
        <v>0</v>
      </c>
      <c r="G850">
        <v>0</v>
      </c>
      <c r="H850">
        <v>5873</v>
      </c>
      <c r="I850">
        <v>0</v>
      </c>
      <c r="J850">
        <v>0</v>
      </c>
      <c r="K850">
        <v>2193</v>
      </c>
      <c r="L850">
        <v>0</v>
      </c>
      <c r="M850">
        <v>0</v>
      </c>
      <c r="N850">
        <v>89</v>
      </c>
      <c r="O850">
        <v>0</v>
      </c>
      <c r="P850">
        <v>0</v>
      </c>
      <c r="Q850">
        <v>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f>NHS_AE_2024_2025[[#This Row],[A&amp;E attendances Type 1]]+
NHS_AE_2024_2025[[#This Row],[A&amp;E attendances Type 2]]+
NHS_AE_2024_2025[[#This Row],[A&amp;E attendances Other A&amp;E Department]]</f>
        <v>5873</v>
      </c>
      <c r="Y850">
        <f t="shared" si="26"/>
        <v>89</v>
      </c>
      <c r="Z850">
        <f t="shared" si="27"/>
        <v>0</v>
      </c>
    </row>
    <row r="851" spans="1:26" x14ac:dyDescent="0.2">
      <c r="A851" t="s">
        <v>441</v>
      </c>
      <c r="B851" t="s">
        <v>442</v>
      </c>
      <c r="C851" t="s">
        <v>118</v>
      </c>
      <c r="D851" t="s">
        <v>32</v>
      </c>
      <c r="E851" t="s">
        <v>119</v>
      </c>
      <c r="F851">
        <v>0</v>
      </c>
      <c r="G851">
        <v>0</v>
      </c>
      <c r="H851">
        <v>1813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f>NHS_AE_2024_2025[[#This Row],[A&amp;E attendances Type 1]]+
NHS_AE_2024_2025[[#This Row],[A&amp;E attendances Type 2]]+
NHS_AE_2024_2025[[#This Row],[A&amp;E attendances Other A&amp;E Department]]</f>
        <v>1813</v>
      </c>
      <c r="Y851">
        <f t="shared" si="26"/>
        <v>0</v>
      </c>
      <c r="Z851">
        <f t="shared" si="27"/>
        <v>0</v>
      </c>
    </row>
    <row r="852" spans="1:26" x14ac:dyDescent="0.2">
      <c r="A852" t="s">
        <v>441</v>
      </c>
      <c r="B852" t="s">
        <v>442</v>
      </c>
      <c r="C852" t="s">
        <v>148</v>
      </c>
      <c r="D852" t="s">
        <v>32</v>
      </c>
      <c r="E852" t="s">
        <v>149</v>
      </c>
      <c r="F852">
        <v>0</v>
      </c>
      <c r="G852">
        <v>0</v>
      </c>
      <c r="H852">
        <v>2889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3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f>NHS_AE_2024_2025[[#This Row],[A&amp;E attendances Type 1]]+
NHS_AE_2024_2025[[#This Row],[A&amp;E attendances Type 2]]+
NHS_AE_2024_2025[[#This Row],[A&amp;E attendances Other A&amp;E Department]]</f>
        <v>2889</v>
      </c>
      <c r="Y852">
        <f t="shared" si="26"/>
        <v>3</v>
      </c>
      <c r="Z852">
        <f t="shared" si="27"/>
        <v>0</v>
      </c>
    </row>
    <row r="853" spans="1:26" x14ac:dyDescent="0.2">
      <c r="A853" t="s">
        <v>441</v>
      </c>
      <c r="B853" t="s">
        <v>442</v>
      </c>
      <c r="C853" t="s">
        <v>204</v>
      </c>
      <c r="D853" t="s">
        <v>32</v>
      </c>
      <c r="E853" t="s">
        <v>205</v>
      </c>
      <c r="F853">
        <v>5515</v>
      </c>
      <c r="G853">
        <v>1141</v>
      </c>
      <c r="H853">
        <v>123</v>
      </c>
      <c r="I853">
        <v>145</v>
      </c>
      <c r="J853">
        <v>0</v>
      </c>
      <c r="K853">
        <v>0</v>
      </c>
      <c r="L853">
        <v>2460</v>
      </c>
      <c r="M853">
        <v>0</v>
      </c>
      <c r="N853">
        <v>0</v>
      </c>
      <c r="O853">
        <v>28</v>
      </c>
      <c r="P853">
        <v>0</v>
      </c>
      <c r="Q853">
        <v>0</v>
      </c>
      <c r="R853">
        <v>439</v>
      </c>
      <c r="S853">
        <v>323</v>
      </c>
      <c r="T853">
        <v>1416</v>
      </c>
      <c r="U853">
        <v>0</v>
      </c>
      <c r="V853">
        <v>0</v>
      </c>
      <c r="W853">
        <v>135</v>
      </c>
      <c r="X853">
        <f>NHS_AE_2024_2025[[#This Row],[A&amp;E attendances Type 1]]+
NHS_AE_2024_2025[[#This Row],[A&amp;E attendances Type 2]]+
NHS_AE_2024_2025[[#This Row],[A&amp;E attendances Other A&amp;E Department]]</f>
        <v>6779</v>
      </c>
      <c r="Y853">
        <f t="shared" si="26"/>
        <v>2460</v>
      </c>
      <c r="Z853">
        <f t="shared" si="27"/>
        <v>1551</v>
      </c>
    </row>
    <row r="854" spans="1:26" x14ac:dyDescent="0.2">
      <c r="A854" t="s">
        <v>441</v>
      </c>
      <c r="B854" t="s">
        <v>442</v>
      </c>
      <c r="C854" t="s">
        <v>168</v>
      </c>
      <c r="D854" t="s">
        <v>32</v>
      </c>
      <c r="E854" t="s">
        <v>169</v>
      </c>
      <c r="F854">
        <v>12351</v>
      </c>
      <c r="G854">
        <v>0</v>
      </c>
      <c r="H854">
        <v>5089</v>
      </c>
      <c r="I854">
        <v>0</v>
      </c>
      <c r="J854">
        <v>0</v>
      </c>
      <c r="K854">
        <v>0</v>
      </c>
      <c r="L854">
        <v>7172</v>
      </c>
      <c r="M854">
        <v>0</v>
      </c>
      <c r="N854">
        <v>37</v>
      </c>
      <c r="O854">
        <v>0</v>
      </c>
      <c r="P854">
        <v>0</v>
      </c>
      <c r="Q854">
        <v>0</v>
      </c>
      <c r="R854">
        <v>969</v>
      </c>
      <c r="S854">
        <v>713</v>
      </c>
      <c r="T854">
        <v>2758</v>
      </c>
      <c r="U854">
        <v>0</v>
      </c>
      <c r="V854">
        <v>0</v>
      </c>
      <c r="W854">
        <v>858</v>
      </c>
      <c r="X854">
        <f>NHS_AE_2024_2025[[#This Row],[A&amp;E attendances Type 1]]+
NHS_AE_2024_2025[[#This Row],[A&amp;E attendances Type 2]]+
NHS_AE_2024_2025[[#This Row],[A&amp;E attendances Other A&amp;E Department]]</f>
        <v>17440</v>
      </c>
      <c r="Y854">
        <f t="shared" si="26"/>
        <v>7209</v>
      </c>
      <c r="Z854">
        <f t="shared" si="27"/>
        <v>3616</v>
      </c>
    </row>
    <row r="855" spans="1:26" x14ac:dyDescent="0.2">
      <c r="A855" t="s">
        <v>441</v>
      </c>
      <c r="B855" t="s">
        <v>442</v>
      </c>
      <c r="C855" t="s">
        <v>128</v>
      </c>
      <c r="D855" t="s">
        <v>37</v>
      </c>
      <c r="E855" t="s">
        <v>129</v>
      </c>
      <c r="F855">
        <v>0</v>
      </c>
      <c r="G855">
        <v>0</v>
      </c>
      <c r="H855">
        <v>9305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19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f>NHS_AE_2024_2025[[#This Row],[A&amp;E attendances Type 1]]+
NHS_AE_2024_2025[[#This Row],[A&amp;E attendances Type 2]]+
NHS_AE_2024_2025[[#This Row],[A&amp;E attendances Other A&amp;E Department]]</f>
        <v>9305</v>
      </c>
      <c r="Y855">
        <f t="shared" si="26"/>
        <v>19</v>
      </c>
      <c r="Z855">
        <f t="shared" si="27"/>
        <v>0</v>
      </c>
    </row>
    <row r="856" spans="1:26" x14ac:dyDescent="0.2">
      <c r="A856" t="s">
        <v>441</v>
      </c>
      <c r="B856" t="s">
        <v>442</v>
      </c>
      <c r="C856" t="s">
        <v>108</v>
      </c>
      <c r="D856" t="s">
        <v>37</v>
      </c>
      <c r="E856" t="s">
        <v>109</v>
      </c>
      <c r="F856">
        <v>0</v>
      </c>
      <c r="G856">
        <v>0</v>
      </c>
      <c r="H856">
        <v>1959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f>NHS_AE_2024_2025[[#This Row],[A&amp;E attendances Type 1]]+
NHS_AE_2024_2025[[#This Row],[A&amp;E attendances Type 2]]+
NHS_AE_2024_2025[[#This Row],[A&amp;E attendances Other A&amp;E Department]]</f>
        <v>1959</v>
      </c>
      <c r="Y856">
        <f t="shared" si="26"/>
        <v>0</v>
      </c>
      <c r="Z856">
        <f t="shared" si="27"/>
        <v>0</v>
      </c>
    </row>
    <row r="857" spans="1:26" x14ac:dyDescent="0.2">
      <c r="A857" t="s">
        <v>441</v>
      </c>
      <c r="B857" t="s">
        <v>442</v>
      </c>
      <c r="C857" t="s">
        <v>132</v>
      </c>
      <c r="D857" t="s">
        <v>37</v>
      </c>
      <c r="E857" t="s">
        <v>133</v>
      </c>
      <c r="F857">
        <v>0</v>
      </c>
      <c r="G857">
        <v>0</v>
      </c>
      <c r="H857">
        <v>5162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f>NHS_AE_2024_2025[[#This Row],[A&amp;E attendances Type 1]]+
NHS_AE_2024_2025[[#This Row],[A&amp;E attendances Type 2]]+
NHS_AE_2024_2025[[#This Row],[A&amp;E attendances Other A&amp;E Department]]</f>
        <v>5162</v>
      </c>
      <c r="Y857">
        <f t="shared" si="26"/>
        <v>0</v>
      </c>
      <c r="Z857">
        <f t="shared" si="27"/>
        <v>0</v>
      </c>
    </row>
    <row r="858" spans="1:26" x14ac:dyDescent="0.2">
      <c r="A858" t="s">
        <v>441</v>
      </c>
      <c r="B858" t="s">
        <v>442</v>
      </c>
      <c r="C858" t="s">
        <v>96</v>
      </c>
      <c r="D858" t="s">
        <v>29</v>
      </c>
      <c r="E858" t="s">
        <v>97</v>
      </c>
      <c r="F858">
        <v>0</v>
      </c>
      <c r="G858">
        <v>0</v>
      </c>
      <c r="H858">
        <v>2777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f>NHS_AE_2024_2025[[#This Row],[A&amp;E attendances Type 1]]+
NHS_AE_2024_2025[[#This Row],[A&amp;E attendances Type 2]]+
NHS_AE_2024_2025[[#This Row],[A&amp;E attendances Other A&amp;E Department]]</f>
        <v>2777</v>
      </c>
      <c r="Y858">
        <f t="shared" si="26"/>
        <v>12</v>
      </c>
      <c r="Z858">
        <f t="shared" si="27"/>
        <v>0</v>
      </c>
    </row>
    <row r="859" spans="1:26" x14ac:dyDescent="0.2">
      <c r="A859" t="s">
        <v>441</v>
      </c>
      <c r="B859" t="s">
        <v>442</v>
      </c>
      <c r="C859" t="s">
        <v>98</v>
      </c>
      <c r="D859" t="s">
        <v>29</v>
      </c>
      <c r="E859" t="s">
        <v>99</v>
      </c>
      <c r="F859">
        <v>0</v>
      </c>
      <c r="G859">
        <v>0</v>
      </c>
      <c r="H859">
        <v>2825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4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f>NHS_AE_2024_2025[[#This Row],[A&amp;E attendances Type 1]]+
NHS_AE_2024_2025[[#This Row],[A&amp;E attendances Type 2]]+
NHS_AE_2024_2025[[#This Row],[A&amp;E attendances Other A&amp;E Department]]</f>
        <v>2825</v>
      </c>
      <c r="Y859">
        <f t="shared" si="26"/>
        <v>4</v>
      </c>
      <c r="Z859">
        <f t="shared" si="27"/>
        <v>0</v>
      </c>
    </row>
    <row r="860" spans="1:26" x14ac:dyDescent="0.2">
      <c r="A860" t="s">
        <v>441</v>
      </c>
      <c r="B860" t="s">
        <v>442</v>
      </c>
      <c r="C860" t="s">
        <v>422</v>
      </c>
      <c r="D860" t="s">
        <v>26</v>
      </c>
      <c r="E860" t="s">
        <v>423</v>
      </c>
      <c r="F860">
        <v>0</v>
      </c>
      <c r="G860">
        <v>0</v>
      </c>
      <c r="H860">
        <v>7710</v>
      </c>
      <c r="I860">
        <v>0</v>
      </c>
      <c r="J860">
        <v>0</v>
      </c>
      <c r="K860">
        <v>346</v>
      </c>
      <c r="L860">
        <v>0</v>
      </c>
      <c r="M860">
        <v>0</v>
      </c>
      <c r="N860">
        <v>333</v>
      </c>
      <c r="O860">
        <v>0</v>
      </c>
      <c r="P860">
        <v>0</v>
      </c>
      <c r="Q860">
        <v>45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f>NHS_AE_2024_2025[[#This Row],[A&amp;E attendances Type 1]]+
NHS_AE_2024_2025[[#This Row],[A&amp;E attendances Type 2]]+
NHS_AE_2024_2025[[#This Row],[A&amp;E attendances Other A&amp;E Department]]</f>
        <v>7710</v>
      </c>
      <c r="Y860">
        <f t="shared" si="26"/>
        <v>333</v>
      </c>
      <c r="Z860">
        <f t="shared" si="27"/>
        <v>0</v>
      </c>
    </row>
    <row r="861" spans="1:26" x14ac:dyDescent="0.2">
      <c r="A861" t="s">
        <v>441</v>
      </c>
      <c r="B861" t="s">
        <v>442</v>
      </c>
      <c r="C861" t="s">
        <v>76</v>
      </c>
      <c r="D861" t="s">
        <v>37</v>
      </c>
      <c r="E861" t="s">
        <v>77</v>
      </c>
      <c r="F861">
        <v>0</v>
      </c>
      <c r="G861">
        <v>0</v>
      </c>
      <c r="H861">
        <v>5187</v>
      </c>
      <c r="I861">
        <v>0</v>
      </c>
      <c r="J861">
        <v>0</v>
      </c>
      <c r="K861">
        <v>232</v>
      </c>
      <c r="L861">
        <v>0</v>
      </c>
      <c r="M861">
        <v>0</v>
      </c>
      <c r="N861">
        <v>125</v>
      </c>
      <c r="O861">
        <v>0</v>
      </c>
      <c r="P861">
        <v>0</v>
      </c>
      <c r="Q861">
        <v>6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f>NHS_AE_2024_2025[[#This Row],[A&amp;E attendances Type 1]]+
NHS_AE_2024_2025[[#This Row],[A&amp;E attendances Type 2]]+
NHS_AE_2024_2025[[#This Row],[A&amp;E attendances Other A&amp;E Department]]</f>
        <v>5187</v>
      </c>
      <c r="Y861">
        <f t="shared" si="26"/>
        <v>125</v>
      </c>
      <c r="Z861">
        <f t="shared" si="27"/>
        <v>0</v>
      </c>
    </row>
    <row r="862" spans="1:26" x14ac:dyDescent="0.2">
      <c r="A862" t="s">
        <v>441</v>
      </c>
      <c r="B862" t="s">
        <v>442</v>
      </c>
      <c r="C862" t="s">
        <v>184</v>
      </c>
      <c r="D862" t="s">
        <v>55</v>
      </c>
      <c r="E862" t="s">
        <v>185</v>
      </c>
      <c r="F862">
        <v>0</v>
      </c>
      <c r="G862">
        <v>0</v>
      </c>
      <c r="H862">
        <v>920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f>NHS_AE_2024_2025[[#This Row],[A&amp;E attendances Type 1]]+
NHS_AE_2024_2025[[#This Row],[A&amp;E attendances Type 2]]+
NHS_AE_2024_2025[[#This Row],[A&amp;E attendances Other A&amp;E Department]]</f>
        <v>920</v>
      </c>
      <c r="Y862">
        <f t="shared" si="26"/>
        <v>1</v>
      </c>
      <c r="Z862">
        <f t="shared" si="27"/>
        <v>0</v>
      </c>
    </row>
    <row r="863" spans="1:26" x14ac:dyDescent="0.2">
      <c r="A863" t="s">
        <v>441</v>
      </c>
      <c r="B863" t="s">
        <v>442</v>
      </c>
      <c r="C863" t="s">
        <v>186</v>
      </c>
      <c r="D863" t="s">
        <v>26</v>
      </c>
      <c r="E863" t="s">
        <v>187</v>
      </c>
      <c r="F863">
        <v>12296</v>
      </c>
      <c r="G863">
        <v>0</v>
      </c>
      <c r="H863">
        <v>4726</v>
      </c>
      <c r="I863">
        <v>0</v>
      </c>
      <c r="J863">
        <v>0</v>
      </c>
      <c r="K863">
        <v>0</v>
      </c>
      <c r="L863">
        <v>4996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1043</v>
      </c>
      <c r="S863">
        <v>484</v>
      </c>
      <c r="T863">
        <v>4019</v>
      </c>
      <c r="U863">
        <v>0</v>
      </c>
      <c r="V863">
        <v>0</v>
      </c>
      <c r="W863">
        <v>2517</v>
      </c>
      <c r="X863">
        <f>NHS_AE_2024_2025[[#This Row],[A&amp;E attendances Type 1]]+
NHS_AE_2024_2025[[#This Row],[A&amp;E attendances Type 2]]+
NHS_AE_2024_2025[[#This Row],[A&amp;E attendances Other A&amp;E Department]]</f>
        <v>17022</v>
      </c>
      <c r="Y863">
        <f t="shared" si="26"/>
        <v>4996</v>
      </c>
      <c r="Z863">
        <f t="shared" si="27"/>
        <v>6536</v>
      </c>
    </row>
    <row r="864" spans="1:26" x14ac:dyDescent="0.2">
      <c r="A864" t="s">
        <v>441</v>
      </c>
      <c r="B864" t="s">
        <v>442</v>
      </c>
      <c r="C864" t="s">
        <v>198</v>
      </c>
      <c r="D864" t="s">
        <v>55</v>
      </c>
      <c r="E864" t="s">
        <v>199</v>
      </c>
      <c r="F864">
        <v>0</v>
      </c>
      <c r="G864">
        <v>1429</v>
      </c>
      <c r="H864">
        <v>0</v>
      </c>
      <c r="I864">
        <v>0</v>
      </c>
      <c r="J864">
        <v>182</v>
      </c>
      <c r="K864">
        <v>0</v>
      </c>
      <c r="L864">
        <v>0</v>
      </c>
      <c r="M864">
        <v>155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89</v>
      </c>
      <c r="V864">
        <v>0</v>
      </c>
      <c r="W864">
        <v>17</v>
      </c>
      <c r="X864">
        <f>NHS_AE_2024_2025[[#This Row],[A&amp;E attendances Type 1]]+
NHS_AE_2024_2025[[#This Row],[A&amp;E attendances Type 2]]+
NHS_AE_2024_2025[[#This Row],[A&amp;E attendances Other A&amp;E Department]]</f>
        <v>1429</v>
      </c>
      <c r="Y864">
        <f t="shared" si="26"/>
        <v>155</v>
      </c>
      <c r="Z864">
        <f t="shared" si="27"/>
        <v>106</v>
      </c>
    </row>
    <row r="865" spans="1:26" x14ac:dyDescent="0.2">
      <c r="A865" t="s">
        <v>441</v>
      </c>
      <c r="B865" t="s">
        <v>442</v>
      </c>
      <c r="C865" t="s">
        <v>366</v>
      </c>
      <c r="D865" t="s">
        <v>29</v>
      </c>
      <c r="E865" t="s">
        <v>367</v>
      </c>
      <c r="F865">
        <v>13814</v>
      </c>
      <c r="G865">
        <v>2497</v>
      </c>
      <c r="H865">
        <v>14157</v>
      </c>
      <c r="I865">
        <v>0</v>
      </c>
      <c r="J865">
        <v>0</v>
      </c>
      <c r="K865">
        <v>0</v>
      </c>
      <c r="L865">
        <v>6286</v>
      </c>
      <c r="M865">
        <v>360</v>
      </c>
      <c r="N865">
        <v>143</v>
      </c>
      <c r="O865">
        <v>0</v>
      </c>
      <c r="P865">
        <v>0</v>
      </c>
      <c r="Q865">
        <v>0</v>
      </c>
      <c r="R865">
        <v>698</v>
      </c>
      <c r="S865">
        <v>1064</v>
      </c>
      <c r="T865">
        <v>8389</v>
      </c>
      <c r="U865">
        <v>0</v>
      </c>
      <c r="V865">
        <v>0</v>
      </c>
      <c r="W865">
        <v>426</v>
      </c>
      <c r="X865">
        <f>NHS_AE_2024_2025[[#This Row],[A&amp;E attendances Type 1]]+
NHS_AE_2024_2025[[#This Row],[A&amp;E attendances Type 2]]+
NHS_AE_2024_2025[[#This Row],[A&amp;E attendances Other A&amp;E Department]]</f>
        <v>30468</v>
      </c>
      <c r="Y865">
        <f t="shared" si="26"/>
        <v>6789</v>
      </c>
      <c r="Z865">
        <f t="shared" si="27"/>
        <v>8815</v>
      </c>
    </row>
    <row r="866" spans="1:26" x14ac:dyDescent="0.2">
      <c r="A866" t="s">
        <v>441</v>
      </c>
      <c r="B866" t="s">
        <v>442</v>
      </c>
      <c r="C866" t="s">
        <v>416</v>
      </c>
      <c r="D866" t="s">
        <v>70</v>
      </c>
      <c r="E866" t="s">
        <v>417</v>
      </c>
      <c r="F866">
        <v>7423</v>
      </c>
      <c r="G866">
        <v>0</v>
      </c>
      <c r="H866">
        <v>669</v>
      </c>
      <c r="I866">
        <v>58</v>
      </c>
      <c r="J866">
        <v>0</v>
      </c>
      <c r="K866">
        <v>0</v>
      </c>
      <c r="L866">
        <v>2959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475</v>
      </c>
      <c r="S866">
        <v>707</v>
      </c>
      <c r="T866">
        <v>1829</v>
      </c>
      <c r="U866">
        <v>0</v>
      </c>
      <c r="V866">
        <v>0</v>
      </c>
      <c r="W866">
        <v>290</v>
      </c>
      <c r="X866">
        <f>NHS_AE_2024_2025[[#This Row],[A&amp;E attendances Type 1]]+
NHS_AE_2024_2025[[#This Row],[A&amp;E attendances Type 2]]+
NHS_AE_2024_2025[[#This Row],[A&amp;E attendances Other A&amp;E Department]]</f>
        <v>8092</v>
      </c>
      <c r="Y866">
        <f t="shared" si="26"/>
        <v>2959</v>
      </c>
      <c r="Z866">
        <f t="shared" si="27"/>
        <v>2119</v>
      </c>
    </row>
    <row r="867" spans="1:26" x14ac:dyDescent="0.2">
      <c r="A867" t="s">
        <v>441</v>
      </c>
      <c r="B867" t="s">
        <v>442</v>
      </c>
      <c r="C867" t="s">
        <v>310</v>
      </c>
      <c r="D867" t="s">
        <v>26</v>
      </c>
      <c r="E867" t="s">
        <v>311</v>
      </c>
      <c r="F867">
        <v>8603</v>
      </c>
      <c r="G867">
        <v>160</v>
      </c>
      <c r="H867">
        <v>4975</v>
      </c>
      <c r="I867">
        <v>0</v>
      </c>
      <c r="J867">
        <v>0</v>
      </c>
      <c r="K867">
        <v>0</v>
      </c>
      <c r="L867">
        <v>4558</v>
      </c>
      <c r="M867">
        <v>1</v>
      </c>
      <c r="N867">
        <v>93</v>
      </c>
      <c r="O867">
        <v>0</v>
      </c>
      <c r="P867">
        <v>0</v>
      </c>
      <c r="Q867">
        <v>0</v>
      </c>
      <c r="R867">
        <v>327</v>
      </c>
      <c r="S867">
        <v>860</v>
      </c>
      <c r="T867">
        <v>2776</v>
      </c>
      <c r="U867">
        <v>0</v>
      </c>
      <c r="V867">
        <v>0</v>
      </c>
      <c r="W867">
        <v>1457</v>
      </c>
      <c r="X867">
        <f>NHS_AE_2024_2025[[#This Row],[A&amp;E attendances Type 1]]+
NHS_AE_2024_2025[[#This Row],[A&amp;E attendances Type 2]]+
NHS_AE_2024_2025[[#This Row],[A&amp;E attendances Other A&amp;E Department]]</f>
        <v>13738</v>
      </c>
      <c r="Y867">
        <f t="shared" si="26"/>
        <v>4652</v>
      </c>
      <c r="Z867">
        <f t="shared" si="27"/>
        <v>4233</v>
      </c>
    </row>
    <row r="868" spans="1:26" x14ac:dyDescent="0.2">
      <c r="A868" t="s">
        <v>441</v>
      </c>
      <c r="B868" t="s">
        <v>442</v>
      </c>
      <c r="C868" t="s">
        <v>202</v>
      </c>
      <c r="D868" t="s">
        <v>32</v>
      </c>
      <c r="E868" t="s">
        <v>203</v>
      </c>
      <c r="F868">
        <v>12006</v>
      </c>
      <c r="G868">
        <v>0</v>
      </c>
      <c r="H868">
        <v>8055</v>
      </c>
      <c r="I868">
        <v>64</v>
      </c>
      <c r="J868">
        <v>0</v>
      </c>
      <c r="K868">
        <v>746</v>
      </c>
      <c r="L868">
        <v>3674</v>
      </c>
      <c r="M868">
        <v>0</v>
      </c>
      <c r="N868">
        <v>136</v>
      </c>
      <c r="O868">
        <v>9</v>
      </c>
      <c r="P868">
        <v>0</v>
      </c>
      <c r="Q868">
        <v>2</v>
      </c>
      <c r="R868">
        <v>591</v>
      </c>
      <c r="S868">
        <v>847</v>
      </c>
      <c r="T868">
        <v>5690</v>
      </c>
      <c r="U868">
        <v>0</v>
      </c>
      <c r="V868">
        <v>0</v>
      </c>
      <c r="W868">
        <v>940</v>
      </c>
      <c r="X868">
        <f>NHS_AE_2024_2025[[#This Row],[A&amp;E attendances Type 1]]+
NHS_AE_2024_2025[[#This Row],[A&amp;E attendances Type 2]]+
NHS_AE_2024_2025[[#This Row],[A&amp;E attendances Other A&amp;E Department]]</f>
        <v>20061</v>
      </c>
      <c r="Y868">
        <f t="shared" si="26"/>
        <v>3810</v>
      </c>
      <c r="Z868">
        <f t="shared" si="27"/>
        <v>6630</v>
      </c>
    </row>
    <row r="869" spans="1:26" x14ac:dyDescent="0.2">
      <c r="A869" t="s">
        <v>441</v>
      </c>
      <c r="B869" t="s">
        <v>442</v>
      </c>
      <c r="C869" t="s">
        <v>328</v>
      </c>
      <c r="D869" t="s">
        <v>70</v>
      </c>
      <c r="E869" t="s">
        <v>329</v>
      </c>
      <c r="F869">
        <v>7889</v>
      </c>
      <c r="G869">
        <v>0</v>
      </c>
      <c r="H869">
        <v>1783</v>
      </c>
      <c r="I869">
        <v>0</v>
      </c>
      <c r="J869">
        <v>0</v>
      </c>
      <c r="K869">
        <v>751</v>
      </c>
      <c r="L869">
        <v>4506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553</v>
      </c>
      <c r="S869">
        <v>190</v>
      </c>
      <c r="T869">
        <v>1692</v>
      </c>
      <c r="U869">
        <v>0</v>
      </c>
      <c r="V869">
        <v>0</v>
      </c>
      <c r="W869">
        <v>224</v>
      </c>
      <c r="X869">
        <f>NHS_AE_2024_2025[[#This Row],[A&amp;E attendances Type 1]]+
NHS_AE_2024_2025[[#This Row],[A&amp;E attendances Type 2]]+
NHS_AE_2024_2025[[#This Row],[A&amp;E attendances Other A&amp;E Department]]</f>
        <v>9672</v>
      </c>
      <c r="Y869">
        <f t="shared" si="26"/>
        <v>4506</v>
      </c>
      <c r="Z869">
        <f t="shared" si="27"/>
        <v>1916</v>
      </c>
    </row>
    <row r="870" spans="1:26" x14ac:dyDescent="0.2">
      <c r="A870" t="s">
        <v>441</v>
      </c>
      <c r="B870" t="s">
        <v>442</v>
      </c>
      <c r="C870" t="s">
        <v>392</v>
      </c>
      <c r="D870" t="s">
        <v>50</v>
      </c>
      <c r="E870" t="s">
        <v>393</v>
      </c>
      <c r="F870">
        <v>11656</v>
      </c>
      <c r="G870">
        <v>1642</v>
      </c>
      <c r="H870">
        <v>4848</v>
      </c>
      <c r="I870">
        <v>0</v>
      </c>
      <c r="J870">
        <v>0</v>
      </c>
      <c r="K870">
        <v>992</v>
      </c>
      <c r="L870">
        <v>4559</v>
      </c>
      <c r="M870">
        <v>150</v>
      </c>
      <c r="N870">
        <v>1</v>
      </c>
      <c r="O870">
        <v>0</v>
      </c>
      <c r="P870">
        <v>0</v>
      </c>
      <c r="Q870">
        <v>0</v>
      </c>
      <c r="R870">
        <v>749</v>
      </c>
      <c r="S870">
        <v>41</v>
      </c>
      <c r="T870">
        <v>3591</v>
      </c>
      <c r="U870">
        <v>24</v>
      </c>
      <c r="V870">
        <v>0</v>
      </c>
      <c r="W870">
        <v>2909</v>
      </c>
      <c r="X870">
        <f>NHS_AE_2024_2025[[#This Row],[A&amp;E attendances Type 1]]+
NHS_AE_2024_2025[[#This Row],[A&amp;E attendances Type 2]]+
NHS_AE_2024_2025[[#This Row],[A&amp;E attendances Other A&amp;E Department]]</f>
        <v>18146</v>
      </c>
      <c r="Y870">
        <f t="shared" si="26"/>
        <v>4710</v>
      </c>
      <c r="Z870">
        <f t="shared" si="27"/>
        <v>6524</v>
      </c>
    </row>
    <row r="871" spans="1:26" x14ac:dyDescent="0.2">
      <c r="A871" t="s">
        <v>441</v>
      </c>
      <c r="B871" t="s">
        <v>442</v>
      </c>
      <c r="C871" t="s">
        <v>116</v>
      </c>
      <c r="D871" t="s">
        <v>55</v>
      </c>
      <c r="E871" t="s">
        <v>117</v>
      </c>
      <c r="F871">
        <v>0</v>
      </c>
      <c r="G871">
        <v>0</v>
      </c>
      <c r="H871">
        <v>12806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162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55</v>
      </c>
      <c r="X871">
        <f>NHS_AE_2024_2025[[#This Row],[A&amp;E attendances Type 1]]+
NHS_AE_2024_2025[[#This Row],[A&amp;E attendances Type 2]]+
NHS_AE_2024_2025[[#This Row],[A&amp;E attendances Other A&amp;E Department]]</f>
        <v>12806</v>
      </c>
      <c r="Y871">
        <f t="shared" si="26"/>
        <v>162</v>
      </c>
      <c r="Z871">
        <f t="shared" si="27"/>
        <v>55</v>
      </c>
    </row>
    <row r="872" spans="1:26" x14ac:dyDescent="0.2">
      <c r="A872" t="s">
        <v>441</v>
      </c>
      <c r="B872" t="s">
        <v>442</v>
      </c>
      <c r="C872" t="s">
        <v>176</v>
      </c>
      <c r="D872" t="s">
        <v>55</v>
      </c>
      <c r="E872" t="s">
        <v>177</v>
      </c>
      <c r="F872">
        <v>8263</v>
      </c>
      <c r="G872">
        <v>0</v>
      </c>
      <c r="H872">
        <v>9875</v>
      </c>
      <c r="I872">
        <v>336</v>
      </c>
      <c r="J872">
        <v>0</v>
      </c>
      <c r="K872">
        <v>303</v>
      </c>
      <c r="L872">
        <v>4033</v>
      </c>
      <c r="M872">
        <v>0</v>
      </c>
      <c r="N872">
        <v>52</v>
      </c>
      <c r="O872">
        <v>107</v>
      </c>
      <c r="P872">
        <v>0</v>
      </c>
      <c r="Q872">
        <v>0</v>
      </c>
      <c r="R872">
        <v>410</v>
      </c>
      <c r="S872">
        <v>774</v>
      </c>
      <c r="T872">
        <v>2749</v>
      </c>
      <c r="U872">
        <v>0</v>
      </c>
      <c r="V872">
        <v>0</v>
      </c>
      <c r="W872">
        <v>1601</v>
      </c>
      <c r="X872">
        <f>NHS_AE_2024_2025[[#This Row],[A&amp;E attendances Type 1]]+
NHS_AE_2024_2025[[#This Row],[A&amp;E attendances Type 2]]+
NHS_AE_2024_2025[[#This Row],[A&amp;E attendances Other A&amp;E Department]]</f>
        <v>18138</v>
      </c>
      <c r="Y872">
        <f t="shared" si="26"/>
        <v>4085</v>
      </c>
      <c r="Z872">
        <f t="shared" si="27"/>
        <v>4350</v>
      </c>
    </row>
    <row r="873" spans="1:26" x14ac:dyDescent="0.2">
      <c r="A873" t="s">
        <v>441</v>
      </c>
      <c r="B873" t="s">
        <v>442</v>
      </c>
      <c r="C873" t="s">
        <v>67</v>
      </c>
      <c r="D873" t="s">
        <v>29</v>
      </c>
      <c r="E873" t="s">
        <v>68</v>
      </c>
      <c r="F873">
        <v>0</v>
      </c>
      <c r="G873">
        <v>0</v>
      </c>
      <c r="H873">
        <v>897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f>NHS_AE_2024_2025[[#This Row],[A&amp;E attendances Type 1]]+
NHS_AE_2024_2025[[#This Row],[A&amp;E attendances Type 2]]+
NHS_AE_2024_2025[[#This Row],[A&amp;E attendances Other A&amp;E Department]]</f>
        <v>897</v>
      </c>
      <c r="Y873">
        <f t="shared" si="26"/>
        <v>0</v>
      </c>
      <c r="Z873">
        <f t="shared" si="27"/>
        <v>0</v>
      </c>
    </row>
    <row r="874" spans="1:26" x14ac:dyDescent="0.2">
      <c r="A874" t="s">
        <v>441</v>
      </c>
      <c r="B874" t="s">
        <v>442</v>
      </c>
      <c r="C874" t="s">
        <v>92</v>
      </c>
      <c r="D874" t="s">
        <v>26</v>
      </c>
      <c r="E874" t="s">
        <v>93</v>
      </c>
      <c r="F874">
        <v>0</v>
      </c>
      <c r="G874">
        <v>0</v>
      </c>
      <c r="H874">
        <v>2116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9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f>NHS_AE_2024_2025[[#This Row],[A&amp;E attendances Type 1]]+
NHS_AE_2024_2025[[#This Row],[A&amp;E attendances Type 2]]+
NHS_AE_2024_2025[[#This Row],[A&amp;E attendances Other A&amp;E Department]]</f>
        <v>2116</v>
      </c>
      <c r="Y874">
        <f t="shared" si="26"/>
        <v>9</v>
      </c>
      <c r="Z874">
        <f t="shared" si="27"/>
        <v>0</v>
      </c>
    </row>
    <row r="875" spans="1:26" x14ac:dyDescent="0.2">
      <c r="A875" t="s">
        <v>441</v>
      </c>
      <c r="B875" t="s">
        <v>442</v>
      </c>
      <c r="C875" t="s">
        <v>280</v>
      </c>
      <c r="D875" t="s">
        <v>50</v>
      </c>
      <c r="E875" t="s">
        <v>281</v>
      </c>
      <c r="F875">
        <v>0</v>
      </c>
      <c r="G875">
        <v>0</v>
      </c>
      <c r="H875">
        <v>3572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339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f>NHS_AE_2024_2025[[#This Row],[A&amp;E attendances Type 1]]+
NHS_AE_2024_2025[[#This Row],[A&amp;E attendances Type 2]]+
NHS_AE_2024_2025[[#This Row],[A&amp;E attendances Other A&amp;E Department]]</f>
        <v>3572</v>
      </c>
      <c r="Y875">
        <f t="shared" si="26"/>
        <v>339</v>
      </c>
      <c r="Z875">
        <f t="shared" si="27"/>
        <v>0</v>
      </c>
    </row>
    <row r="876" spans="1:26" x14ac:dyDescent="0.2">
      <c r="A876" t="s">
        <v>441</v>
      </c>
      <c r="B876" t="s">
        <v>442</v>
      </c>
      <c r="C876" t="s">
        <v>188</v>
      </c>
      <c r="D876" t="s">
        <v>26</v>
      </c>
      <c r="E876" t="s">
        <v>189</v>
      </c>
      <c r="F876">
        <v>14626</v>
      </c>
      <c r="G876">
        <v>2376</v>
      </c>
      <c r="H876">
        <v>0</v>
      </c>
      <c r="I876">
        <v>0</v>
      </c>
      <c r="J876">
        <v>0</v>
      </c>
      <c r="K876">
        <v>0</v>
      </c>
      <c r="L876">
        <v>5610</v>
      </c>
      <c r="M876">
        <v>177</v>
      </c>
      <c r="N876">
        <v>0</v>
      </c>
      <c r="O876">
        <v>0</v>
      </c>
      <c r="P876">
        <v>0</v>
      </c>
      <c r="Q876">
        <v>0</v>
      </c>
      <c r="R876">
        <v>968</v>
      </c>
      <c r="S876">
        <v>909</v>
      </c>
      <c r="T876">
        <v>5092</v>
      </c>
      <c r="U876">
        <v>10</v>
      </c>
      <c r="V876">
        <v>0</v>
      </c>
      <c r="W876">
        <v>1747</v>
      </c>
      <c r="X876">
        <f>NHS_AE_2024_2025[[#This Row],[A&amp;E attendances Type 1]]+
NHS_AE_2024_2025[[#This Row],[A&amp;E attendances Type 2]]+
NHS_AE_2024_2025[[#This Row],[A&amp;E attendances Other A&amp;E Department]]</f>
        <v>17002</v>
      </c>
      <c r="Y876">
        <f t="shared" si="26"/>
        <v>5787</v>
      </c>
      <c r="Z876">
        <f t="shared" si="27"/>
        <v>6849</v>
      </c>
    </row>
    <row r="877" spans="1:26" x14ac:dyDescent="0.2">
      <c r="A877" t="s">
        <v>441</v>
      </c>
      <c r="B877" t="s">
        <v>442</v>
      </c>
      <c r="C877" t="s">
        <v>228</v>
      </c>
      <c r="D877" t="s">
        <v>70</v>
      </c>
      <c r="E877" t="s">
        <v>229</v>
      </c>
      <c r="F877">
        <v>28930</v>
      </c>
      <c r="G877">
        <v>0</v>
      </c>
      <c r="H877">
        <v>3880</v>
      </c>
      <c r="I877">
        <v>46</v>
      </c>
      <c r="J877">
        <v>0</v>
      </c>
      <c r="K877">
        <v>25</v>
      </c>
      <c r="L877">
        <v>11052</v>
      </c>
      <c r="M877">
        <v>0</v>
      </c>
      <c r="N877">
        <v>246</v>
      </c>
      <c r="O877">
        <v>18</v>
      </c>
      <c r="P877">
        <v>0</v>
      </c>
      <c r="Q877">
        <v>1</v>
      </c>
      <c r="R877">
        <v>3247</v>
      </c>
      <c r="S877">
        <v>451</v>
      </c>
      <c r="T877">
        <v>8794</v>
      </c>
      <c r="U877">
        <v>0</v>
      </c>
      <c r="V877">
        <v>198</v>
      </c>
      <c r="W877">
        <v>1398</v>
      </c>
      <c r="X877">
        <f>NHS_AE_2024_2025[[#This Row],[A&amp;E attendances Type 1]]+
NHS_AE_2024_2025[[#This Row],[A&amp;E attendances Type 2]]+
NHS_AE_2024_2025[[#This Row],[A&amp;E attendances Other A&amp;E Department]]</f>
        <v>32810</v>
      </c>
      <c r="Y877">
        <f t="shared" si="26"/>
        <v>11298</v>
      </c>
      <c r="Z877">
        <f t="shared" si="27"/>
        <v>10390</v>
      </c>
    </row>
    <row r="878" spans="1:26" x14ac:dyDescent="0.2">
      <c r="A878" t="s">
        <v>441</v>
      </c>
      <c r="B878" t="s">
        <v>442</v>
      </c>
      <c r="C878" t="s">
        <v>439</v>
      </c>
      <c r="D878" t="s">
        <v>29</v>
      </c>
      <c r="E878" t="s">
        <v>440</v>
      </c>
      <c r="F878">
        <v>0</v>
      </c>
      <c r="G878">
        <v>0</v>
      </c>
      <c r="H878">
        <v>1674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46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f>NHS_AE_2024_2025[[#This Row],[A&amp;E attendances Type 1]]+
NHS_AE_2024_2025[[#This Row],[A&amp;E attendances Type 2]]+
NHS_AE_2024_2025[[#This Row],[A&amp;E attendances Other A&amp;E Department]]</f>
        <v>1674</v>
      </c>
      <c r="Y878">
        <f t="shared" si="26"/>
        <v>46</v>
      </c>
      <c r="Z878">
        <f t="shared" si="27"/>
        <v>0</v>
      </c>
    </row>
    <row r="879" spans="1:26" x14ac:dyDescent="0.2">
      <c r="A879" t="s">
        <v>441</v>
      </c>
      <c r="B879" t="s">
        <v>442</v>
      </c>
      <c r="C879" t="s">
        <v>240</v>
      </c>
      <c r="D879" t="s">
        <v>50</v>
      </c>
      <c r="E879" t="s">
        <v>241</v>
      </c>
      <c r="F879">
        <v>5350</v>
      </c>
      <c r="G879">
        <v>250</v>
      </c>
      <c r="H879">
        <v>0</v>
      </c>
      <c r="I879">
        <v>567</v>
      </c>
      <c r="J879">
        <v>0</v>
      </c>
      <c r="K879">
        <v>0</v>
      </c>
      <c r="L879">
        <v>2341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480</v>
      </c>
      <c r="S879">
        <v>237</v>
      </c>
      <c r="T879">
        <v>1554</v>
      </c>
      <c r="U879">
        <v>0</v>
      </c>
      <c r="V879">
        <v>0</v>
      </c>
      <c r="W879">
        <v>562</v>
      </c>
      <c r="X879">
        <f>NHS_AE_2024_2025[[#This Row],[A&amp;E attendances Type 1]]+
NHS_AE_2024_2025[[#This Row],[A&amp;E attendances Type 2]]+
NHS_AE_2024_2025[[#This Row],[A&amp;E attendances Other A&amp;E Department]]</f>
        <v>5600</v>
      </c>
      <c r="Y879">
        <f t="shared" si="26"/>
        <v>2341</v>
      </c>
      <c r="Z879">
        <f t="shared" si="27"/>
        <v>2116</v>
      </c>
    </row>
    <row r="880" spans="1:26" x14ac:dyDescent="0.2">
      <c r="A880" t="s">
        <v>441</v>
      </c>
      <c r="B880" t="s">
        <v>442</v>
      </c>
      <c r="C880" t="s">
        <v>242</v>
      </c>
      <c r="D880" t="s">
        <v>70</v>
      </c>
      <c r="E880" t="s">
        <v>243</v>
      </c>
      <c r="F880">
        <v>7840</v>
      </c>
      <c r="G880">
        <v>0</v>
      </c>
      <c r="H880">
        <v>4790</v>
      </c>
      <c r="I880">
        <v>592</v>
      </c>
      <c r="J880">
        <v>0</v>
      </c>
      <c r="K880">
        <v>171</v>
      </c>
      <c r="L880">
        <v>3214</v>
      </c>
      <c r="M880">
        <v>0</v>
      </c>
      <c r="N880">
        <v>236</v>
      </c>
      <c r="O880">
        <v>246</v>
      </c>
      <c r="P880">
        <v>0</v>
      </c>
      <c r="Q880">
        <v>0</v>
      </c>
      <c r="R880">
        <v>1025</v>
      </c>
      <c r="S880">
        <v>0</v>
      </c>
      <c r="T880">
        <v>2167</v>
      </c>
      <c r="U880">
        <v>0</v>
      </c>
      <c r="V880">
        <v>0</v>
      </c>
      <c r="W880">
        <v>464</v>
      </c>
      <c r="X880">
        <f>NHS_AE_2024_2025[[#This Row],[A&amp;E attendances Type 1]]+
NHS_AE_2024_2025[[#This Row],[A&amp;E attendances Type 2]]+
NHS_AE_2024_2025[[#This Row],[A&amp;E attendances Other A&amp;E Department]]</f>
        <v>12630</v>
      </c>
      <c r="Y880">
        <f t="shared" si="26"/>
        <v>3450</v>
      </c>
      <c r="Z880">
        <f t="shared" si="27"/>
        <v>2631</v>
      </c>
    </row>
    <row r="881" spans="1:26" x14ac:dyDescent="0.2">
      <c r="A881" t="s">
        <v>441</v>
      </c>
      <c r="B881" t="s">
        <v>442</v>
      </c>
      <c r="C881" t="s">
        <v>152</v>
      </c>
      <c r="D881" t="s">
        <v>26</v>
      </c>
      <c r="E881" t="s">
        <v>153</v>
      </c>
      <c r="F881">
        <v>5987</v>
      </c>
      <c r="G881">
        <v>0</v>
      </c>
      <c r="H881">
        <v>10682</v>
      </c>
      <c r="I881">
        <v>0</v>
      </c>
      <c r="J881">
        <v>0</v>
      </c>
      <c r="K881">
        <v>0</v>
      </c>
      <c r="L881">
        <v>3231</v>
      </c>
      <c r="M881">
        <v>0</v>
      </c>
      <c r="N881">
        <v>657</v>
      </c>
      <c r="O881">
        <v>0</v>
      </c>
      <c r="P881">
        <v>0</v>
      </c>
      <c r="Q881">
        <v>0</v>
      </c>
      <c r="R881">
        <v>778</v>
      </c>
      <c r="S881">
        <v>545</v>
      </c>
      <c r="T881">
        <v>2492</v>
      </c>
      <c r="U881">
        <v>0</v>
      </c>
      <c r="V881">
        <v>48</v>
      </c>
      <c r="W881">
        <v>1211</v>
      </c>
      <c r="X881">
        <f>NHS_AE_2024_2025[[#This Row],[A&amp;E attendances Type 1]]+
NHS_AE_2024_2025[[#This Row],[A&amp;E attendances Type 2]]+
NHS_AE_2024_2025[[#This Row],[A&amp;E attendances Other A&amp;E Department]]</f>
        <v>16669</v>
      </c>
      <c r="Y881">
        <f t="shared" si="26"/>
        <v>3888</v>
      </c>
      <c r="Z881">
        <f t="shared" si="27"/>
        <v>3751</v>
      </c>
    </row>
    <row r="882" spans="1:26" x14ac:dyDescent="0.2">
      <c r="A882" t="s">
        <v>441</v>
      </c>
      <c r="B882" t="s">
        <v>442</v>
      </c>
      <c r="C882" t="s">
        <v>370</v>
      </c>
      <c r="D882" t="s">
        <v>29</v>
      </c>
      <c r="E882" t="s">
        <v>371</v>
      </c>
      <c r="F882">
        <v>14126</v>
      </c>
      <c r="G882">
        <v>0</v>
      </c>
      <c r="H882">
        <v>10954</v>
      </c>
      <c r="I882">
        <v>0</v>
      </c>
      <c r="J882">
        <v>0</v>
      </c>
      <c r="K882">
        <v>0</v>
      </c>
      <c r="L882">
        <v>7503</v>
      </c>
      <c r="M882">
        <v>0</v>
      </c>
      <c r="N882">
        <v>1298</v>
      </c>
      <c r="O882">
        <v>0</v>
      </c>
      <c r="P882">
        <v>0</v>
      </c>
      <c r="Q882">
        <v>0</v>
      </c>
      <c r="R882">
        <v>1152</v>
      </c>
      <c r="S882">
        <v>834</v>
      </c>
      <c r="T882">
        <v>5055</v>
      </c>
      <c r="U882">
        <v>0</v>
      </c>
      <c r="V882">
        <v>0</v>
      </c>
      <c r="W882">
        <v>1338</v>
      </c>
      <c r="X882">
        <f>NHS_AE_2024_2025[[#This Row],[A&amp;E attendances Type 1]]+
NHS_AE_2024_2025[[#This Row],[A&amp;E attendances Type 2]]+
NHS_AE_2024_2025[[#This Row],[A&amp;E attendances Other A&amp;E Department]]</f>
        <v>25080</v>
      </c>
      <c r="Y882">
        <f t="shared" si="26"/>
        <v>8801</v>
      </c>
      <c r="Z882">
        <f t="shared" si="27"/>
        <v>6393</v>
      </c>
    </row>
    <row r="883" spans="1:26" x14ac:dyDescent="0.2">
      <c r="A883" t="s">
        <v>441</v>
      </c>
      <c r="B883" t="s">
        <v>442</v>
      </c>
      <c r="C883" t="s">
        <v>248</v>
      </c>
      <c r="D883" t="s">
        <v>55</v>
      </c>
      <c r="E883" t="s">
        <v>249</v>
      </c>
      <c r="F883">
        <v>4792</v>
      </c>
      <c r="G883">
        <v>0</v>
      </c>
      <c r="H883">
        <v>2147</v>
      </c>
      <c r="I883">
        <v>0</v>
      </c>
      <c r="J883">
        <v>0</v>
      </c>
      <c r="K883">
        <v>0</v>
      </c>
      <c r="L883">
        <v>2606</v>
      </c>
      <c r="M883">
        <v>0</v>
      </c>
      <c r="N883">
        <v>220</v>
      </c>
      <c r="O883">
        <v>0</v>
      </c>
      <c r="P883">
        <v>0</v>
      </c>
      <c r="Q883">
        <v>0</v>
      </c>
      <c r="R883">
        <v>226</v>
      </c>
      <c r="S883">
        <v>717</v>
      </c>
      <c r="T883">
        <v>1678</v>
      </c>
      <c r="U883">
        <v>0</v>
      </c>
      <c r="V883">
        <v>0</v>
      </c>
      <c r="W883">
        <v>1366</v>
      </c>
      <c r="X883">
        <f>NHS_AE_2024_2025[[#This Row],[A&amp;E attendances Type 1]]+
NHS_AE_2024_2025[[#This Row],[A&amp;E attendances Type 2]]+
NHS_AE_2024_2025[[#This Row],[A&amp;E attendances Other A&amp;E Department]]</f>
        <v>6939</v>
      </c>
      <c r="Y883">
        <f t="shared" si="26"/>
        <v>2826</v>
      </c>
      <c r="Z883">
        <f t="shared" si="27"/>
        <v>3044</v>
      </c>
    </row>
    <row r="884" spans="1:26" x14ac:dyDescent="0.2">
      <c r="A884" t="s">
        <v>441</v>
      </c>
      <c r="B884" t="s">
        <v>442</v>
      </c>
      <c r="C884" t="s">
        <v>388</v>
      </c>
      <c r="D884" t="s">
        <v>55</v>
      </c>
      <c r="E884" t="s">
        <v>389</v>
      </c>
      <c r="F884">
        <v>7790</v>
      </c>
      <c r="G884">
        <v>0</v>
      </c>
      <c r="H884">
        <v>3614</v>
      </c>
      <c r="I884">
        <v>100</v>
      </c>
      <c r="J884">
        <v>0</v>
      </c>
      <c r="K884">
        <v>55</v>
      </c>
      <c r="L884">
        <v>3727</v>
      </c>
      <c r="M884">
        <v>0</v>
      </c>
      <c r="N884">
        <v>157</v>
      </c>
      <c r="O884">
        <v>47</v>
      </c>
      <c r="P884">
        <v>0</v>
      </c>
      <c r="Q884">
        <v>3</v>
      </c>
      <c r="R884">
        <v>535</v>
      </c>
      <c r="S884">
        <v>504</v>
      </c>
      <c r="T884">
        <v>2424</v>
      </c>
      <c r="U884">
        <v>0</v>
      </c>
      <c r="V884">
        <v>128</v>
      </c>
      <c r="W884">
        <v>1029</v>
      </c>
      <c r="X884">
        <f>NHS_AE_2024_2025[[#This Row],[A&amp;E attendances Type 1]]+
NHS_AE_2024_2025[[#This Row],[A&amp;E attendances Type 2]]+
NHS_AE_2024_2025[[#This Row],[A&amp;E attendances Other A&amp;E Department]]</f>
        <v>11404</v>
      </c>
      <c r="Y884">
        <f t="shared" si="26"/>
        <v>3884</v>
      </c>
      <c r="Z884">
        <f t="shared" si="27"/>
        <v>3581</v>
      </c>
    </row>
    <row r="885" spans="1:26" x14ac:dyDescent="0.2">
      <c r="A885" t="s">
        <v>441</v>
      </c>
      <c r="B885" t="s">
        <v>442</v>
      </c>
      <c r="C885" t="s">
        <v>160</v>
      </c>
      <c r="D885" t="s">
        <v>32</v>
      </c>
      <c r="E885" t="s">
        <v>161</v>
      </c>
      <c r="F885">
        <v>9817</v>
      </c>
      <c r="G885">
        <v>0</v>
      </c>
      <c r="H885">
        <v>8542</v>
      </c>
      <c r="I885">
        <v>342</v>
      </c>
      <c r="J885">
        <v>0</v>
      </c>
      <c r="K885">
        <v>0</v>
      </c>
      <c r="L885">
        <v>3720</v>
      </c>
      <c r="M885">
        <v>0</v>
      </c>
      <c r="N885">
        <v>155</v>
      </c>
      <c r="O885">
        <v>0</v>
      </c>
      <c r="P885">
        <v>0</v>
      </c>
      <c r="Q885">
        <v>0</v>
      </c>
      <c r="R885">
        <v>1388</v>
      </c>
      <c r="S885">
        <v>0</v>
      </c>
      <c r="T885">
        <v>1899</v>
      </c>
      <c r="U885">
        <v>0</v>
      </c>
      <c r="V885">
        <v>0</v>
      </c>
      <c r="W885">
        <v>327</v>
      </c>
      <c r="X885">
        <f>NHS_AE_2024_2025[[#This Row],[A&amp;E attendances Type 1]]+
NHS_AE_2024_2025[[#This Row],[A&amp;E attendances Type 2]]+
NHS_AE_2024_2025[[#This Row],[A&amp;E attendances Other A&amp;E Department]]</f>
        <v>18359</v>
      </c>
      <c r="Y885">
        <f t="shared" si="26"/>
        <v>3875</v>
      </c>
      <c r="Z885">
        <f t="shared" si="27"/>
        <v>2226</v>
      </c>
    </row>
    <row r="886" spans="1:26" x14ac:dyDescent="0.2">
      <c r="A886" t="s">
        <v>441</v>
      </c>
      <c r="B886" t="s">
        <v>442</v>
      </c>
      <c r="C886" t="s">
        <v>114</v>
      </c>
      <c r="D886" t="s">
        <v>32</v>
      </c>
      <c r="E886" t="s">
        <v>115</v>
      </c>
      <c r="F886">
        <v>8461</v>
      </c>
      <c r="G886">
        <v>575</v>
      </c>
      <c r="H886">
        <v>2081</v>
      </c>
      <c r="I886">
        <v>1380</v>
      </c>
      <c r="J886">
        <v>1</v>
      </c>
      <c r="K886">
        <v>282</v>
      </c>
      <c r="L886">
        <v>3466</v>
      </c>
      <c r="M886">
        <v>14</v>
      </c>
      <c r="N886">
        <v>126</v>
      </c>
      <c r="O886">
        <v>500</v>
      </c>
      <c r="P886">
        <v>0</v>
      </c>
      <c r="Q886">
        <v>12</v>
      </c>
      <c r="R886">
        <v>456</v>
      </c>
      <c r="S886">
        <v>938</v>
      </c>
      <c r="T886">
        <v>2282</v>
      </c>
      <c r="U886">
        <v>0</v>
      </c>
      <c r="V886">
        <v>0</v>
      </c>
      <c r="W886">
        <v>906</v>
      </c>
      <c r="X886">
        <f>NHS_AE_2024_2025[[#This Row],[A&amp;E attendances Type 1]]+
NHS_AE_2024_2025[[#This Row],[A&amp;E attendances Type 2]]+
NHS_AE_2024_2025[[#This Row],[A&amp;E attendances Other A&amp;E Department]]</f>
        <v>11117</v>
      </c>
      <c r="Y886">
        <f t="shared" si="26"/>
        <v>3606</v>
      </c>
      <c r="Z886">
        <f t="shared" si="27"/>
        <v>3188</v>
      </c>
    </row>
    <row r="887" spans="1:26" x14ac:dyDescent="0.2">
      <c r="A887" t="s">
        <v>441</v>
      </c>
      <c r="B887" t="s">
        <v>442</v>
      </c>
      <c r="C887" t="s">
        <v>206</v>
      </c>
      <c r="D887" t="s">
        <v>32</v>
      </c>
      <c r="E887" t="s">
        <v>207</v>
      </c>
      <c r="F887">
        <v>33067</v>
      </c>
      <c r="G887">
        <v>325</v>
      </c>
      <c r="H887">
        <v>1655</v>
      </c>
      <c r="I887">
        <v>0</v>
      </c>
      <c r="J887">
        <v>0</v>
      </c>
      <c r="K887">
        <v>331</v>
      </c>
      <c r="L887">
        <v>13753</v>
      </c>
      <c r="M887">
        <v>0</v>
      </c>
      <c r="N887">
        <v>32</v>
      </c>
      <c r="O887">
        <v>0</v>
      </c>
      <c r="P887">
        <v>0</v>
      </c>
      <c r="Q887">
        <v>9</v>
      </c>
      <c r="R887">
        <v>2671</v>
      </c>
      <c r="S887">
        <v>1847</v>
      </c>
      <c r="T887">
        <v>10511</v>
      </c>
      <c r="U887">
        <v>0</v>
      </c>
      <c r="V887">
        <v>0</v>
      </c>
      <c r="W887">
        <v>6876</v>
      </c>
      <c r="X887">
        <f>NHS_AE_2024_2025[[#This Row],[A&amp;E attendances Type 1]]+
NHS_AE_2024_2025[[#This Row],[A&amp;E attendances Type 2]]+
NHS_AE_2024_2025[[#This Row],[A&amp;E attendances Other A&amp;E Department]]</f>
        <v>35047</v>
      </c>
      <c r="Y887">
        <f t="shared" si="26"/>
        <v>13785</v>
      </c>
      <c r="Z887">
        <f t="shared" si="27"/>
        <v>17387</v>
      </c>
    </row>
    <row r="888" spans="1:26" x14ac:dyDescent="0.2">
      <c r="A888" t="s">
        <v>441</v>
      </c>
      <c r="B888" t="s">
        <v>442</v>
      </c>
      <c r="C888" t="s">
        <v>262</v>
      </c>
      <c r="D888" t="s">
        <v>26</v>
      </c>
      <c r="E888" t="s">
        <v>263</v>
      </c>
      <c r="F888">
        <v>0</v>
      </c>
      <c r="G888">
        <v>0</v>
      </c>
      <c r="H888">
        <v>7168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42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21</v>
      </c>
      <c r="X888">
        <f>NHS_AE_2024_2025[[#This Row],[A&amp;E attendances Type 1]]+
NHS_AE_2024_2025[[#This Row],[A&amp;E attendances Type 2]]+
NHS_AE_2024_2025[[#This Row],[A&amp;E attendances Other A&amp;E Department]]</f>
        <v>7168</v>
      </c>
      <c r="Y888">
        <f t="shared" si="26"/>
        <v>42</v>
      </c>
      <c r="Z888">
        <f t="shared" si="27"/>
        <v>21</v>
      </c>
    </row>
    <row r="889" spans="1:26" x14ac:dyDescent="0.2">
      <c r="A889" t="s">
        <v>441</v>
      </c>
      <c r="B889" t="s">
        <v>442</v>
      </c>
      <c r="C889" t="s">
        <v>212</v>
      </c>
      <c r="D889" t="s">
        <v>50</v>
      </c>
      <c r="E889" t="s">
        <v>213</v>
      </c>
      <c r="F889">
        <v>4804</v>
      </c>
      <c r="G889">
        <v>0</v>
      </c>
      <c r="H889">
        <v>10523</v>
      </c>
      <c r="I889">
        <v>0</v>
      </c>
      <c r="J889">
        <v>0</v>
      </c>
      <c r="K889">
        <v>0</v>
      </c>
      <c r="L889">
        <v>2841</v>
      </c>
      <c r="M889">
        <v>0</v>
      </c>
      <c r="N889">
        <v>22</v>
      </c>
      <c r="O889">
        <v>0</v>
      </c>
      <c r="P889">
        <v>0</v>
      </c>
      <c r="Q889">
        <v>0</v>
      </c>
      <c r="R889">
        <v>312</v>
      </c>
      <c r="S889">
        <v>49</v>
      </c>
      <c r="T889">
        <v>1690</v>
      </c>
      <c r="U889">
        <v>0</v>
      </c>
      <c r="V889">
        <v>509</v>
      </c>
      <c r="W889">
        <v>2439</v>
      </c>
      <c r="X889">
        <f>NHS_AE_2024_2025[[#This Row],[A&amp;E attendances Type 1]]+
NHS_AE_2024_2025[[#This Row],[A&amp;E attendances Type 2]]+
NHS_AE_2024_2025[[#This Row],[A&amp;E attendances Other A&amp;E Department]]</f>
        <v>15327</v>
      </c>
      <c r="Y889">
        <f t="shared" si="26"/>
        <v>2863</v>
      </c>
      <c r="Z889">
        <f t="shared" si="27"/>
        <v>4638</v>
      </c>
    </row>
    <row r="890" spans="1:26" x14ac:dyDescent="0.2">
      <c r="A890" t="s">
        <v>441</v>
      </c>
      <c r="B890" t="s">
        <v>442</v>
      </c>
      <c r="C890" t="s">
        <v>264</v>
      </c>
      <c r="D890" t="s">
        <v>50</v>
      </c>
      <c r="E890" t="s">
        <v>265</v>
      </c>
      <c r="F890">
        <v>8707</v>
      </c>
      <c r="G890">
        <v>0</v>
      </c>
      <c r="H890">
        <v>4795</v>
      </c>
      <c r="I890">
        <v>0</v>
      </c>
      <c r="J890">
        <v>0</v>
      </c>
      <c r="K890">
        <v>0</v>
      </c>
      <c r="L890">
        <v>5136</v>
      </c>
      <c r="M890">
        <v>0</v>
      </c>
      <c r="N890">
        <v>441</v>
      </c>
      <c r="O890">
        <v>0</v>
      </c>
      <c r="P890">
        <v>0</v>
      </c>
      <c r="Q890">
        <v>0</v>
      </c>
      <c r="R890">
        <v>1076</v>
      </c>
      <c r="S890">
        <v>614</v>
      </c>
      <c r="T890">
        <v>3502</v>
      </c>
      <c r="U890">
        <v>0</v>
      </c>
      <c r="V890">
        <v>0</v>
      </c>
      <c r="W890">
        <v>2373</v>
      </c>
      <c r="X890">
        <f>NHS_AE_2024_2025[[#This Row],[A&amp;E attendances Type 1]]+
NHS_AE_2024_2025[[#This Row],[A&amp;E attendances Type 2]]+
NHS_AE_2024_2025[[#This Row],[A&amp;E attendances Other A&amp;E Department]]</f>
        <v>13502</v>
      </c>
      <c r="Y890">
        <f t="shared" si="26"/>
        <v>5577</v>
      </c>
      <c r="Z890">
        <f t="shared" si="27"/>
        <v>5875</v>
      </c>
    </row>
    <row r="891" spans="1:26" x14ac:dyDescent="0.2">
      <c r="A891" t="s">
        <v>441</v>
      </c>
      <c r="B891" t="s">
        <v>442</v>
      </c>
      <c r="C891" t="s">
        <v>266</v>
      </c>
      <c r="D891" t="s">
        <v>32</v>
      </c>
      <c r="E891" t="s">
        <v>267</v>
      </c>
      <c r="F891">
        <v>21070</v>
      </c>
      <c r="G891">
        <v>1977</v>
      </c>
      <c r="H891">
        <v>0</v>
      </c>
      <c r="I891">
        <v>0</v>
      </c>
      <c r="J891">
        <v>0</v>
      </c>
      <c r="K891">
        <v>0</v>
      </c>
      <c r="L891">
        <v>9121</v>
      </c>
      <c r="M891">
        <v>102</v>
      </c>
      <c r="N891">
        <v>0</v>
      </c>
      <c r="O891">
        <v>0</v>
      </c>
      <c r="P891">
        <v>0</v>
      </c>
      <c r="Q891">
        <v>0</v>
      </c>
      <c r="R891">
        <v>1513</v>
      </c>
      <c r="S891">
        <v>1178</v>
      </c>
      <c r="T891">
        <v>6395</v>
      </c>
      <c r="U891">
        <v>5</v>
      </c>
      <c r="V891">
        <v>0</v>
      </c>
      <c r="W891">
        <v>3749</v>
      </c>
      <c r="X891">
        <f>NHS_AE_2024_2025[[#This Row],[A&amp;E attendances Type 1]]+
NHS_AE_2024_2025[[#This Row],[A&amp;E attendances Type 2]]+
NHS_AE_2024_2025[[#This Row],[A&amp;E attendances Other A&amp;E Department]]</f>
        <v>23047</v>
      </c>
      <c r="Y891">
        <f t="shared" si="26"/>
        <v>9223</v>
      </c>
      <c r="Z891">
        <f t="shared" si="27"/>
        <v>10149</v>
      </c>
    </row>
    <row r="892" spans="1:26" x14ac:dyDescent="0.2">
      <c r="A892" t="s">
        <v>441</v>
      </c>
      <c r="B892" t="s">
        <v>442</v>
      </c>
      <c r="C892" t="s">
        <v>268</v>
      </c>
      <c r="D892" t="s">
        <v>37</v>
      </c>
      <c r="E892" t="s">
        <v>269</v>
      </c>
      <c r="F892">
        <v>17894</v>
      </c>
      <c r="G892">
        <v>0</v>
      </c>
      <c r="H892">
        <v>2034</v>
      </c>
      <c r="I892">
        <v>875</v>
      </c>
      <c r="J892">
        <v>0</v>
      </c>
      <c r="K892">
        <v>218</v>
      </c>
      <c r="L892">
        <v>3826</v>
      </c>
      <c r="M892">
        <v>0</v>
      </c>
      <c r="N892">
        <v>35</v>
      </c>
      <c r="O892">
        <v>145</v>
      </c>
      <c r="P892">
        <v>0</v>
      </c>
      <c r="Q892">
        <v>2</v>
      </c>
      <c r="R892">
        <v>982</v>
      </c>
      <c r="S892">
        <v>274</v>
      </c>
      <c r="T892">
        <v>5178</v>
      </c>
      <c r="U892">
        <v>0</v>
      </c>
      <c r="V892">
        <v>0</v>
      </c>
      <c r="W892">
        <v>983</v>
      </c>
      <c r="X892">
        <f>NHS_AE_2024_2025[[#This Row],[A&amp;E attendances Type 1]]+
NHS_AE_2024_2025[[#This Row],[A&amp;E attendances Type 2]]+
NHS_AE_2024_2025[[#This Row],[A&amp;E attendances Other A&amp;E Department]]</f>
        <v>19928</v>
      </c>
      <c r="Y892">
        <f t="shared" si="26"/>
        <v>3861</v>
      </c>
      <c r="Z892">
        <f t="shared" si="27"/>
        <v>6161</v>
      </c>
    </row>
    <row r="893" spans="1:26" x14ac:dyDescent="0.2">
      <c r="A893" t="s">
        <v>441</v>
      </c>
      <c r="B893" t="s">
        <v>442</v>
      </c>
      <c r="C893" t="s">
        <v>354</v>
      </c>
      <c r="D893" t="s">
        <v>50</v>
      </c>
      <c r="E893" t="s">
        <v>355</v>
      </c>
      <c r="F893">
        <v>12293</v>
      </c>
      <c r="G893">
        <v>0</v>
      </c>
      <c r="H893">
        <v>3784</v>
      </c>
      <c r="I893">
        <v>0</v>
      </c>
      <c r="J893">
        <v>0</v>
      </c>
      <c r="K893">
        <v>7264</v>
      </c>
      <c r="L893">
        <v>5250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2427</v>
      </c>
      <c r="S893">
        <v>23</v>
      </c>
      <c r="T893">
        <v>4334</v>
      </c>
      <c r="U893">
        <v>0</v>
      </c>
      <c r="V893">
        <v>0</v>
      </c>
      <c r="W893">
        <v>810</v>
      </c>
      <c r="X893">
        <f>NHS_AE_2024_2025[[#This Row],[A&amp;E attendances Type 1]]+
NHS_AE_2024_2025[[#This Row],[A&amp;E attendances Type 2]]+
NHS_AE_2024_2025[[#This Row],[A&amp;E attendances Other A&amp;E Department]]</f>
        <v>16077</v>
      </c>
      <c r="Y893">
        <f t="shared" si="26"/>
        <v>5250</v>
      </c>
      <c r="Z893">
        <f t="shared" si="27"/>
        <v>5144</v>
      </c>
    </row>
    <row r="894" spans="1:26" x14ac:dyDescent="0.2">
      <c r="A894" t="s">
        <v>441</v>
      </c>
      <c r="B894" t="s">
        <v>442</v>
      </c>
      <c r="C894" t="s">
        <v>52</v>
      </c>
      <c r="D894" t="s">
        <v>37</v>
      </c>
      <c r="E894" t="s">
        <v>53</v>
      </c>
      <c r="F894">
        <v>10375</v>
      </c>
      <c r="G894">
        <v>1234</v>
      </c>
      <c r="H894">
        <v>3481</v>
      </c>
      <c r="I894">
        <v>0</v>
      </c>
      <c r="J894">
        <v>0</v>
      </c>
      <c r="K894">
        <v>0</v>
      </c>
      <c r="L894">
        <v>3310</v>
      </c>
      <c r="M894">
        <v>0</v>
      </c>
      <c r="N894">
        <v>218</v>
      </c>
      <c r="O894">
        <v>0</v>
      </c>
      <c r="P894">
        <v>0</v>
      </c>
      <c r="Q894">
        <v>0</v>
      </c>
      <c r="R894">
        <v>303</v>
      </c>
      <c r="S894">
        <v>322</v>
      </c>
      <c r="T894">
        <v>4204</v>
      </c>
      <c r="U894">
        <v>851</v>
      </c>
      <c r="V894">
        <v>0</v>
      </c>
      <c r="W894">
        <v>2362</v>
      </c>
      <c r="X894">
        <f>NHS_AE_2024_2025[[#This Row],[A&amp;E attendances Type 1]]+
NHS_AE_2024_2025[[#This Row],[A&amp;E attendances Type 2]]+
NHS_AE_2024_2025[[#This Row],[A&amp;E attendances Other A&amp;E Department]]</f>
        <v>15090</v>
      </c>
      <c r="Y894">
        <f t="shared" si="26"/>
        <v>3528</v>
      </c>
      <c r="Z894">
        <f t="shared" si="27"/>
        <v>7417</v>
      </c>
    </row>
    <row r="895" spans="1:26" x14ac:dyDescent="0.2">
      <c r="A895" t="s">
        <v>441</v>
      </c>
      <c r="B895" t="s">
        <v>442</v>
      </c>
      <c r="C895" t="s">
        <v>272</v>
      </c>
      <c r="D895" t="s">
        <v>32</v>
      </c>
      <c r="E895" t="s">
        <v>273</v>
      </c>
      <c r="F895">
        <v>9443</v>
      </c>
      <c r="G895">
        <v>0</v>
      </c>
      <c r="H895">
        <v>2370</v>
      </c>
      <c r="I895">
        <v>0</v>
      </c>
      <c r="J895">
        <v>0</v>
      </c>
      <c r="K895">
        <v>0</v>
      </c>
      <c r="L895">
        <v>5433</v>
      </c>
      <c r="M895">
        <v>0</v>
      </c>
      <c r="N895">
        <v>202</v>
      </c>
      <c r="O895">
        <v>0</v>
      </c>
      <c r="P895">
        <v>0</v>
      </c>
      <c r="Q895">
        <v>0</v>
      </c>
      <c r="R895">
        <v>349</v>
      </c>
      <c r="S895">
        <v>1316</v>
      </c>
      <c r="T895">
        <v>3068</v>
      </c>
      <c r="U895">
        <v>0</v>
      </c>
      <c r="V895">
        <v>178</v>
      </c>
      <c r="W895">
        <v>2217</v>
      </c>
      <c r="X895">
        <f>NHS_AE_2024_2025[[#This Row],[A&amp;E attendances Type 1]]+
NHS_AE_2024_2025[[#This Row],[A&amp;E attendances Type 2]]+
NHS_AE_2024_2025[[#This Row],[A&amp;E attendances Other A&amp;E Department]]</f>
        <v>11813</v>
      </c>
      <c r="Y895">
        <f t="shared" si="26"/>
        <v>5635</v>
      </c>
      <c r="Z895">
        <f t="shared" si="27"/>
        <v>5463</v>
      </c>
    </row>
    <row r="896" spans="1:26" x14ac:dyDescent="0.2">
      <c r="A896" t="s">
        <v>441</v>
      </c>
      <c r="B896" t="s">
        <v>442</v>
      </c>
      <c r="C896" t="s">
        <v>182</v>
      </c>
      <c r="D896" t="s">
        <v>29</v>
      </c>
      <c r="E896" t="s">
        <v>183</v>
      </c>
      <c r="F896">
        <v>0</v>
      </c>
      <c r="G896">
        <v>0</v>
      </c>
      <c r="H896">
        <v>12079</v>
      </c>
      <c r="I896">
        <v>0</v>
      </c>
      <c r="J896">
        <v>0</v>
      </c>
      <c r="K896">
        <v>403</v>
      </c>
      <c r="L896">
        <v>0</v>
      </c>
      <c r="M896">
        <v>0</v>
      </c>
      <c r="N896">
        <v>168</v>
      </c>
      <c r="O896">
        <v>0</v>
      </c>
      <c r="P896">
        <v>0</v>
      </c>
      <c r="Q896">
        <v>6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f>NHS_AE_2024_2025[[#This Row],[A&amp;E attendances Type 1]]+
NHS_AE_2024_2025[[#This Row],[A&amp;E attendances Type 2]]+
NHS_AE_2024_2025[[#This Row],[A&amp;E attendances Other A&amp;E Department]]</f>
        <v>12079</v>
      </c>
      <c r="Y896">
        <f t="shared" si="26"/>
        <v>168</v>
      </c>
      <c r="Z896">
        <f t="shared" si="27"/>
        <v>0</v>
      </c>
    </row>
    <row r="897" spans="1:26" x14ac:dyDescent="0.2">
      <c r="A897" t="s">
        <v>441</v>
      </c>
      <c r="B897" t="s">
        <v>442</v>
      </c>
      <c r="C897" t="s">
        <v>90</v>
      </c>
      <c r="D897" t="s">
        <v>29</v>
      </c>
      <c r="E897" t="s">
        <v>91</v>
      </c>
      <c r="F897">
        <v>0</v>
      </c>
      <c r="G897">
        <v>0</v>
      </c>
      <c r="H897">
        <v>7684</v>
      </c>
      <c r="I897">
        <v>0</v>
      </c>
      <c r="J897">
        <v>0</v>
      </c>
      <c r="K897">
        <v>544</v>
      </c>
      <c r="L897">
        <v>0</v>
      </c>
      <c r="M897">
        <v>0</v>
      </c>
      <c r="N897">
        <v>177</v>
      </c>
      <c r="O897">
        <v>0</v>
      </c>
      <c r="P897">
        <v>0</v>
      </c>
      <c r="Q897">
        <v>2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f>NHS_AE_2024_2025[[#This Row],[A&amp;E attendances Type 1]]+
NHS_AE_2024_2025[[#This Row],[A&amp;E attendances Type 2]]+
NHS_AE_2024_2025[[#This Row],[A&amp;E attendances Other A&amp;E Department]]</f>
        <v>7684</v>
      </c>
      <c r="Y897">
        <f t="shared" si="26"/>
        <v>177</v>
      </c>
      <c r="Z897">
        <f t="shared" si="27"/>
        <v>0</v>
      </c>
    </row>
    <row r="898" spans="1:26" x14ac:dyDescent="0.2">
      <c r="A898" t="s">
        <v>441</v>
      </c>
      <c r="B898" t="s">
        <v>442</v>
      </c>
      <c r="C898" t="s">
        <v>429</v>
      </c>
      <c r="D898" t="s">
        <v>50</v>
      </c>
      <c r="E898" t="s">
        <v>430</v>
      </c>
      <c r="F898">
        <v>0</v>
      </c>
      <c r="G898">
        <v>0</v>
      </c>
      <c r="H898">
        <v>1306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26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f>NHS_AE_2024_2025[[#This Row],[A&amp;E attendances Type 1]]+
NHS_AE_2024_2025[[#This Row],[A&amp;E attendances Type 2]]+
NHS_AE_2024_2025[[#This Row],[A&amp;E attendances Other A&amp;E Department]]</f>
        <v>1306</v>
      </c>
      <c r="Y898">
        <f t="shared" ref="Y898:Y961" si="28">L898+M898+N898</f>
        <v>26</v>
      </c>
      <c r="Z898">
        <f t="shared" ref="Z898:Z961" si="29">T898+U898+V898+W898</f>
        <v>0</v>
      </c>
    </row>
    <row r="899" spans="1:26" x14ac:dyDescent="0.2">
      <c r="A899" t="s">
        <v>441</v>
      </c>
      <c r="B899" t="s">
        <v>442</v>
      </c>
      <c r="C899" t="s">
        <v>282</v>
      </c>
      <c r="D899" t="s">
        <v>50</v>
      </c>
      <c r="E899" t="s">
        <v>283</v>
      </c>
      <c r="F899">
        <v>0</v>
      </c>
      <c r="G899">
        <v>0</v>
      </c>
      <c r="H899">
        <v>2563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128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f>NHS_AE_2024_2025[[#This Row],[A&amp;E attendances Type 1]]+
NHS_AE_2024_2025[[#This Row],[A&amp;E attendances Type 2]]+
NHS_AE_2024_2025[[#This Row],[A&amp;E attendances Other A&amp;E Department]]</f>
        <v>2563</v>
      </c>
      <c r="Y899">
        <f t="shared" si="28"/>
        <v>128</v>
      </c>
      <c r="Z899">
        <f t="shared" si="29"/>
        <v>0</v>
      </c>
    </row>
    <row r="900" spans="1:26" x14ac:dyDescent="0.2">
      <c r="A900" t="s">
        <v>441</v>
      </c>
      <c r="B900" t="s">
        <v>442</v>
      </c>
      <c r="C900" t="s">
        <v>284</v>
      </c>
      <c r="D900" t="s">
        <v>50</v>
      </c>
      <c r="E900" t="s">
        <v>285</v>
      </c>
      <c r="F900">
        <v>0</v>
      </c>
      <c r="G900">
        <v>0</v>
      </c>
      <c r="H900">
        <v>1387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6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f>NHS_AE_2024_2025[[#This Row],[A&amp;E attendances Type 1]]+
NHS_AE_2024_2025[[#This Row],[A&amp;E attendances Type 2]]+
NHS_AE_2024_2025[[#This Row],[A&amp;E attendances Other A&amp;E Department]]</f>
        <v>1387</v>
      </c>
      <c r="Y900">
        <f t="shared" si="28"/>
        <v>6</v>
      </c>
      <c r="Z900">
        <f t="shared" si="29"/>
        <v>0</v>
      </c>
    </row>
    <row r="901" spans="1:26" x14ac:dyDescent="0.2">
      <c r="A901" t="s">
        <v>441</v>
      </c>
      <c r="B901" t="s">
        <v>442</v>
      </c>
      <c r="C901" t="s">
        <v>136</v>
      </c>
      <c r="D901" t="s">
        <v>32</v>
      </c>
      <c r="E901" t="s">
        <v>137</v>
      </c>
      <c r="F901">
        <v>0</v>
      </c>
      <c r="G901">
        <v>0</v>
      </c>
      <c r="H901">
        <v>6973</v>
      </c>
      <c r="I901">
        <v>0</v>
      </c>
      <c r="J901">
        <v>0</v>
      </c>
      <c r="K901">
        <v>870</v>
      </c>
      <c r="L901">
        <v>0</v>
      </c>
      <c r="M901">
        <v>0</v>
      </c>
      <c r="N901">
        <v>44</v>
      </c>
      <c r="O901">
        <v>0</v>
      </c>
      <c r="P901">
        <v>0</v>
      </c>
      <c r="Q901">
        <v>2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f>NHS_AE_2024_2025[[#This Row],[A&amp;E attendances Type 1]]+
NHS_AE_2024_2025[[#This Row],[A&amp;E attendances Type 2]]+
NHS_AE_2024_2025[[#This Row],[A&amp;E attendances Other A&amp;E Department]]</f>
        <v>6973</v>
      </c>
      <c r="Y901">
        <f t="shared" si="28"/>
        <v>44</v>
      </c>
      <c r="Z901">
        <f t="shared" si="29"/>
        <v>0</v>
      </c>
    </row>
    <row r="902" spans="1:26" x14ac:dyDescent="0.2">
      <c r="A902" t="s">
        <v>441</v>
      </c>
      <c r="B902" t="s">
        <v>442</v>
      </c>
      <c r="C902" t="s">
        <v>138</v>
      </c>
      <c r="D902" t="s">
        <v>32</v>
      </c>
      <c r="E902" t="s">
        <v>139</v>
      </c>
      <c r="F902">
        <v>0</v>
      </c>
      <c r="G902">
        <v>0</v>
      </c>
      <c r="H902">
        <v>195</v>
      </c>
      <c r="I902">
        <v>0</v>
      </c>
      <c r="J902">
        <v>0</v>
      </c>
      <c r="K902">
        <v>2216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f>NHS_AE_2024_2025[[#This Row],[A&amp;E attendances Type 1]]+
NHS_AE_2024_2025[[#This Row],[A&amp;E attendances Type 2]]+
NHS_AE_2024_2025[[#This Row],[A&amp;E attendances Other A&amp;E Department]]</f>
        <v>195</v>
      </c>
      <c r="Y902">
        <f t="shared" si="28"/>
        <v>0</v>
      </c>
      <c r="Z902">
        <f t="shared" si="29"/>
        <v>0</v>
      </c>
    </row>
    <row r="903" spans="1:26" x14ac:dyDescent="0.2">
      <c r="A903" t="s">
        <v>441</v>
      </c>
      <c r="B903" t="s">
        <v>442</v>
      </c>
      <c r="C903" t="s">
        <v>140</v>
      </c>
      <c r="D903" t="s">
        <v>32</v>
      </c>
      <c r="E903" t="s">
        <v>141</v>
      </c>
      <c r="F903">
        <v>0</v>
      </c>
      <c r="G903">
        <v>0</v>
      </c>
      <c r="H903">
        <v>102</v>
      </c>
      <c r="I903">
        <v>0</v>
      </c>
      <c r="J903">
        <v>0</v>
      </c>
      <c r="K903">
        <v>575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f>NHS_AE_2024_2025[[#This Row],[A&amp;E attendances Type 1]]+
NHS_AE_2024_2025[[#This Row],[A&amp;E attendances Type 2]]+
NHS_AE_2024_2025[[#This Row],[A&amp;E attendances Other A&amp;E Department]]</f>
        <v>102</v>
      </c>
      <c r="Y903">
        <f t="shared" si="28"/>
        <v>0</v>
      </c>
      <c r="Z903">
        <f t="shared" si="29"/>
        <v>0</v>
      </c>
    </row>
    <row r="904" spans="1:26" x14ac:dyDescent="0.2">
      <c r="A904" t="s">
        <v>441</v>
      </c>
      <c r="B904" t="s">
        <v>442</v>
      </c>
      <c r="C904" t="s">
        <v>142</v>
      </c>
      <c r="D904" t="s">
        <v>32</v>
      </c>
      <c r="E904" t="s">
        <v>143</v>
      </c>
      <c r="F904">
        <v>0</v>
      </c>
      <c r="G904">
        <v>0</v>
      </c>
      <c r="H904">
        <v>69</v>
      </c>
      <c r="I904">
        <v>0</v>
      </c>
      <c r="J904">
        <v>0</v>
      </c>
      <c r="K904">
        <v>493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f>NHS_AE_2024_2025[[#This Row],[A&amp;E attendances Type 1]]+
NHS_AE_2024_2025[[#This Row],[A&amp;E attendances Type 2]]+
NHS_AE_2024_2025[[#This Row],[A&amp;E attendances Other A&amp;E Department]]</f>
        <v>69</v>
      </c>
      <c r="Y904">
        <f t="shared" si="28"/>
        <v>0</v>
      </c>
      <c r="Z904">
        <f t="shared" si="29"/>
        <v>0</v>
      </c>
    </row>
    <row r="905" spans="1:26" x14ac:dyDescent="0.2">
      <c r="A905" t="s">
        <v>441</v>
      </c>
      <c r="B905" t="s">
        <v>442</v>
      </c>
      <c r="C905" t="s">
        <v>414</v>
      </c>
      <c r="D905" t="s">
        <v>32</v>
      </c>
      <c r="E905" t="s">
        <v>415</v>
      </c>
      <c r="F905">
        <v>0</v>
      </c>
      <c r="G905">
        <v>0</v>
      </c>
      <c r="H905">
        <v>499</v>
      </c>
      <c r="I905">
        <v>0</v>
      </c>
      <c r="J905">
        <v>0</v>
      </c>
      <c r="K905">
        <v>3391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f>NHS_AE_2024_2025[[#This Row],[A&amp;E attendances Type 1]]+
NHS_AE_2024_2025[[#This Row],[A&amp;E attendances Type 2]]+
NHS_AE_2024_2025[[#This Row],[A&amp;E attendances Other A&amp;E Department]]</f>
        <v>499</v>
      </c>
      <c r="Y905">
        <f t="shared" si="28"/>
        <v>0</v>
      </c>
      <c r="Z905">
        <f t="shared" si="29"/>
        <v>0</v>
      </c>
    </row>
    <row r="906" spans="1:26" x14ac:dyDescent="0.2">
      <c r="A906" t="s">
        <v>441</v>
      </c>
      <c r="B906" t="s">
        <v>442</v>
      </c>
      <c r="C906" t="s">
        <v>144</v>
      </c>
      <c r="D906" t="s">
        <v>32</v>
      </c>
      <c r="E906" t="s">
        <v>145</v>
      </c>
      <c r="F906">
        <v>0</v>
      </c>
      <c r="G906">
        <v>0</v>
      </c>
      <c r="H906">
        <v>59</v>
      </c>
      <c r="I906">
        <v>0</v>
      </c>
      <c r="J906">
        <v>0</v>
      </c>
      <c r="K906">
        <v>371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f>NHS_AE_2024_2025[[#This Row],[A&amp;E attendances Type 1]]+
NHS_AE_2024_2025[[#This Row],[A&amp;E attendances Type 2]]+
NHS_AE_2024_2025[[#This Row],[A&amp;E attendances Other A&amp;E Department]]</f>
        <v>59</v>
      </c>
      <c r="Y906">
        <f t="shared" si="28"/>
        <v>0</v>
      </c>
      <c r="Z906">
        <f t="shared" si="29"/>
        <v>0</v>
      </c>
    </row>
    <row r="907" spans="1:26" x14ac:dyDescent="0.2">
      <c r="A907" t="s">
        <v>441</v>
      </c>
      <c r="B907" t="s">
        <v>442</v>
      </c>
      <c r="C907" t="s">
        <v>394</v>
      </c>
      <c r="D907" t="s">
        <v>55</v>
      </c>
      <c r="E907" t="s">
        <v>395</v>
      </c>
      <c r="F907">
        <v>24310</v>
      </c>
      <c r="G907">
        <v>2966</v>
      </c>
      <c r="H907">
        <v>10858</v>
      </c>
      <c r="I907">
        <v>3436</v>
      </c>
      <c r="J907">
        <v>493</v>
      </c>
      <c r="K907">
        <v>1018</v>
      </c>
      <c r="L907">
        <v>11707</v>
      </c>
      <c r="M907">
        <v>123</v>
      </c>
      <c r="N907">
        <v>638</v>
      </c>
      <c r="O907">
        <v>1502</v>
      </c>
      <c r="P907">
        <v>24</v>
      </c>
      <c r="Q907">
        <v>103</v>
      </c>
      <c r="R907">
        <v>4456</v>
      </c>
      <c r="S907">
        <v>749</v>
      </c>
      <c r="T907">
        <v>5458</v>
      </c>
      <c r="U907">
        <v>121</v>
      </c>
      <c r="V907">
        <v>139</v>
      </c>
      <c r="W907">
        <v>444</v>
      </c>
      <c r="X907">
        <f>NHS_AE_2024_2025[[#This Row],[A&amp;E attendances Type 1]]+
NHS_AE_2024_2025[[#This Row],[A&amp;E attendances Type 2]]+
NHS_AE_2024_2025[[#This Row],[A&amp;E attendances Other A&amp;E Department]]</f>
        <v>38134</v>
      </c>
      <c r="Y907">
        <f t="shared" si="28"/>
        <v>12468</v>
      </c>
      <c r="Z907">
        <f t="shared" si="29"/>
        <v>6162</v>
      </c>
    </row>
    <row r="908" spans="1:26" x14ac:dyDescent="0.2">
      <c r="A908" t="s">
        <v>441</v>
      </c>
      <c r="B908" t="s">
        <v>442</v>
      </c>
      <c r="C908" t="s">
        <v>288</v>
      </c>
      <c r="D908" t="s">
        <v>29</v>
      </c>
      <c r="E908" t="s">
        <v>289</v>
      </c>
      <c r="F908">
        <v>13728</v>
      </c>
      <c r="G908">
        <v>0</v>
      </c>
      <c r="H908">
        <v>14754</v>
      </c>
      <c r="I908">
        <v>0</v>
      </c>
      <c r="J908">
        <v>0</v>
      </c>
      <c r="K908">
        <v>0</v>
      </c>
      <c r="L908">
        <v>7460</v>
      </c>
      <c r="M908">
        <v>0</v>
      </c>
      <c r="N908">
        <v>162</v>
      </c>
      <c r="O908">
        <v>0</v>
      </c>
      <c r="P908">
        <v>0</v>
      </c>
      <c r="Q908">
        <v>0</v>
      </c>
      <c r="R908">
        <v>769</v>
      </c>
      <c r="S908">
        <v>738</v>
      </c>
      <c r="T908">
        <v>6525</v>
      </c>
      <c r="U908">
        <v>0</v>
      </c>
      <c r="V908">
        <v>0</v>
      </c>
      <c r="W908">
        <v>347</v>
      </c>
      <c r="X908">
        <f>NHS_AE_2024_2025[[#This Row],[A&amp;E attendances Type 1]]+
NHS_AE_2024_2025[[#This Row],[A&amp;E attendances Type 2]]+
NHS_AE_2024_2025[[#This Row],[A&amp;E attendances Other A&amp;E Department]]</f>
        <v>28482</v>
      </c>
      <c r="Y908">
        <f t="shared" si="28"/>
        <v>7622</v>
      </c>
      <c r="Z908">
        <f t="shared" si="29"/>
        <v>6872</v>
      </c>
    </row>
    <row r="909" spans="1:26" x14ac:dyDescent="0.2">
      <c r="A909" t="s">
        <v>441</v>
      </c>
      <c r="B909" t="s">
        <v>442</v>
      </c>
      <c r="C909" t="s">
        <v>230</v>
      </c>
      <c r="D909" t="s">
        <v>29</v>
      </c>
      <c r="E909" t="s">
        <v>231</v>
      </c>
      <c r="F909">
        <v>24850</v>
      </c>
      <c r="G909">
        <v>469</v>
      </c>
      <c r="H909">
        <v>15178</v>
      </c>
      <c r="I909">
        <v>250</v>
      </c>
      <c r="J909">
        <v>3</v>
      </c>
      <c r="K909">
        <v>267</v>
      </c>
      <c r="L909">
        <v>9848</v>
      </c>
      <c r="M909">
        <v>5</v>
      </c>
      <c r="N909">
        <v>905</v>
      </c>
      <c r="O909">
        <v>137</v>
      </c>
      <c r="P909">
        <v>0</v>
      </c>
      <c r="Q909">
        <v>39</v>
      </c>
      <c r="R909">
        <v>1218</v>
      </c>
      <c r="S909">
        <v>1939</v>
      </c>
      <c r="T909">
        <v>4965</v>
      </c>
      <c r="U909">
        <v>0</v>
      </c>
      <c r="V909">
        <v>55</v>
      </c>
      <c r="W909">
        <v>750</v>
      </c>
      <c r="X909">
        <f>NHS_AE_2024_2025[[#This Row],[A&amp;E attendances Type 1]]+
NHS_AE_2024_2025[[#This Row],[A&amp;E attendances Type 2]]+
NHS_AE_2024_2025[[#This Row],[A&amp;E attendances Other A&amp;E Department]]</f>
        <v>40497</v>
      </c>
      <c r="Y909">
        <f t="shared" si="28"/>
        <v>10758</v>
      </c>
      <c r="Z909">
        <f t="shared" si="29"/>
        <v>5770</v>
      </c>
    </row>
    <row r="910" spans="1:26" x14ac:dyDescent="0.2">
      <c r="A910" t="s">
        <v>441</v>
      </c>
      <c r="B910" t="s">
        <v>442</v>
      </c>
      <c r="C910" t="s">
        <v>396</v>
      </c>
      <c r="D910" t="s">
        <v>29</v>
      </c>
      <c r="E910" t="s">
        <v>397</v>
      </c>
      <c r="F910">
        <v>5973</v>
      </c>
      <c r="G910">
        <v>0</v>
      </c>
      <c r="H910">
        <v>6578</v>
      </c>
      <c r="I910">
        <v>0</v>
      </c>
      <c r="J910">
        <v>0</v>
      </c>
      <c r="K910">
        <v>0</v>
      </c>
      <c r="L910">
        <v>3503</v>
      </c>
      <c r="M910">
        <v>0</v>
      </c>
      <c r="N910">
        <v>186</v>
      </c>
      <c r="O910">
        <v>0</v>
      </c>
      <c r="P910">
        <v>0</v>
      </c>
      <c r="Q910">
        <v>0</v>
      </c>
      <c r="R910">
        <v>731</v>
      </c>
      <c r="S910">
        <v>79</v>
      </c>
      <c r="T910">
        <v>1815</v>
      </c>
      <c r="U910">
        <v>0</v>
      </c>
      <c r="V910">
        <v>0</v>
      </c>
      <c r="W910">
        <v>74</v>
      </c>
      <c r="X910">
        <f>NHS_AE_2024_2025[[#This Row],[A&amp;E attendances Type 1]]+
NHS_AE_2024_2025[[#This Row],[A&amp;E attendances Type 2]]+
NHS_AE_2024_2025[[#This Row],[A&amp;E attendances Other A&amp;E Department]]</f>
        <v>12551</v>
      </c>
      <c r="Y910">
        <f t="shared" si="28"/>
        <v>3689</v>
      </c>
      <c r="Z910">
        <f t="shared" si="29"/>
        <v>1889</v>
      </c>
    </row>
    <row r="911" spans="1:26" x14ac:dyDescent="0.2">
      <c r="A911" t="s">
        <v>441</v>
      </c>
      <c r="B911" t="s">
        <v>442</v>
      </c>
      <c r="C911" t="s">
        <v>234</v>
      </c>
      <c r="D911" t="s">
        <v>26</v>
      </c>
      <c r="E911" t="s">
        <v>235</v>
      </c>
      <c r="F911">
        <v>3841</v>
      </c>
      <c r="G911">
        <v>0</v>
      </c>
      <c r="H911">
        <v>0</v>
      </c>
      <c r="I911">
        <v>347</v>
      </c>
      <c r="J911">
        <v>0</v>
      </c>
      <c r="K911">
        <v>3817</v>
      </c>
      <c r="L911">
        <v>1873</v>
      </c>
      <c r="M911">
        <v>0</v>
      </c>
      <c r="N911">
        <v>0</v>
      </c>
      <c r="O911">
        <v>112</v>
      </c>
      <c r="P911">
        <v>0</v>
      </c>
      <c r="Q911">
        <v>4</v>
      </c>
      <c r="R911">
        <v>225</v>
      </c>
      <c r="S911">
        <v>93</v>
      </c>
      <c r="T911">
        <v>1760</v>
      </c>
      <c r="U911">
        <v>0</v>
      </c>
      <c r="V911">
        <v>0</v>
      </c>
      <c r="W911">
        <v>556</v>
      </c>
      <c r="X911">
        <f>NHS_AE_2024_2025[[#This Row],[A&amp;E attendances Type 1]]+
NHS_AE_2024_2025[[#This Row],[A&amp;E attendances Type 2]]+
NHS_AE_2024_2025[[#This Row],[A&amp;E attendances Other A&amp;E Department]]</f>
        <v>3841</v>
      </c>
      <c r="Y911">
        <f t="shared" si="28"/>
        <v>1873</v>
      </c>
      <c r="Z911">
        <f t="shared" si="29"/>
        <v>2316</v>
      </c>
    </row>
    <row r="912" spans="1:26" x14ac:dyDescent="0.2">
      <c r="A912" t="s">
        <v>441</v>
      </c>
      <c r="B912" t="s">
        <v>442</v>
      </c>
      <c r="C912" t="s">
        <v>380</v>
      </c>
      <c r="D912" t="s">
        <v>55</v>
      </c>
      <c r="E912" t="s">
        <v>381</v>
      </c>
      <c r="F912">
        <v>16188</v>
      </c>
      <c r="G912">
        <v>0</v>
      </c>
      <c r="H912">
        <v>6642</v>
      </c>
      <c r="I912">
        <v>415</v>
      </c>
      <c r="J912">
        <v>0</v>
      </c>
      <c r="K912">
        <v>0</v>
      </c>
      <c r="L912">
        <v>6164</v>
      </c>
      <c r="M912">
        <v>0</v>
      </c>
      <c r="N912">
        <v>53</v>
      </c>
      <c r="O912">
        <v>46</v>
      </c>
      <c r="P912">
        <v>0</v>
      </c>
      <c r="Q912">
        <v>0</v>
      </c>
      <c r="R912">
        <v>452</v>
      </c>
      <c r="S912">
        <v>482</v>
      </c>
      <c r="T912">
        <v>7454</v>
      </c>
      <c r="U912">
        <v>0</v>
      </c>
      <c r="V912">
        <v>0</v>
      </c>
      <c r="W912">
        <v>762</v>
      </c>
      <c r="X912">
        <f>NHS_AE_2024_2025[[#This Row],[A&amp;E attendances Type 1]]+
NHS_AE_2024_2025[[#This Row],[A&amp;E attendances Type 2]]+
NHS_AE_2024_2025[[#This Row],[A&amp;E attendances Other A&amp;E Department]]</f>
        <v>22830</v>
      </c>
      <c r="Y912">
        <f t="shared" si="28"/>
        <v>6217</v>
      </c>
      <c r="Z912">
        <f t="shared" si="29"/>
        <v>8216</v>
      </c>
    </row>
    <row r="913" spans="1:26" x14ac:dyDescent="0.2">
      <c r="A913" t="s">
        <v>441</v>
      </c>
      <c r="B913" t="s">
        <v>442</v>
      </c>
      <c r="C913" t="s">
        <v>238</v>
      </c>
      <c r="D913" t="s">
        <v>50</v>
      </c>
      <c r="E913" t="s">
        <v>239</v>
      </c>
      <c r="F913">
        <v>10119</v>
      </c>
      <c r="G913">
        <v>388</v>
      </c>
      <c r="H913">
        <v>5567</v>
      </c>
      <c r="I913">
        <v>0</v>
      </c>
      <c r="J913">
        <v>0</v>
      </c>
      <c r="K913">
        <v>0</v>
      </c>
      <c r="L913">
        <v>5742</v>
      </c>
      <c r="M913">
        <v>0</v>
      </c>
      <c r="N913">
        <v>192</v>
      </c>
      <c r="O913">
        <v>0</v>
      </c>
      <c r="P913">
        <v>0</v>
      </c>
      <c r="Q913">
        <v>0</v>
      </c>
      <c r="R913">
        <v>833</v>
      </c>
      <c r="S913">
        <v>949</v>
      </c>
      <c r="T913">
        <v>4477</v>
      </c>
      <c r="U913">
        <v>0</v>
      </c>
      <c r="V913">
        <v>0</v>
      </c>
      <c r="W913">
        <v>1723</v>
      </c>
      <c r="X913">
        <f>NHS_AE_2024_2025[[#This Row],[A&amp;E attendances Type 1]]+
NHS_AE_2024_2025[[#This Row],[A&amp;E attendances Type 2]]+
NHS_AE_2024_2025[[#This Row],[A&amp;E attendances Other A&amp;E Department]]</f>
        <v>16074</v>
      </c>
      <c r="Y913">
        <f t="shared" si="28"/>
        <v>5934</v>
      </c>
      <c r="Z913">
        <f t="shared" si="29"/>
        <v>6200</v>
      </c>
    </row>
    <row r="914" spans="1:26" x14ac:dyDescent="0.2">
      <c r="A914" t="s">
        <v>441</v>
      </c>
      <c r="B914" t="s">
        <v>442</v>
      </c>
      <c r="C914" t="s">
        <v>122</v>
      </c>
      <c r="D914" t="s">
        <v>50</v>
      </c>
      <c r="E914" t="s">
        <v>123</v>
      </c>
      <c r="F914">
        <v>8708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3595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947</v>
      </c>
      <c r="S914">
        <v>109</v>
      </c>
      <c r="T914">
        <v>1987</v>
      </c>
      <c r="U914">
        <v>0</v>
      </c>
      <c r="V914">
        <v>0</v>
      </c>
      <c r="W914">
        <v>249</v>
      </c>
      <c r="X914">
        <f>NHS_AE_2024_2025[[#This Row],[A&amp;E attendances Type 1]]+
NHS_AE_2024_2025[[#This Row],[A&amp;E attendances Type 2]]+
NHS_AE_2024_2025[[#This Row],[A&amp;E attendances Other A&amp;E Department]]</f>
        <v>8708</v>
      </c>
      <c r="Y914">
        <f t="shared" si="28"/>
        <v>3595</v>
      </c>
      <c r="Z914">
        <f t="shared" si="29"/>
        <v>2236</v>
      </c>
    </row>
    <row r="915" spans="1:26" x14ac:dyDescent="0.2">
      <c r="A915" t="s">
        <v>441</v>
      </c>
      <c r="B915" t="s">
        <v>442</v>
      </c>
      <c r="C915" t="s">
        <v>308</v>
      </c>
      <c r="D915" t="s">
        <v>32</v>
      </c>
      <c r="E915" t="s">
        <v>309</v>
      </c>
      <c r="F915">
        <v>7498</v>
      </c>
      <c r="G915">
        <v>0</v>
      </c>
      <c r="H915">
        <v>330</v>
      </c>
      <c r="I915">
        <v>1</v>
      </c>
      <c r="J915">
        <v>0</v>
      </c>
      <c r="K915">
        <v>0</v>
      </c>
      <c r="L915">
        <v>2820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480</v>
      </c>
      <c r="S915">
        <v>122</v>
      </c>
      <c r="T915">
        <v>2241</v>
      </c>
      <c r="U915">
        <v>0</v>
      </c>
      <c r="V915">
        <v>0</v>
      </c>
      <c r="W915">
        <v>914</v>
      </c>
      <c r="X915">
        <f>NHS_AE_2024_2025[[#This Row],[A&amp;E attendances Type 1]]+
NHS_AE_2024_2025[[#This Row],[A&amp;E attendances Type 2]]+
NHS_AE_2024_2025[[#This Row],[A&amp;E attendances Other A&amp;E Department]]</f>
        <v>7828</v>
      </c>
      <c r="Y915">
        <f t="shared" si="28"/>
        <v>2820</v>
      </c>
      <c r="Z915">
        <f t="shared" si="29"/>
        <v>3155</v>
      </c>
    </row>
    <row r="916" spans="1:26" x14ac:dyDescent="0.2">
      <c r="A916" t="s">
        <v>441</v>
      </c>
      <c r="B916" t="s">
        <v>442</v>
      </c>
      <c r="C916" t="s">
        <v>386</v>
      </c>
      <c r="D916" t="s">
        <v>32</v>
      </c>
      <c r="E916" t="s">
        <v>387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27</v>
      </c>
      <c r="X916">
        <f>NHS_AE_2024_2025[[#This Row],[A&amp;E attendances Type 1]]+
NHS_AE_2024_2025[[#This Row],[A&amp;E attendances Type 2]]+
NHS_AE_2024_2025[[#This Row],[A&amp;E attendances Other A&amp;E Department]]</f>
        <v>0</v>
      </c>
      <c r="Y916">
        <f t="shared" si="28"/>
        <v>0</v>
      </c>
      <c r="Z916">
        <f t="shared" si="29"/>
        <v>27</v>
      </c>
    </row>
    <row r="917" spans="1:26" x14ac:dyDescent="0.2">
      <c r="A917" t="s">
        <v>441</v>
      </c>
      <c r="B917" t="s">
        <v>442</v>
      </c>
      <c r="C917" t="s">
        <v>318</v>
      </c>
      <c r="D917" t="s">
        <v>55</v>
      </c>
      <c r="E917" t="s">
        <v>319</v>
      </c>
      <c r="F917">
        <v>8430</v>
      </c>
      <c r="G917">
        <v>0</v>
      </c>
      <c r="H917">
        <v>3154</v>
      </c>
      <c r="I917">
        <v>392</v>
      </c>
      <c r="J917">
        <v>0</v>
      </c>
      <c r="K917">
        <v>93</v>
      </c>
      <c r="L917">
        <v>4007</v>
      </c>
      <c r="M917">
        <v>0</v>
      </c>
      <c r="N917">
        <v>6</v>
      </c>
      <c r="O917">
        <v>0</v>
      </c>
      <c r="P917">
        <v>0</v>
      </c>
      <c r="Q917">
        <v>0</v>
      </c>
      <c r="R917">
        <v>231</v>
      </c>
      <c r="S917">
        <v>798</v>
      </c>
      <c r="T917">
        <v>1685</v>
      </c>
      <c r="U917">
        <v>0</v>
      </c>
      <c r="V917">
        <v>0</v>
      </c>
      <c r="W917">
        <v>285</v>
      </c>
      <c r="X917">
        <f>NHS_AE_2024_2025[[#This Row],[A&amp;E attendances Type 1]]+
NHS_AE_2024_2025[[#This Row],[A&amp;E attendances Type 2]]+
NHS_AE_2024_2025[[#This Row],[A&amp;E attendances Other A&amp;E Department]]</f>
        <v>11584</v>
      </c>
      <c r="Y917">
        <f t="shared" si="28"/>
        <v>4013</v>
      </c>
      <c r="Z917">
        <f t="shared" si="29"/>
        <v>1970</v>
      </c>
    </row>
    <row r="918" spans="1:26" x14ac:dyDescent="0.2">
      <c r="A918" t="s">
        <v>441</v>
      </c>
      <c r="B918" t="s">
        <v>442</v>
      </c>
      <c r="C918" t="s">
        <v>252</v>
      </c>
      <c r="D918" t="s">
        <v>37</v>
      </c>
      <c r="E918" t="s">
        <v>253</v>
      </c>
      <c r="F918">
        <v>10341</v>
      </c>
      <c r="G918">
        <v>127</v>
      </c>
      <c r="H918">
        <v>2619</v>
      </c>
      <c r="I918">
        <v>0</v>
      </c>
      <c r="J918">
        <v>0</v>
      </c>
      <c r="K918">
        <v>131</v>
      </c>
      <c r="L918">
        <v>4889</v>
      </c>
      <c r="M918">
        <v>0</v>
      </c>
      <c r="N918">
        <v>83</v>
      </c>
      <c r="O918">
        <v>0</v>
      </c>
      <c r="P918">
        <v>0</v>
      </c>
      <c r="Q918">
        <v>0</v>
      </c>
      <c r="R918">
        <v>428</v>
      </c>
      <c r="S918">
        <v>195</v>
      </c>
      <c r="T918">
        <v>4013</v>
      </c>
      <c r="U918">
        <v>14</v>
      </c>
      <c r="V918">
        <v>39</v>
      </c>
      <c r="W918">
        <v>1373</v>
      </c>
      <c r="X918">
        <f>NHS_AE_2024_2025[[#This Row],[A&amp;E attendances Type 1]]+
NHS_AE_2024_2025[[#This Row],[A&amp;E attendances Type 2]]+
NHS_AE_2024_2025[[#This Row],[A&amp;E attendances Other A&amp;E Department]]</f>
        <v>13087</v>
      </c>
      <c r="Y918">
        <f t="shared" si="28"/>
        <v>4972</v>
      </c>
      <c r="Z918">
        <f t="shared" si="29"/>
        <v>5439</v>
      </c>
    </row>
    <row r="919" spans="1:26" x14ac:dyDescent="0.2">
      <c r="A919" t="s">
        <v>441</v>
      </c>
      <c r="B919" t="s">
        <v>442</v>
      </c>
      <c r="C919" t="s">
        <v>374</v>
      </c>
      <c r="D919" t="s">
        <v>37</v>
      </c>
      <c r="E919" t="s">
        <v>375</v>
      </c>
      <c r="F919">
        <v>11094</v>
      </c>
      <c r="G919">
        <v>0</v>
      </c>
      <c r="H919">
        <v>3892</v>
      </c>
      <c r="I919">
        <v>0</v>
      </c>
      <c r="J919">
        <v>0</v>
      </c>
      <c r="K919">
        <v>0</v>
      </c>
      <c r="L919">
        <v>3552</v>
      </c>
      <c r="M919">
        <v>0</v>
      </c>
      <c r="N919">
        <v>12</v>
      </c>
      <c r="O919">
        <v>0</v>
      </c>
      <c r="P919">
        <v>0</v>
      </c>
      <c r="Q919">
        <v>0</v>
      </c>
      <c r="R919">
        <v>613</v>
      </c>
      <c r="S919">
        <v>449</v>
      </c>
      <c r="T919">
        <v>3295</v>
      </c>
      <c r="U919">
        <v>0</v>
      </c>
      <c r="V919">
        <v>0</v>
      </c>
      <c r="W919">
        <v>438</v>
      </c>
      <c r="X919">
        <f>NHS_AE_2024_2025[[#This Row],[A&amp;E attendances Type 1]]+
NHS_AE_2024_2025[[#This Row],[A&amp;E attendances Type 2]]+
NHS_AE_2024_2025[[#This Row],[A&amp;E attendances Other A&amp;E Department]]</f>
        <v>14986</v>
      </c>
      <c r="Y919">
        <f t="shared" si="28"/>
        <v>3564</v>
      </c>
      <c r="Z919">
        <f t="shared" si="29"/>
        <v>3733</v>
      </c>
    </row>
    <row r="920" spans="1:26" x14ac:dyDescent="0.2">
      <c r="A920" t="s">
        <v>441</v>
      </c>
      <c r="B920" t="s">
        <v>442</v>
      </c>
      <c r="C920" t="s">
        <v>320</v>
      </c>
      <c r="D920" t="s">
        <v>26</v>
      </c>
      <c r="E920" t="s">
        <v>321</v>
      </c>
      <c r="F920">
        <v>4372</v>
      </c>
      <c r="G920">
        <v>326</v>
      </c>
      <c r="H920">
        <v>1715</v>
      </c>
      <c r="I920">
        <v>132</v>
      </c>
      <c r="J920">
        <v>0</v>
      </c>
      <c r="K920">
        <v>0</v>
      </c>
      <c r="L920">
        <v>1699</v>
      </c>
      <c r="M920">
        <v>0</v>
      </c>
      <c r="N920">
        <v>0</v>
      </c>
      <c r="O920">
        <v>53</v>
      </c>
      <c r="P920">
        <v>0</v>
      </c>
      <c r="Q920">
        <v>0</v>
      </c>
      <c r="R920">
        <v>470</v>
      </c>
      <c r="S920">
        <v>19</v>
      </c>
      <c r="T920">
        <v>1312</v>
      </c>
      <c r="U920">
        <v>0</v>
      </c>
      <c r="V920">
        <v>0</v>
      </c>
      <c r="W920">
        <v>1026</v>
      </c>
      <c r="X920">
        <f>NHS_AE_2024_2025[[#This Row],[A&amp;E attendances Type 1]]+
NHS_AE_2024_2025[[#This Row],[A&amp;E attendances Type 2]]+
NHS_AE_2024_2025[[#This Row],[A&amp;E attendances Other A&amp;E Department]]</f>
        <v>6413</v>
      </c>
      <c r="Y920">
        <f t="shared" si="28"/>
        <v>1699</v>
      </c>
      <c r="Z920">
        <f t="shared" si="29"/>
        <v>2338</v>
      </c>
    </row>
    <row r="921" spans="1:26" x14ac:dyDescent="0.2">
      <c r="A921" t="s">
        <v>441</v>
      </c>
      <c r="B921" t="s">
        <v>442</v>
      </c>
      <c r="C921" t="s">
        <v>258</v>
      </c>
      <c r="D921" t="s">
        <v>50</v>
      </c>
      <c r="E921" t="s">
        <v>259</v>
      </c>
      <c r="F921">
        <v>5878</v>
      </c>
      <c r="G921">
        <v>0</v>
      </c>
      <c r="H921">
        <v>3131</v>
      </c>
      <c r="I921">
        <v>14</v>
      </c>
      <c r="J921">
        <v>0</v>
      </c>
      <c r="K921">
        <v>0</v>
      </c>
      <c r="L921">
        <v>2555</v>
      </c>
      <c r="M921">
        <v>0</v>
      </c>
      <c r="N921">
        <v>37</v>
      </c>
      <c r="O921">
        <v>6</v>
      </c>
      <c r="P921">
        <v>0</v>
      </c>
      <c r="Q921">
        <v>0</v>
      </c>
      <c r="R921">
        <v>1033</v>
      </c>
      <c r="S921">
        <v>0</v>
      </c>
      <c r="T921">
        <v>1654</v>
      </c>
      <c r="U921">
        <v>0</v>
      </c>
      <c r="V921">
        <v>0</v>
      </c>
      <c r="W921">
        <v>57</v>
      </c>
      <c r="X921">
        <f>NHS_AE_2024_2025[[#This Row],[A&amp;E attendances Type 1]]+
NHS_AE_2024_2025[[#This Row],[A&amp;E attendances Type 2]]+
NHS_AE_2024_2025[[#This Row],[A&amp;E attendances Other A&amp;E Department]]</f>
        <v>9009</v>
      </c>
      <c r="Y921">
        <f t="shared" si="28"/>
        <v>2592</v>
      </c>
      <c r="Z921">
        <f t="shared" si="29"/>
        <v>1711</v>
      </c>
    </row>
    <row r="922" spans="1:26" x14ac:dyDescent="0.2">
      <c r="A922" t="s">
        <v>441</v>
      </c>
      <c r="B922" t="s">
        <v>442</v>
      </c>
      <c r="C922" t="s">
        <v>336</v>
      </c>
      <c r="D922" t="s">
        <v>50</v>
      </c>
      <c r="E922" t="s">
        <v>337</v>
      </c>
      <c r="F922">
        <v>9372</v>
      </c>
      <c r="G922">
        <v>0</v>
      </c>
      <c r="H922">
        <v>10992</v>
      </c>
      <c r="I922">
        <v>0</v>
      </c>
      <c r="J922">
        <v>0</v>
      </c>
      <c r="K922">
        <v>0</v>
      </c>
      <c r="L922">
        <v>2780</v>
      </c>
      <c r="M922">
        <v>0</v>
      </c>
      <c r="N922">
        <v>3</v>
      </c>
      <c r="O922">
        <v>0</v>
      </c>
      <c r="P922">
        <v>0</v>
      </c>
      <c r="Q922">
        <v>0</v>
      </c>
      <c r="R922">
        <v>106</v>
      </c>
      <c r="S922">
        <v>7</v>
      </c>
      <c r="T922">
        <v>3876</v>
      </c>
      <c r="U922">
        <v>0</v>
      </c>
      <c r="V922">
        <v>49</v>
      </c>
      <c r="W922">
        <v>395</v>
      </c>
      <c r="X922">
        <f>NHS_AE_2024_2025[[#This Row],[A&amp;E attendances Type 1]]+
NHS_AE_2024_2025[[#This Row],[A&amp;E attendances Type 2]]+
NHS_AE_2024_2025[[#This Row],[A&amp;E attendances Other A&amp;E Department]]</f>
        <v>20364</v>
      </c>
      <c r="Y922">
        <f t="shared" si="28"/>
        <v>2783</v>
      </c>
      <c r="Z922">
        <f t="shared" si="29"/>
        <v>4320</v>
      </c>
    </row>
    <row r="923" spans="1:26" x14ac:dyDescent="0.2">
      <c r="A923" t="s">
        <v>441</v>
      </c>
      <c r="B923" t="s">
        <v>442</v>
      </c>
      <c r="C923" t="s">
        <v>208</v>
      </c>
      <c r="D923" t="s">
        <v>32</v>
      </c>
      <c r="E923" t="s">
        <v>209</v>
      </c>
      <c r="F923">
        <v>17941</v>
      </c>
      <c r="G923">
        <v>0</v>
      </c>
      <c r="H923">
        <v>9234</v>
      </c>
      <c r="I923">
        <v>1572</v>
      </c>
      <c r="J923">
        <v>0</v>
      </c>
      <c r="K923">
        <v>18</v>
      </c>
      <c r="L923">
        <v>8790</v>
      </c>
      <c r="M923">
        <v>0</v>
      </c>
      <c r="N923">
        <v>6</v>
      </c>
      <c r="O923">
        <v>377</v>
      </c>
      <c r="P923">
        <v>0</v>
      </c>
      <c r="Q923">
        <v>0</v>
      </c>
      <c r="R923">
        <v>944</v>
      </c>
      <c r="S923">
        <v>1028</v>
      </c>
      <c r="T923">
        <v>3962</v>
      </c>
      <c r="U923">
        <v>0</v>
      </c>
      <c r="V923">
        <v>2</v>
      </c>
      <c r="W923">
        <v>1957</v>
      </c>
      <c r="X923">
        <f>NHS_AE_2024_2025[[#This Row],[A&amp;E attendances Type 1]]+
NHS_AE_2024_2025[[#This Row],[A&amp;E attendances Type 2]]+
NHS_AE_2024_2025[[#This Row],[A&amp;E attendances Other A&amp;E Department]]</f>
        <v>27175</v>
      </c>
      <c r="Y923">
        <f t="shared" si="28"/>
        <v>8796</v>
      </c>
      <c r="Z923">
        <f t="shared" si="29"/>
        <v>5921</v>
      </c>
    </row>
    <row r="924" spans="1:26" x14ac:dyDescent="0.2">
      <c r="A924" t="s">
        <v>441</v>
      </c>
      <c r="B924" t="s">
        <v>442</v>
      </c>
      <c r="C924" t="s">
        <v>338</v>
      </c>
      <c r="D924" t="s">
        <v>50</v>
      </c>
      <c r="E924" t="s">
        <v>339</v>
      </c>
      <c r="F924">
        <v>7207</v>
      </c>
      <c r="G924">
        <v>0</v>
      </c>
      <c r="H924">
        <v>8151</v>
      </c>
      <c r="I924">
        <v>0</v>
      </c>
      <c r="J924">
        <v>0</v>
      </c>
      <c r="K924">
        <v>1583</v>
      </c>
      <c r="L924">
        <v>4011</v>
      </c>
      <c r="M924">
        <v>0</v>
      </c>
      <c r="N924">
        <v>344</v>
      </c>
      <c r="O924">
        <v>0</v>
      </c>
      <c r="P924">
        <v>0</v>
      </c>
      <c r="Q924">
        <v>33</v>
      </c>
      <c r="R924">
        <v>521</v>
      </c>
      <c r="S924">
        <v>94</v>
      </c>
      <c r="T924">
        <v>2662</v>
      </c>
      <c r="U924">
        <v>0</v>
      </c>
      <c r="V924">
        <v>108</v>
      </c>
      <c r="W924">
        <v>2405</v>
      </c>
      <c r="X924">
        <f>NHS_AE_2024_2025[[#This Row],[A&amp;E attendances Type 1]]+
NHS_AE_2024_2025[[#This Row],[A&amp;E attendances Type 2]]+
NHS_AE_2024_2025[[#This Row],[A&amp;E attendances Other A&amp;E Department]]</f>
        <v>15358</v>
      </c>
      <c r="Y924">
        <f t="shared" si="28"/>
        <v>4355</v>
      </c>
      <c r="Z924">
        <f t="shared" si="29"/>
        <v>5175</v>
      </c>
    </row>
    <row r="925" spans="1:26" x14ac:dyDescent="0.2">
      <c r="A925" t="s">
        <v>441</v>
      </c>
      <c r="B925" t="s">
        <v>442</v>
      </c>
      <c r="C925" t="s">
        <v>376</v>
      </c>
      <c r="D925" t="s">
        <v>55</v>
      </c>
      <c r="E925" t="s">
        <v>377</v>
      </c>
      <c r="F925">
        <v>8682</v>
      </c>
      <c r="G925">
        <v>0</v>
      </c>
      <c r="H925">
        <v>2279</v>
      </c>
      <c r="I925">
        <v>84</v>
      </c>
      <c r="J925">
        <v>0</v>
      </c>
      <c r="K925">
        <v>1377</v>
      </c>
      <c r="L925">
        <v>3255</v>
      </c>
      <c r="M925">
        <v>0</v>
      </c>
      <c r="N925">
        <v>32</v>
      </c>
      <c r="O925">
        <v>23</v>
      </c>
      <c r="P925">
        <v>0</v>
      </c>
      <c r="Q925">
        <v>61</v>
      </c>
      <c r="R925">
        <v>666</v>
      </c>
      <c r="S925">
        <v>560</v>
      </c>
      <c r="T925">
        <v>3200</v>
      </c>
      <c r="U925">
        <v>0</v>
      </c>
      <c r="V925">
        <v>30</v>
      </c>
      <c r="W925">
        <v>982</v>
      </c>
      <c r="X925">
        <f>NHS_AE_2024_2025[[#This Row],[A&amp;E attendances Type 1]]+
NHS_AE_2024_2025[[#This Row],[A&amp;E attendances Type 2]]+
NHS_AE_2024_2025[[#This Row],[A&amp;E attendances Other A&amp;E Department]]</f>
        <v>10961</v>
      </c>
      <c r="Y925">
        <f t="shared" si="28"/>
        <v>3287</v>
      </c>
      <c r="Z925">
        <f t="shared" si="29"/>
        <v>4212</v>
      </c>
    </row>
    <row r="926" spans="1:26" x14ac:dyDescent="0.2">
      <c r="A926" t="s">
        <v>441</v>
      </c>
      <c r="B926" t="s">
        <v>442</v>
      </c>
      <c r="C926" t="s">
        <v>172</v>
      </c>
      <c r="D926" t="s">
        <v>37</v>
      </c>
      <c r="E926" t="s">
        <v>173</v>
      </c>
      <c r="F926">
        <v>7612</v>
      </c>
      <c r="G926">
        <v>0</v>
      </c>
      <c r="H926">
        <v>1944</v>
      </c>
      <c r="I926">
        <v>2324</v>
      </c>
      <c r="J926">
        <v>0</v>
      </c>
      <c r="K926">
        <v>1852</v>
      </c>
      <c r="L926">
        <v>3990</v>
      </c>
      <c r="M926">
        <v>0</v>
      </c>
      <c r="N926">
        <v>104</v>
      </c>
      <c r="O926">
        <v>0</v>
      </c>
      <c r="P926">
        <v>0</v>
      </c>
      <c r="Q926">
        <v>0</v>
      </c>
      <c r="R926">
        <v>256</v>
      </c>
      <c r="S926">
        <v>129</v>
      </c>
      <c r="T926">
        <v>3276</v>
      </c>
      <c r="U926">
        <v>0</v>
      </c>
      <c r="V926">
        <v>0</v>
      </c>
      <c r="W926">
        <v>485</v>
      </c>
      <c r="X926">
        <f>NHS_AE_2024_2025[[#This Row],[A&amp;E attendances Type 1]]+
NHS_AE_2024_2025[[#This Row],[A&amp;E attendances Type 2]]+
NHS_AE_2024_2025[[#This Row],[A&amp;E attendances Other A&amp;E Department]]</f>
        <v>9556</v>
      </c>
      <c r="Y926">
        <f t="shared" si="28"/>
        <v>4094</v>
      </c>
      <c r="Z926">
        <f t="shared" si="29"/>
        <v>3761</v>
      </c>
    </row>
    <row r="927" spans="1:26" x14ac:dyDescent="0.2">
      <c r="A927" t="s">
        <v>441</v>
      </c>
      <c r="B927" t="s">
        <v>442</v>
      </c>
      <c r="C927" t="s">
        <v>178</v>
      </c>
      <c r="D927" t="s">
        <v>55</v>
      </c>
      <c r="E927" t="s">
        <v>179</v>
      </c>
      <c r="F927">
        <v>0</v>
      </c>
      <c r="G927">
        <v>0</v>
      </c>
      <c r="H927">
        <v>2916</v>
      </c>
      <c r="I927">
        <v>0</v>
      </c>
      <c r="J927">
        <v>0</v>
      </c>
      <c r="K927">
        <v>182</v>
      </c>
      <c r="L927">
        <v>0</v>
      </c>
      <c r="M927">
        <v>0</v>
      </c>
      <c r="N927">
        <v>38</v>
      </c>
      <c r="O927">
        <v>0</v>
      </c>
      <c r="P927">
        <v>0</v>
      </c>
      <c r="Q927">
        <v>3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f>NHS_AE_2024_2025[[#This Row],[A&amp;E attendances Type 1]]+
NHS_AE_2024_2025[[#This Row],[A&amp;E attendances Type 2]]+
NHS_AE_2024_2025[[#This Row],[A&amp;E attendances Other A&amp;E Department]]</f>
        <v>2916</v>
      </c>
      <c r="Y927">
        <f t="shared" si="28"/>
        <v>38</v>
      </c>
      <c r="Z927">
        <f t="shared" si="29"/>
        <v>0</v>
      </c>
    </row>
    <row r="928" spans="1:26" x14ac:dyDescent="0.2">
      <c r="A928" t="s">
        <v>441</v>
      </c>
      <c r="B928" t="s">
        <v>442</v>
      </c>
      <c r="C928" t="s">
        <v>356</v>
      </c>
      <c r="D928" t="s">
        <v>32</v>
      </c>
      <c r="E928" t="s">
        <v>357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4</v>
      </c>
      <c r="W928">
        <v>81</v>
      </c>
      <c r="X928">
        <f>NHS_AE_2024_2025[[#This Row],[A&amp;E attendances Type 1]]+
NHS_AE_2024_2025[[#This Row],[A&amp;E attendances Type 2]]+
NHS_AE_2024_2025[[#This Row],[A&amp;E attendances Other A&amp;E Department]]</f>
        <v>0</v>
      </c>
      <c r="Y928">
        <f t="shared" si="28"/>
        <v>0</v>
      </c>
      <c r="Z928">
        <f t="shared" si="29"/>
        <v>85</v>
      </c>
    </row>
    <row r="929" spans="1:26" x14ac:dyDescent="0.2">
      <c r="A929" t="s">
        <v>441</v>
      </c>
      <c r="B929" t="s">
        <v>442</v>
      </c>
      <c r="C929" t="s">
        <v>360</v>
      </c>
      <c r="D929" t="s">
        <v>50</v>
      </c>
      <c r="E929" t="s">
        <v>361</v>
      </c>
      <c r="F929">
        <v>0</v>
      </c>
      <c r="G929">
        <v>0</v>
      </c>
      <c r="H929">
        <v>2035</v>
      </c>
      <c r="I929">
        <v>0</v>
      </c>
      <c r="J929">
        <v>0</v>
      </c>
      <c r="K929">
        <v>256</v>
      </c>
      <c r="L929">
        <v>0</v>
      </c>
      <c r="M929">
        <v>0</v>
      </c>
      <c r="N929">
        <v>9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f>NHS_AE_2024_2025[[#This Row],[A&amp;E attendances Type 1]]+
NHS_AE_2024_2025[[#This Row],[A&amp;E attendances Type 2]]+
NHS_AE_2024_2025[[#This Row],[A&amp;E attendances Other A&amp;E Department]]</f>
        <v>2035</v>
      </c>
      <c r="Y929">
        <f t="shared" si="28"/>
        <v>9</v>
      </c>
      <c r="Z929">
        <f t="shared" si="29"/>
        <v>0</v>
      </c>
    </row>
    <row r="930" spans="1:26" x14ac:dyDescent="0.2">
      <c r="A930" t="s">
        <v>441</v>
      </c>
      <c r="B930" t="s">
        <v>442</v>
      </c>
      <c r="C930" t="s">
        <v>232</v>
      </c>
      <c r="D930" t="s">
        <v>29</v>
      </c>
      <c r="E930" t="s">
        <v>435</v>
      </c>
      <c r="F930">
        <v>7258</v>
      </c>
      <c r="G930">
        <v>0</v>
      </c>
      <c r="H930">
        <v>7797</v>
      </c>
      <c r="I930">
        <v>0</v>
      </c>
      <c r="J930">
        <v>0</v>
      </c>
      <c r="K930">
        <v>0</v>
      </c>
      <c r="L930">
        <v>3722</v>
      </c>
      <c r="M930">
        <v>0</v>
      </c>
      <c r="N930">
        <v>262</v>
      </c>
      <c r="O930">
        <v>0</v>
      </c>
      <c r="P930">
        <v>0</v>
      </c>
      <c r="Q930">
        <v>0</v>
      </c>
      <c r="R930">
        <v>341</v>
      </c>
      <c r="S930">
        <v>439</v>
      </c>
      <c r="T930">
        <v>2449</v>
      </c>
      <c r="U930">
        <v>0</v>
      </c>
      <c r="V930">
        <v>177</v>
      </c>
      <c r="W930">
        <v>340</v>
      </c>
      <c r="X930">
        <f>NHS_AE_2024_2025[[#This Row],[A&amp;E attendances Type 1]]+
NHS_AE_2024_2025[[#This Row],[A&amp;E attendances Type 2]]+
NHS_AE_2024_2025[[#This Row],[A&amp;E attendances Other A&amp;E Department]]</f>
        <v>15055</v>
      </c>
      <c r="Y930">
        <f t="shared" si="28"/>
        <v>3984</v>
      </c>
      <c r="Z930">
        <f t="shared" si="29"/>
        <v>2966</v>
      </c>
    </row>
    <row r="931" spans="1:26" x14ac:dyDescent="0.2">
      <c r="A931" t="s">
        <v>441</v>
      </c>
      <c r="B931" t="s">
        <v>442</v>
      </c>
      <c r="C931" t="s">
        <v>236</v>
      </c>
      <c r="D931" t="s">
        <v>32</v>
      </c>
      <c r="E931" t="s">
        <v>237</v>
      </c>
      <c r="F931">
        <v>9044</v>
      </c>
      <c r="G931">
        <v>0</v>
      </c>
      <c r="H931">
        <v>3905</v>
      </c>
      <c r="I931">
        <v>28</v>
      </c>
      <c r="J931">
        <v>0</v>
      </c>
      <c r="K931">
        <v>150</v>
      </c>
      <c r="L931">
        <v>3512</v>
      </c>
      <c r="M931">
        <v>0</v>
      </c>
      <c r="N931">
        <v>62</v>
      </c>
      <c r="O931">
        <v>5</v>
      </c>
      <c r="P931">
        <v>0</v>
      </c>
      <c r="Q931">
        <v>0</v>
      </c>
      <c r="R931">
        <v>1337</v>
      </c>
      <c r="S931">
        <v>324</v>
      </c>
      <c r="T931">
        <v>3896</v>
      </c>
      <c r="U931">
        <v>0</v>
      </c>
      <c r="V931">
        <v>0</v>
      </c>
      <c r="W931">
        <v>807</v>
      </c>
      <c r="X931">
        <f>NHS_AE_2024_2025[[#This Row],[A&amp;E attendances Type 1]]+
NHS_AE_2024_2025[[#This Row],[A&amp;E attendances Type 2]]+
NHS_AE_2024_2025[[#This Row],[A&amp;E attendances Other A&amp;E Department]]</f>
        <v>12949</v>
      </c>
      <c r="Y931">
        <f t="shared" si="28"/>
        <v>3574</v>
      </c>
      <c r="Z931">
        <f t="shared" si="29"/>
        <v>4703</v>
      </c>
    </row>
    <row r="932" spans="1:26" x14ac:dyDescent="0.2">
      <c r="A932" t="s">
        <v>441</v>
      </c>
      <c r="B932" t="s">
        <v>442</v>
      </c>
      <c r="C932" t="s">
        <v>192</v>
      </c>
      <c r="D932" t="s">
        <v>55</v>
      </c>
      <c r="E932" t="s">
        <v>193</v>
      </c>
      <c r="F932">
        <v>5771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1222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860</v>
      </c>
      <c r="U932">
        <v>0</v>
      </c>
      <c r="V932">
        <v>0</v>
      </c>
      <c r="W932">
        <v>316</v>
      </c>
      <c r="X932">
        <f>NHS_AE_2024_2025[[#This Row],[A&amp;E attendances Type 1]]+
NHS_AE_2024_2025[[#This Row],[A&amp;E attendances Type 2]]+
NHS_AE_2024_2025[[#This Row],[A&amp;E attendances Other A&amp;E Department]]</f>
        <v>5771</v>
      </c>
      <c r="Y932">
        <f t="shared" si="28"/>
        <v>1222</v>
      </c>
      <c r="Z932">
        <f t="shared" si="29"/>
        <v>1176</v>
      </c>
    </row>
    <row r="933" spans="1:26" x14ac:dyDescent="0.2">
      <c r="A933" t="s">
        <v>441</v>
      </c>
      <c r="B933" t="s">
        <v>442</v>
      </c>
      <c r="C933" t="s">
        <v>150</v>
      </c>
      <c r="D933" t="s">
        <v>55</v>
      </c>
      <c r="E933" t="s">
        <v>151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778</v>
      </c>
      <c r="X933">
        <f>NHS_AE_2024_2025[[#This Row],[A&amp;E attendances Type 1]]+
NHS_AE_2024_2025[[#This Row],[A&amp;E attendances Type 2]]+
NHS_AE_2024_2025[[#This Row],[A&amp;E attendances Other A&amp;E Department]]</f>
        <v>0</v>
      </c>
      <c r="Y933">
        <f t="shared" si="28"/>
        <v>0</v>
      </c>
      <c r="Z933">
        <f t="shared" si="29"/>
        <v>778</v>
      </c>
    </row>
    <row r="934" spans="1:26" x14ac:dyDescent="0.2">
      <c r="A934" t="s">
        <v>441</v>
      </c>
      <c r="B934" t="s">
        <v>442</v>
      </c>
      <c r="C934" t="s">
        <v>294</v>
      </c>
      <c r="D934" t="s">
        <v>70</v>
      </c>
      <c r="E934" t="s">
        <v>295</v>
      </c>
      <c r="F934">
        <v>15468</v>
      </c>
      <c r="G934">
        <v>0</v>
      </c>
      <c r="H934">
        <v>8652</v>
      </c>
      <c r="I934">
        <v>0</v>
      </c>
      <c r="J934">
        <v>0</v>
      </c>
      <c r="K934">
        <v>1060</v>
      </c>
      <c r="L934">
        <v>7204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83</v>
      </c>
      <c r="S934">
        <v>22</v>
      </c>
      <c r="T934">
        <v>4816</v>
      </c>
      <c r="U934">
        <v>0</v>
      </c>
      <c r="V934">
        <v>0</v>
      </c>
      <c r="W934">
        <v>2319</v>
      </c>
      <c r="X934">
        <f>NHS_AE_2024_2025[[#This Row],[A&amp;E attendances Type 1]]+
NHS_AE_2024_2025[[#This Row],[A&amp;E attendances Type 2]]+
NHS_AE_2024_2025[[#This Row],[A&amp;E attendances Other A&amp;E Department]]</f>
        <v>24120</v>
      </c>
      <c r="Y934">
        <f t="shared" si="28"/>
        <v>7204</v>
      </c>
      <c r="Z934">
        <f t="shared" si="29"/>
        <v>7135</v>
      </c>
    </row>
    <row r="935" spans="1:26" x14ac:dyDescent="0.2">
      <c r="A935" t="s">
        <v>441</v>
      </c>
      <c r="B935" t="s">
        <v>442</v>
      </c>
      <c r="C935" t="s">
        <v>194</v>
      </c>
      <c r="D935" t="s">
        <v>50</v>
      </c>
      <c r="E935" t="s">
        <v>195</v>
      </c>
      <c r="F935">
        <v>4046</v>
      </c>
      <c r="G935">
        <v>0</v>
      </c>
      <c r="H935">
        <v>424</v>
      </c>
      <c r="I935">
        <v>263</v>
      </c>
      <c r="J935">
        <v>0</v>
      </c>
      <c r="K935">
        <v>32</v>
      </c>
      <c r="L935">
        <v>278</v>
      </c>
      <c r="M935">
        <v>0</v>
      </c>
      <c r="N935">
        <v>0</v>
      </c>
      <c r="O935">
        <v>9</v>
      </c>
      <c r="P935">
        <v>0</v>
      </c>
      <c r="Q935">
        <v>0</v>
      </c>
      <c r="R935">
        <v>10</v>
      </c>
      <c r="S935">
        <v>0</v>
      </c>
      <c r="T935">
        <v>1017</v>
      </c>
      <c r="U935">
        <v>0</v>
      </c>
      <c r="V935">
        <v>0</v>
      </c>
      <c r="W935">
        <v>72</v>
      </c>
      <c r="X935">
        <f>NHS_AE_2024_2025[[#This Row],[A&amp;E attendances Type 1]]+
NHS_AE_2024_2025[[#This Row],[A&amp;E attendances Type 2]]+
NHS_AE_2024_2025[[#This Row],[A&amp;E attendances Other A&amp;E Department]]</f>
        <v>4470</v>
      </c>
      <c r="Y935">
        <f t="shared" si="28"/>
        <v>278</v>
      </c>
      <c r="Z935">
        <f t="shared" si="29"/>
        <v>1089</v>
      </c>
    </row>
    <row r="936" spans="1:26" x14ac:dyDescent="0.2">
      <c r="A936" t="s">
        <v>441</v>
      </c>
      <c r="B936" t="s">
        <v>442</v>
      </c>
      <c r="C936" t="s">
        <v>296</v>
      </c>
      <c r="D936" t="s">
        <v>70</v>
      </c>
      <c r="E936" t="s">
        <v>297</v>
      </c>
      <c r="F936">
        <v>11834</v>
      </c>
      <c r="G936">
        <v>0</v>
      </c>
      <c r="H936">
        <v>13927</v>
      </c>
      <c r="I936">
        <v>1055</v>
      </c>
      <c r="J936">
        <v>0</v>
      </c>
      <c r="K936">
        <v>650</v>
      </c>
      <c r="L936">
        <v>6231</v>
      </c>
      <c r="M936">
        <v>0</v>
      </c>
      <c r="N936">
        <v>288</v>
      </c>
      <c r="O936">
        <v>0</v>
      </c>
      <c r="P936">
        <v>0</v>
      </c>
      <c r="Q936">
        <v>0</v>
      </c>
      <c r="R936">
        <v>980</v>
      </c>
      <c r="S936">
        <v>885</v>
      </c>
      <c r="T936">
        <v>6166</v>
      </c>
      <c r="U936">
        <v>0</v>
      </c>
      <c r="V936">
        <v>413</v>
      </c>
      <c r="W936">
        <v>1107</v>
      </c>
      <c r="X936">
        <f>NHS_AE_2024_2025[[#This Row],[A&amp;E attendances Type 1]]+
NHS_AE_2024_2025[[#This Row],[A&amp;E attendances Type 2]]+
NHS_AE_2024_2025[[#This Row],[A&amp;E attendances Other A&amp;E Department]]</f>
        <v>25761</v>
      </c>
      <c r="Y936">
        <f t="shared" si="28"/>
        <v>6519</v>
      </c>
      <c r="Z936">
        <f t="shared" si="29"/>
        <v>7686</v>
      </c>
    </row>
    <row r="937" spans="1:26" x14ac:dyDescent="0.2">
      <c r="A937" t="s">
        <v>441</v>
      </c>
      <c r="B937" t="s">
        <v>442</v>
      </c>
      <c r="C937" t="s">
        <v>364</v>
      </c>
      <c r="D937" t="s">
        <v>37</v>
      </c>
      <c r="E937" t="s">
        <v>365</v>
      </c>
      <c r="F937">
        <v>0</v>
      </c>
      <c r="G937">
        <v>0</v>
      </c>
      <c r="H937">
        <v>11327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87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</v>
      </c>
      <c r="X937">
        <f>NHS_AE_2024_2025[[#This Row],[A&amp;E attendances Type 1]]+
NHS_AE_2024_2025[[#This Row],[A&amp;E attendances Type 2]]+
NHS_AE_2024_2025[[#This Row],[A&amp;E attendances Other A&amp;E Department]]</f>
        <v>11327</v>
      </c>
      <c r="Y937">
        <f t="shared" si="28"/>
        <v>87</v>
      </c>
      <c r="Z937">
        <f t="shared" si="29"/>
        <v>3</v>
      </c>
    </row>
    <row r="938" spans="1:26" x14ac:dyDescent="0.2">
      <c r="A938" t="s">
        <v>441</v>
      </c>
      <c r="B938" t="s">
        <v>442</v>
      </c>
      <c r="C938" t="s">
        <v>196</v>
      </c>
      <c r="D938" t="s">
        <v>37</v>
      </c>
      <c r="E938" t="s">
        <v>197</v>
      </c>
      <c r="F938">
        <v>22829</v>
      </c>
      <c r="G938">
        <v>927</v>
      </c>
      <c r="H938">
        <v>12305</v>
      </c>
      <c r="I938">
        <v>0</v>
      </c>
      <c r="J938">
        <v>0</v>
      </c>
      <c r="K938">
        <v>0</v>
      </c>
      <c r="L938">
        <v>8728</v>
      </c>
      <c r="M938">
        <v>4</v>
      </c>
      <c r="N938">
        <v>224</v>
      </c>
      <c r="O938">
        <v>0</v>
      </c>
      <c r="P938">
        <v>0</v>
      </c>
      <c r="Q938">
        <v>0</v>
      </c>
      <c r="R938">
        <v>1745</v>
      </c>
      <c r="S938">
        <v>633</v>
      </c>
      <c r="T938">
        <v>6324</v>
      </c>
      <c r="U938">
        <v>0</v>
      </c>
      <c r="V938">
        <v>0</v>
      </c>
      <c r="W938">
        <v>102</v>
      </c>
      <c r="X938">
        <f>NHS_AE_2024_2025[[#This Row],[A&amp;E attendances Type 1]]+
NHS_AE_2024_2025[[#This Row],[A&amp;E attendances Type 2]]+
NHS_AE_2024_2025[[#This Row],[A&amp;E attendances Other A&amp;E Department]]</f>
        <v>36061</v>
      </c>
      <c r="Y938">
        <f t="shared" si="28"/>
        <v>8956</v>
      </c>
      <c r="Z938">
        <f t="shared" si="29"/>
        <v>6426</v>
      </c>
    </row>
    <row r="939" spans="1:26" x14ac:dyDescent="0.2">
      <c r="A939" t="s">
        <v>441</v>
      </c>
      <c r="B939" t="s">
        <v>442</v>
      </c>
      <c r="C939" t="s">
        <v>384</v>
      </c>
      <c r="D939" t="s">
        <v>55</v>
      </c>
      <c r="E939" t="s">
        <v>385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173</v>
      </c>
      <c r="X939">
        <f>NHS_AE_2024_2025[[#This Row],[A&amp;E attendances Type 1]]+
NHS_AE_2024_2025[[#This Row],[A&amp;E attendances Type 2]]+
NHS_AE_2024_2025[[#This Row],[A&amp;E attendances Other A&amp;E Department]]</f>
        <v>0</v>
      </c>
      <c r="Y939">
        <f t="shared" si="28"/>
        <v>0</v>
      </c>
      <c r="Z939">
        <f t="shared" si="29"/>
        <v>173</v>
      </c>
    </row>
    <row r="940" spans="1:26" x14ac:dyDescent="0.2">
      <c r="A940" t="s">
        <v>441</v>
      </c>
      <c r="B940" t="s">
        <v>442</v>
      </c>
      <c r="C940" t="s">
        <v>298</v>
      </c>
      <c r="D940" t="s">
        <v>32</v>
      </c>
      <c r="E940" t="s">
        <v>299</v>
      </c>
      <c r="F940">
        <v>6401</v>
      </c>
      <c r="G940">
        <v>0</v>
      </c>
      <c r="H940">
        <v>5595</v>
      </c>
      <c r="I940">
        <v>355</v>
      </c>
      <c r="J940">
        <v>0</v>
      </c>
      <c r="K940">
        <v>150</v>
      </c>
      <c r="L940">
        <v>3389</v>
      </c>
      <c r="M940">
        <v>0</v>
      </c>
      <c r="N940">
        <v>289</v>
      </c>
      <c r="O940">
        <v>152</v>
      </c>
      <c r="P940">
        <v>0</v>
      </c>
      <c r="Q940">
        <v>27</v>
      </c>
      <c r="R940">
        <v>1224</v>
      </c>
      <c r="S940">
        <v>392</v>
      </c>
      <c r="T940">
        <v>2712</v>
      </c>
      <c r="U940">
        <v>0</v>
      </c>
      <c r="V940">
        <v>312</v>
      </c>
      <c r="W940">
        <v>694</v>
      </c>
      <c r="X940">
        <f>NHS_AE_2024_2025[[#This Row],[A&amp;E attendances Type 1]]+
NHS_AE_2024_2025[[#This Row],[A&amp;E attendances Type 2]]+
NHS_AE_2024_2025[[#This Row],[A&amp;E attendances Other A&amp;E Department]]</f>
        <v>11996</v>
      </c>
      <c r="Y940">
        <f t="shared" si="28"/>
        <v>3678</v>
      </c>
      <c r="Z940">
        <f t="shared" si="29"/>
        <v>3718</v>
      </c>
    </row>
    <row r="941" spans="1:26" x14ac:dyDescent="0.2">
      <c r="A941" t="s">
        <v>441</v>
      </c>
      <c r="B941" t="s">
        <v>442</v>
      </c>
      <c r="C941" t="s">
        <v>244</v>
      </c>
      <c r="D941" t="s">
        <v>70</v>
      </c>
      <c r="E941" t="s">
        <v>245</v>
      </c>
      <c r="F941">
        <v>14196</v>
      </c>
      <c r="G941">
        <v>0</v>
      </c>
      <c r="H941">
        <v>3919</v>
      </c>
      <c r="I941">
        <v>356</v>
      </c>
      <c r="J941">
        <v>0</v>
      </c>
      <c r="K941">
        <v>517</v>
      </c>
      <c r="L941">
        <v>6058</v>
      </c>
      <c r="M941">
        <v>0</v>
      </c>
      <c r="N941">
        <v>143</v>
      </c>
      <c r="O941">
        <v>104</v>
      </c>
      <c r="P941">
        <v>0</v>
      </c>
      <c r="Q941">
        <v>8</v>
      </c>
      <c r="R941">
        <v>584</v>
      </c>
      <c r="S941">
        <v>883</v>
      </c>
      <c r="T941">
        <v>3744</v>
      </c>
      <c r="U941">
        <v>0</v>
      </c>
      <c r="V941">
        <v>48</v>
      </c>
      <c r="W941">
        <v>1647</v>
      </c>
      <c r="X941">
        <f>NHS_AE_2024_2025[[#This Row],[A&amp;E attendances Type 1]]+
NHS_AE_2024_2025[[#This Row],[A&amp;E attendances Type 2]]+
NHS_AE_2024_2025[[#This Row],[A&amp;E attendances Other A&amp;E Department]]</f>
        <v>18115</v>
      </c>
      <c r="Y941">
        <f t="shared" si="28"/>
        <v>6201</v>
      </c>
      <c r="Z941">
        <f t="shared" si="29"/>
        <v>5439</v>
      </c>
    </row>
    <row r="942" spans="1:26" x14ac:dyDescent="0.2">
      <c r="A942" t="s">
        <v>441</v>
      </c>
      <c r="B942" t="s">
        <v>442</v>
      </c>
      <c r="C942" t="s">
        <v>382</v>
      </c>
      <c r="D942" t="s">
        <v>26</v>
      </c>
      <c r="E942" t="s">
        <v>383</v>
      </c>
      <c r="F942">
        <v>11562</v>
      </c>
      <c r="G942">
        <v>0</v>
      </c>
      <c r="H942">
        <v>9286</v>
      </c>
      <c r="I942">
        <v>0</v>
      </c>
      <c r="J942">
        <v>0</v>
      </c>
      <c r="K942">
        <v>1</v>
      </c>
      <c r="L942">
        <v>5403</v>
      </c>
      <c r="M942">
        <v>0</v>
      </c>
      <c r="N942">
        <v>133</v>
      </c>
      <c r="O942">
        <v>0</v>
      </c>
      <c r="P942">
        <v>0</v>
      </c>
      <c r="Q942">
        <v>0</v>
      </c>
      <c r="R942">
        <v>830</v>
      </c>
      <c r="S942">
        <v>329</v>
      </c>
      <c r="T942">
        <v>2994</v>
      </c>
      <c r="U942">
        <v>0</v>
      </c>
      <c r="V942">
        <v>0</v>
      </c>
      <c r="W942">
        <v>1761</v>
      </c>
      <c r="X942">
        <f>NHS_AE_2024_2025[[#This Row],[A&amp;E attendances Type 1]]+
NHS_AE_2024_2025[[#This Row],[A&amp;E attendances Type 2]]+
NHS_AE_2024_2025[[#This Row],[A&amp;E attendances Other A&amp;E Department]]</f>
        <v>20848</v>
      </c>
      <c r="Y942">
        <f t="shared" si="28"/>
        <v>5536</v>
      </c>
      <c r="Z942">
        <f t="shared" si="29"/>
        <v>4755</v>
      </c>
    </row>
    <row r="943" spans="1:26" x14ac:dyDescent="0.2">
      <c r="A943" t="s">
        <v>441</v>
      </c>
      <c r="B943" t="s">
        <v>442</v>
      </c>
      <c r="C943" t="s">
        <v>404</v>
      </c>
      <c r="D943" t="s">
        <v>26</v>
      </c>
      <c r="E943" t="s">
        <v>405</v>
      </c>
      <c r="F943">
        <v>11393</v>
      </c>
      <c r="G943">
        <v>0</v>
      </c>
      <c r="H943">
        <v>4152</v>
      </c>
      <c r="I943">
        <v>1181</v>
      </c>
      <c r="J943">
        <v>0</v>
      </c>
      <c r="K943">
        <v>88</v>
      </c>
      <c r="L943">
        <v>5065</v>
      </c>
      <c r="M943">
        <v>0</v>
      </c>
      <c r="N943">
        <v>5</v>
      </c>
      <c r="O943">
        <v>420</v>
      </c>
      <c r="P943">
        <v>0</v>
      </c>
      <c r="Q943">
        <v>1</v>
      </c>
      <c r="R943">
        <v>1774</v>
      </c>
      <c r="S943">
        <v>261</v>
      </c>
      <c r="T943">
        <v>3644</v>
      </c>
      <c r="U943">
        <v>0</v>
      </c>
      <c r="V943">
        <v>0</v>
      </c>
      <c r="W943">
        <v>1948</v>
      </c>
      <c r="X943">
        <f>NHS_AE_2024_2025[[#This Row],[A&amp;E attendances Type 1]]+
NHS_AE_2024_2025[[#This Row],[A&amp;E attendances Type 2]]+
NHS_AE_2024_2025[[#This Row],[A&amp;E attendances Other A&amp;E Department]]</f>
        <v>15545</v>
      </c>
      <c r="Y943">
        <f t="shared" si="28"/>
        <v>5070</v>
      </c>
      <c r="Z943">
        <f t="shared" si="29"/>
        <v>5592</v>
      </c>
    </row>
    <row r="944" spans="1:26" x14ac:dyDescent="0.2">
      <c r="A944" t="s">
        <v>441</v>
      </c>
      <c r="B944" t="s">
        <v>442</v>
      </c>
      <c r="C944" t="s">
        <v>300</v>
      </c>
      <c r="D944" t="s">
        <v>37</v>
      </c>
      <c r="E944" t="s">
        <v>301</v>
      </c>
      <c r="F944">
        <v>11405</v>
      </c>
      <c r="G944">
        <v>1085</v>
      </c>
      <c r="H944">
        <v>0</v>
      </c>
      <c r="I944">
        <v>323</v>
      </c>
      <c r="J944">
        <v>0</v>
      </c>
      <c r="K944">
        <v>0</v>
      </c>
      <c r="L944">
        <v>4425</v>
      </c>
      <c r="M944">
        <v>80</v>
      </c>
      <c r="N944">
        <v>0</v>
      </c>
      <c r="O944">
        <v>122</v>
      </c>
      <c r="P944">
        <v>0</v>
      </c>
      <c r="Q944">
        <v>0</v>
      </c>
      <c r="R944">
        <v>506</v>
      </c>
      <c r="S944">
        <v>14</v>
      </c>
      <c r="T944">
        <v>4061</v>
      </c>
      <c r="U944">
        <v>8</v>
      </c>
      <c r="V944">
        <v>0</v>
      </c>
      <c r="W944">
        <v>1762</v>
      </c>
      <c r="X944">
        <f>NHS_AE_2024_2025[[#This Row],[A&amp;E attendances Type 1]]+
NHS_AE_2024_2025[[#This Row],[A&amp;E attendances Type 2]]+
NHS_AE_2024_2025[[#This Row],[A&amp;E attendances Other A&amp;E Department]]</f>
        <v>12490</v>
      </c>
      <c r="Y944">
        <f t="shared" si="28"/>
        <v>4505</v>
      </c>
      <c r="Z944">
        <f t="shared" si="29"/>
        <v>5831</v>
      </c>
    </row>
    <row r="945" spans="1:26" x14ac:dyDescent="0.2">
      <c r="A945" t="s">
        <v>441</v>
      </c>
      <c r="B945" t="s">
        <v>442</v>
      </c>
      <c r="C945" t="s">
        <v>302</v>
      </c>
      <c r="D945" t="s">
        <v>29</v>
      </c>
      <c r="E945" t="s">
        <v>303</v>
      </c>
      <c r="F945">
        <v>9690</v>
      </c>
      <c r="G945">
        <v>724</v>
      </c>
      <c r="H945">
        <v>6461</v>
      </c>
      <c r="I945">
        <v>0</v>
      </c>
      <c r="J945">
        <v>0</v>
      </c>
      <c r="K945">
        <v>0</v>
      </c>
      <c r="L945">
        <v>3843</v>
      </c>
      <c r="M945">
        <v>20</v>
      </c>
      <c r="N945">
        <v>141</v>
      </c>
      <c r="O945">
        <v>0</v>
      </c>
      <c r="P945">
        <v>0</v>
      </c>
      <c r="Q945">
        <v>0</v>
      </c>
      <c r="R945">
        <v>174</v>
      </c>
      <c r="S945">
        <v>71</v>
      </c>
      <c r="T945">
        <v>2114</v>
      </c>
      <c r="U945">
        <v>0</v>
      </c>
      <c r="V945">
        <v>0</v>
      </c>
      <c r="W945">
        <v>358</v>
      </c>
      <c r="X945">
        <f>NHS_AE_2024_2025[[#This Row],[A&amp;E attendances Type 1]]+
NHS_AE_2024_2025[[#This Row],[A&amp;E attendances Type 2]]+
NHS_AE_2024_2025[[#This Row],[A&amp;E attendances Other A&amp;E Department]]</f>
        <v>16875</v>
      </c>
      <c r="Y945">
        <f t="shared" si="28"/>
        <v>4004</v>
      </c>
      <c r="Z945">
        <f t="shared" si="29"/>
        <v>2472</v>
      </c>
    </row>
    <row r="946" spans="1:26" x14ac:dyDescent="0.2">
      <c r="A946" t="s">
        <v>441</v>
      </c>
      <c r="B946" t="s">
        <v>442</v>
      </c>
      <c r="C946" t="s">
        <v>304</v>
      </c>
      <c r="D946" t="s">
        <v>29</v>
      </c>
      <c r="E946" t="s">
        <v>305</v>
      </c>
      <c r="F946">
        <v>12997</v>
      </c>
      <c r="G946">
        <v>0</v>
      </c>
      <c r="H946">
        <v>5212</v>
      </c>
      <c r="I946">
        <v>0</v>
      </c>
      <c r="J946">
        <v>0</v>
      </c>
      <c r="K946">
        <v>0</v>
      </c>
      <c r="L946">
        <v>5139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289</v>
      </c>
      <c r="S946">
        <v>441</v>
      </c>
      <c r="T946">
        <v>1209</v>
      </c>
      <c r="U946">
        <v>0</v>
      </c>
      <c r="V946">
        <v>0</v>
      </c>
      <c r="W946">
        <v>167</v>
      </c>
      <c r="X946">
        <f>NHS_AE_2024_2025[[#This Row],[A&amp;E attendances Type 1]]+
NHS_AE_2024_2025[[#This Row],[A&amp;E attendances Type 2]]+
NHS_AE_2024_2025[[#This Row],[A&amp;E attendances Other A&amp;E Department]]</f>
        <v>18209</v>
      </c>
      <c r="Y946">
        <f t="shared" si="28"/>
        <v>5139</v>
      </c>
      <c r="Z946">
        <f t="shared" si="29"/>
        <v>1376</v>
      </c>
    </row>
    <row r="947" spans="1:26" x14ac:dyDescent="0.2">
      <c r="A947" t="s">
        <v>441</v>
      </c>
      <c r="B947" t="s">
        <v>442</v>
      </c>
      <c r="C947" t="s">
        <v>200</v>
      </c>
      <c r="D947" t="s">
        <v>32</v>
      </c>
      <c r="E947" t="s">
        <v>201</v>
      </c>
      <c r="F947">
        <v>13301</v>
      </c>
      <c r="G947">
        <v>490</v>
      </c>
      <c r="H947">
        <v>7890</v>
      </c>
      <c r="I947">
        <v>790</v>
      </c>
      <c r="J947">
        <v>0</v>
      </c>
      <c r="K947">
        <v>627</v>
      </c>
      <c r="L947">
        <v>7150</v>
      </c>
      <c r="M947">
        <v>0</v>
      </c>
      <c r="N947">
        <v>236</v>
      </c>
      <c r="O947">
        <v>360</v>
      </c>
      <c r="P947">
        <v>0</v>
      </c>
      <c r="Q947">
        <v>20</v>
      </c>
      <c r="R947">
        <v>915</v>
      </c>
      <c r="S947">
        <v>1318</v>
      </c>
      <c r="T947">
        <v>5493</v>
      </c>
      <c r="U947">
        <v>0</v>
      </c>
      <c r="V947">
        <v>0</v>
      </c>
      <c r="W947">
        <v>3127</v>
      </c>
      <c r="X947">
        <f>NHS_AE_2024_2025[[#This Row],[A&amp;E attendances Type 1]]+
NHS_AE_2024_2025[[#This Row],[A&amp;E attendances Type 2]]+
NHS_AE_2024_2025[[#This Row],[A&amp;E attendances Other A&amp;E Department]]</f>
        <v>21681</v>
      </c>
      <c r="Y947">
        <f t="shared" si="28"/>
        <v>7386</v>
      </c>
      <c r="Z947">
        <f t="shared" si="29"/>
        <v>8620</v>
      </c>
    </row>
    <row r="948" spans="1:26" x14ac:dyDescent="0.2">
      <c r="A948" t="s">
        <v>441</v>
      </c>
      <c r="B948" t="s">
        <v>442</v>
      </c>
      <c r="C948" t="s">
        <v>408</v>
      </c>
      <c r="D948" t="s">
        <v>50</v>
      </c>
      <c r="E948" t="s">
        <v>409</v>
      </c>
      <c r="F948">
        <v>8659</v>
      </c>
      <c r="G948">
        <v>0</v>
      </c>
      <c r="H948">
        <v>6622</v>
      </c>
      <c r="I948">
        <v>0</v>
      </c>
      <c r="J948">
        <v>0</v>
      </c>
      <c r="K948">
        <v>443</v>
      </c>
      <c r="L948">
        <v>4696</v>
      </c>
      <c r="M948">
        <v>0</v>
      </c>
      <c r="N948">
        <v>47</v>
      </c>
      <c r="O948">
        <v>0</v>
      </c>
      <c r="P948">
        <v>0</v>
      </c>
      <c r="Q948">
        <v>7</v>
      </c>
      <c r="R948">
        <v>544</v>
      </c>
      <c r="S948">
        <v>1018</v>
      </c>
      <c r="T948">
        <v>5519</v>
      </c>
      <c r="U948">
        <v>0</v>
      </c>
      <c r="V948">
        <v>0</v>
      </c>
      <c r="W948">
        <v>452</v>
      </c>
      <c r="X948">
        <f>NHS_AE_2024_2025[[#This Row],[A&amp;E attendances Type 1]]+
NHS_AE_2024_2025[[#This Row],[A&amp;E attendances Type 2]]+
NHS_AE_2024_2025[[#This Row],[A&amp;E attendances Other A&amp;E Department]]</f>
        <v>15281</v>
      </c>
      <c r="Y948">
        <f t="shared" si="28"/>
        <v>4743</v>
      </c>
      <c r="Z948">
        <f t="shared" si="29"/>
        <v>5971</v>
      </c>
    </row>
    <row r="949" spans="1:26" x14ac:dyDescent="0.2">
      <c r="A949" t="s">
        <v>441</v>
      </c>
      <c r="B949" t="s">
        <v>442</v>
      </c>
      <c r="C949" t="s">
        <v>156</v>
      </c>
      <c r="D949" t="s">
        <v>29</v>
      </c>
      <c r="E949" t="s">
        <v>157</v>
      </c>
      <c r="F949">
        <v>15093</v>
      </c>
      <c r="G949">
        <v>0</v>
      </c>
      <c r="H949">
        <v>8699</v>
      </c>
      <c r="I949">
        <v>56</v>
      </c>
      <c r="J949">
        <v>0</v>
      </c>
      <c r="K949">
        <v>1335</v>
      </c>
      <c r="L949">
        <v>7166</v>
      </c>
      <c r="M949">
        <v>0</v>
      </c>
      <c r="N949">
        <v>387</v>
      </c>
      <c r="O949">
        <v>20</v>
      </c>
      <c r="P949">
        <v>0</v>
      </c>
      <c r="Q949">
        <v>0</v>
      </c>
      <c r="R949">
        <v>1419</v>
      </c>
      <c r="S949">
        <v>1279</v>
      </c>
      <c r="T949">
        <v>3632</v>
      </c>
      <c r="U949">
        <v>0</v>
      </c>
      <c r="V949">
        <v>0</v>
      </c>
      <c r="W949">
        <v>366</v>
      </c>
      <c r="X949">
        <f>NHS_AE_2024_2025[[#This Row],[A&amp;E attendances Type 1]]+
NHS_AE_2024_2025[[#This Row],[A&amp;E attendances Type 2]]+
NHS_AE_2024_2025[[#This Row],[A&amp;E attendances Other A&amp;E Department]]</f>
        <v>23792</v>
      </c>
      <c r="Y949">
        <f t="shared" si="28"/>
        <v>7553</v>
      </c>
      <c r="Z949">
        <f t="shared" si="29"/>
        <v>3998</v>
      </c>
    </row>
    <row r="950" spans="1:26" x14ac:dyDescent="0.2">
      <c r="A950" t="s">
        <v>441</v>
      </c>
      <c r="B950" t="s">
        <v>442</v>
      </c>
      <c r="C950" t="s">
        <v>250</v>
      </c>
      <c r="D950" t="s">
        <v>32</v>
      </c>
      <c r="E950" t="s">
        <v>251</v>
      </c>
      <c r="F950">
        <v>10068</v>
      </c>
      <c r="G950">
        <v>0</v>
      </c>
      <c r="H950">
        <v>5348</v>
      </c>
      <c r="I950">
        <v>379</v>
      </c>
      <c r="J950">
        <v>0</v>
      </c>
      <c r="K950">
        <v>167</v>
      </c>
      <c r="L950">
        <v>4836</v>
      </c>
      <c r="M950">
        <v>0</v>
      </c>
      <c r="N950">
        <v>479</v>
      </c>
      <c r="O950">
        <v>211</v>
      </c>
      <c r="P950">
        <v>0</v>
      </c>
      <c r="Q950">
        <v>9</v>
      </c>
      <c r="R950">
        <v>898</v>
      </c>
      <c r="S950">
        <v>189</v>
      </c>
      <c r="T950">
        <v>3786</v>
      </c>
      <c r="U950">
        <v>0</v>
      </c>
      <c r="V950">
        <v>0</v>
      </c>
      <c r="W950">
        <v>256</v>
      </c>
      <c r="X950">
        <f>NHS_AE_2024_2025[[#This Row],[A&amp;E attendances Type 1]]+
NHS_AE_2024_2025[[#This Row],[A&amp;E attendances Type 2]]+
NHS_AE_2024_2025[[#This Row],[A&amp;E attendances Other A&amp;E Department]]</f>
        <v>15416</v>
      </c>
      <c r="Y950">
        <f t="shared" si="28"/>
        <v>5315</v>
      </c>
      <c r="Z950">
        <f t="shared" si="29"/>
        <v>4042</v>
      </c>
    </row>
    <row r="951" spans="1:26" x14ac:dyDescent="0.2">
      <c r="A951" t="s">
        <v>441</v>
      </c>
      <c r="B951" t="s">
        <v>442</v>
      </c>
      <c r="C951" t="s">
        <v>312</v>
      </c>
      <c r="D951" t="s">
        <v>32</v>
      </c>
      <c r="E951" t="s">
        <v>313</v>
      </c>
      <c r="F951">
        <v>11610</v>
      </c>
      <c r="G951">
        <v>1525</v>
      </c>
      <c r="H951">
        <v>6128</v>
      </c>
      <c r="I951">
        <v>0</v>
      </c>
      <c r="J951">
        <v>0</v>
      </c>
      <c r="K951">
        <v>0</v>
      </c>
      <c r="L951">
        <v>5201</v>
      </c>
      <c r="M951">
        <v>151</v>
      </c>
      <c r="N951">
        <v>184</v>
      </c>
      <c r="O951">
        <v>0</v>
      </c>
      <c r="P951">
        <v>0</v>
      </c>
      <c r="Q951">
        <v>0</v>
      </c>
      <c r="R951">
        <v>96</v>
      </c>
      <c r="S951">
        <v>30</v>
      </c>
      <c r="T951">
        <v>1779</v>
      </c>
      <c r="U951">
        <v>40</v>
      </c>
      <c r="V951">
        <v>71</v>
      </c>
      <c r="W951">
        <v>661</v>
      </c>
      <c r="X951">
        <f>NHS_AE_2024_2025[[#This Row],[A&amp;E attendances Type 1]]+
NHS_AE_2024_2025[[#This Row],[A&amp;E attendances Type 2]]+
NHS_AE_2024_2025[[#This Row],[A&amp;E attendances Other A&amp;E Department]]</f>
        <v>19263</v>
      </c>
      <c r="Y951">
        <f t="shared" si="28"/>
        <v>5536</v>
      </c>
      <c r="Z951">
        <f t="shared" si="29"/>
        <v>2551</v>
      </c>
    </row>
    <row r="952" spans="1:26" x14ac:dyDescent="0.2">
      <c r="A952" t="s">
        <v>441</v>
      </c>
      <c r="B952" t="s">
        <v>442</v>
      </c>
      <c r="C952" t="s">
        <v>372</v>
      </c>
      <c r="D952" t="s">
        <v>29</v>
      </c>
      <c r="E952" t="s">
        <v>373</v>
      </c>
      <c r="F952">
        <v>9061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2865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131</v>
      </c>
      <c r="S952">
        <v>466</v>
      </c>
      <c r="T952">
        <v>1137</v>
      </c>
      <c r="U952">
        <v>0</v>
      </c>
      <c r="V952">
        <v>0</v>
      </c>
      <c r="W952">
        <v>48</v>
      </c>
      <c r="X952">
        <f>NHS_AE_2024_2025[[#This Row],[A&amp;E attendances Type 1]]+
NHS_AE_2024_2025[[#This Row],[A&amp;E attendances Type 2]]+
NHS_AE_2024_2025[[#This Row],[A&amp;E attendances Other A&amp;E Department]]</f>
        <v>9061</v>
      </c>
      <c r="Y952">
        <f t="shared" si="28"/>
        <v>2865</v>
      </c>
      <c r="Z952">
        <f t="shared" si="29"/>
        <v>1185</v>
      </c>
    </row>
    <row r="953" spans="1:26" x14ac:dyDescent="0.2">
      <c r="A953" t="s">
        <v>441</v>
      </c>
      <c r="B953" t="s">
        <v>442</v>
      </c>
      <c r="C953" t="s">
        <v>314</v>
      </c>
      <c r="D953" t="s">
        <v>32</v>
      </c>
      <c r="E953" t="s">
        <v>315</v>
      </c>
      <c r="F953">
        <v>6748</v>
      </c>
      <c r="G953">
        <v>0</v>
      </c>
      <c r="H953">
        <v>1527</v>
      </c>
      <c r="I953">
        <v>0</v>
      </c>
      <c r="J953">
        <v>0</v>
      </c>
      <c r="K953">
        <v>0</v>
      </c>
      <c r="L953">
        <v>2378</v>
      </c>
      <c r="M953">
        <v>0</v>
      </c>
      <c r="N953">
        <v>19</v>
      </c>
      <c r="O953">
        <v>0</v>
      </c>
      <c r="P953">
        <v>0</v>
      </c>
      <c r="Q953">
        <v>0</v>
      </c>
      <c r="R953">
        <v>566</v>
      </c>
      <c r="S953">
        <v>224</v>
      </c>
      <c r="T953">
        <v>1130</v>
      </c>
      <c r="U953">
        <v>0</v>
      </c>
      <c r="V953">
        <v>0</v>
      </c>
      <c r="W953">
        <v>0</v>
      </c>
      <c r="X953">
        <f>NHS_AE_2024_2025[[#This Row],[A&amp;E attendances Type 1]]+
NHS_AE_2024_2025[[#This Row],[A&amp;E attendances Type 2]]+
NHS_AE_2024_2025[[#This Row],[A&amp;E attendances Other A&amp;E Department]]</f>
        <v>8275</v>
      </c>
      <c r="Y953">
        <f t="shared" si="28"/>
        <v>2397</v>
      </c>
      <c r="Z953">
        <f t="shared" si="29"/>
        <v>1130</v>
      </c>
    </row>
    <row r="954" spans="1:26" x14ac:dyDescent="0.2">
      <c r="A954" t="s">
        <v>441</v>
      </c>
      <c r="B954" t="s">
        <v>442</v>
      </c>
      <c r="C954" t="s">
        <v>418</v>
      </c>
      <c r="D954" t="s">
        <v>55</v>
      </c>
      <c r="E954" t="s">
        <v>419</v>
      </c>
      <c r="F954">
        <v>24521</v>
      </c>
      <c r="G954">
        <v>0</v>
      </c>
      <c r="H954">
        <v>9020</v>
      </c>
      <c r="I954">
        <v>0</v>
      </c>
      <c r="J954">
        <v>0</v>
      </c>
      <c r="K954">
        <v>0</v>
      </c>
      <c r="L954">
        <v>10941</v>
      </c>
      <c r="M954">
        <v>0</v>
      </c>
      <c r="N954">
        <v>424</v>
      </c>
      <c r="O954">
        <v>0</v>
      </c>
      <c r="P954">
        <v>0</v>
      </c>
      <c r="Q954">
        <v>0</v>
      </c>
      <c r="R954">
        <v>1164</v>
      </c>
      <c r="S954">
        <v>1488</v>
      </c>
      <c r="T954">
        <v>7213</v>
      </c>
      <c r="U954">
        <v>0</v>
      </c>
      <c r="V954">
        <v>314</v>
      </c>
      <c r="W954">
        <v>2240</v>
      </c>
      <c r="X954">
        <f>NHS_AE_2024_2025[[#This Row],[A&amp;E attendances Type 1]]+
NHS_AE_2024_2025[[#This Row],[A&amp;E attendances Type 2]]+
NHS_AE_2024_2025[[#This Row],[A&amp;E attendances Other A&amp;E Department]]</f>
        <v>33541</v>
      </c>
      <c r="Y954">
        <f t="shared" si="28"/>
        <v>11365</v>
      </c>
      <c r="Z954">
        <f t="shared" si="29"/>
        <v>9767</v>
      </c>
    </row>
    <row r="955" spans="1:26" x14ac:dyDescent="0.2">
      <c r="A955" t="s">
        <v>441</v>
      </c>
      <c r="B955" t="s">
        <v>442</v>
      </c>
      <c r="C955" t="s">
        <v>390</v>
      </c>
      <c r="D955" t="s">
        <v>26</v>
      </c>
      <c r="E955" t="s">
        <v>391</v>
      </c>
      <c r="F955">
        <v>5176</v>
      </c>
      <c r="G955">
        <v>0</v>
      </c>
      <c r="H955">
        <v>5001</v>
      </c>
      <c r="I955">
        <v>0</v>
      </c>
      <c r="J955">
        <v>0</v>
      </c>
      <c r="K955">
        <v>0</v>
      </c>
      <c r="L955">
        <v>2581</v>
      </c>
      <c r="M955">
        <v>0</v>
      </c>
      <c r="N955">
        <v>109</v>
      </c>
      <c r="O955">
        <v>0</v>
      </c>
      <c r="P955">
        <v>0</v>
      </c>
      <c r="Q955">
        <v>0</v>
      </c>
      <c r="R955">
        <v>422</v>
      </c>
      <c r="S955">
        <v>498</v>
      </c>
      <c r="T955">
        <v>2350</v>
      </c>
      <c r="U955">
        <v>0</v>
      </c>
      <c r="V955">
        <v>0</v>
      </c>
      <c r="W955">
        <v>1424</v>
      </c>
      <c r="X955">
        <f>NHS_AE_2024_2025[[#This Row],[A&amp;E attendances Type 1]]+
NHS_AE_2024_2025[[#This Row],[A&amp;E attendances Type 2]]+
NHS_AE_2024_2025[[#This Row],[A&amp;E attendances Other A&amp;E Department]]</f>
        <v>10177</v>
      </c>
      <c r="Y955">
        <f t="shared" si="28"/>
        <v>2690</v>
      </c>
      <c r="Z955">
        <f t="shared" si="29"/>
        <v>3774</v>
      </c>
    </row>
    <row r="956" spans="1:26" x14ac:dyDescent="0.2">
      <c r="A956" t="s">
        <v>441</v>
      </c>
      <c r="B956" t="s">
        <v>442</v>
      </c>
      <c r="C956" t="s">
        <v>158</v>
      </c>
      <c r="D956" t="s">
        <v>32</v>
      </c>
      <c r="E956" t="s">
        <v>159</v>
      </c>
      <c r="F956">
        <v>8787</v>
      </c>
      <c r="G956">
        <v>0</v>
      </c>
      <c r="H956">
        <v>4176</v>
      </c>
      <c r="I956">
        <v>0</v>
      </c>
      <c r="J956">
        <v>0</v>
      </c>
      <c r="K956">
        <v>735</v>
      </c>
      <c r="L956">
        <v>2924</v>
      </c>
      <c r="M956">
        <v>0</v>
      </c>
      <c r="N956">
        <v>120</v>
      </c>
      <c r="O956">
        <v>0</v>
      </c>
      <c r="P956">
        <v>0</v>
      </c>
      <c r="Q956">
        <v>0</v>
      </c>
      <c r="R956">
        <v>1921</v>
      </c>
      <c r="S956">
        <v>95</v>
      </c>
      <c r="T956">
        <v>3650</v>
      </c>
      <c r="U956">
        <v>0</v>
      </c>
      <c r="V956">
        <v>0</v>
      </c>
      <c r="W956">
        <v>2582</v>
      </c>
      <c r="X956">
        <f>NHS_AE_2024_2025[[#This Row],[A&amp;E attendances Type 1]]+
NHS_AE_2024_2025[[#This Row],[A&amp;E attendances Type 2]]+
NHS_AE_2024_2025[[#This Row],[A&amp;E attendances Other A&amp;E Department]]</f>
        <v>12963</v>
      </c>
      <c r="Y956">
        <f t="shared" si="28"/>
        <v>3044</v>
      </c>
      <c r="Z956">
        <f t="shared" si="29"/>
        <v>6232</v>
      </c>
    </row>
    <row r="957" spans="1:26" x14ac:dyDescent="0.2">
      <c r="A957" t="s">
        <v>441</v>
      </c>
      <c r="B957" t="s">
        <v>442</v>
      </c>
      <c r="C957" t="s">
        <v>254</v>
      </c>
      <c r="D957" t="s">
        <v>50</v>
      </c>
      <c r="E957" t="s">
        <v>255</v>
      </c>
      <c r="F957">
        <v>8129</v>
      </c>
      <c r="G957">
        <v>0</v>
      </c>
      <c r="H957">
        <v>1630</v>
      </c>
      <c r="I957">
        <v>330</v>
      </c>
      <c r="J957">
        <v>0</v>
      </c>
      <c r="K957">
        <v>38</v>
      </c>
      <c r="L957">
        <v>4039</v>
      </c>
      <c r="M957">
        <v>0</v>
      </c>
      <c r="N957">
        <v>30</v>
      </c>
      <c r="O957">
        <v>94</v>
      </c>
      <c r="P957">
        <v>0</v>
      </c>
      <c r="Q957">
        <v>3</v>
      </c>
      <c r="R957">
        <v>770</v>
      </c>
      <c r="S957">
        <v>657</v>
      </c>
      <c r="T957">
        <v>2420</v>
      </c>
      <c r="U957">
        <v>0</v>
      </c>
      <c r="V957">
        <v>0</v>
      </c>
      <c r="W957">
        <v>851</v>
      </c>
      <c r="X957">
        <f>NHS_AE_2024_2025[[#This Row],[A&amp;E attendances Type 1]]+
NHS_AE_2024_2025[[#This Row],[A&amp;E attendances Type 2]]+
NHS_AE_2024_2025[[#This Row],[A&amp;E attendances Other A&amp;E Department]]</f>
        <v>9759</v>
      </c>
      <c r="Y957">
        <f t="shared" si="28"/>
        <v>4069</v>
      </c>
      <c r="Z957">
        <f t="shared" si="29"/>
        <v>3271</v>
      </c>
    </row>
    <row r="958" spans="1:26" x14ac:dyDescent="0.2">
      <c r="A958" t="s">
        <v>441</v>
      </c>
      <c r="B958" t="s">
        <v>442</v>
      </c>
      <c r="C958" t="s">
        <v>322</v>
      </c>
      <c r="D958" t="s">
        <v>50</v>
      </c>
      <c r="E958" t="s">
        <v>323</v>
      </c>
      <c r="F958">
        <v>13236</v>
      </c>
      <c r="G958">
        <v>0</v>
      </c>
      <c r="H958">
        <v>3840</v>
      </c>
      <c r="I958">
        <v>0</v>
      </c>
      <c r="J958">
        <v>0</v>
      </c>
      <c r="K958">
        <v>0</v>
      </c>
      <c r="L958">
        <v>5143</v>
      </c>
      <c r="M958">
        <v>0</v>
      </c>
      <c r="N958">
        <v>5</v>
      </c>
      <c r="O958">
        <v>0</v>
      </c>
      <c r="P958">
        <v>0</v>
      </c>
      <c r="Q958">
        <v>0</v>
      </c>
      <c r="R958">
        <v>1148</v>
      </c>
      <c r="S958">
        <v>255</v>
      </c>
      <c r="T958">
        <v>4208</v>
      </c>
      <c r="U958">
        <v>0</v>
      </c>
      <c r="V958">
        <v>355</v>
      </c>
      <c r="W958">
        <v>1068</v>
      </c>
      <c r="X958">
        <f>NHS_AE_2024_2025[[#This Row],[A&amp;E attendances Type 1]]+
NHS_AE_2024_2025[[#This Row],[A&amp;E attendances Type 2]]+
NHS_AE_2024_2025[[#This Row],[A&amp;E attendances Other A&amp;E Department]]</f>
        <v>17076</v>
      </c>
      <c r="Y958">
        <f t="shared" si="28"/>
        <v>5148</v>
      </c>
      <c r="Z958">
        <f t="shared" si="29"/>
        <v>5631</v>
      </c>
    </row>
    <row r="959" spans="1:26" x14ac:dyDescent="0.2">
      <c r="A959" t="s">
        <v>441</v>
      </c>
      <c r="B959" t="s">
        <v>442</v>
      </c>
      <c r="C959" t="s">
        <v>162</v>
      </c>
      <c r="D959" t="s">
        <v>29</v>
      </c>
      <c r="E959" t="s">
        <v>163</v>
      </c>
      <c r="F959">
        <v>0</v>
      </c>
      <c r="G959">
        <v>5778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117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220</v>
      </c>
      <c r="X959">
        <f>NHS_AE_2024_2025[[#This Row],[A&amp;E attendances Type 1]]+
NHS_AE_2024_2025[[#This Row],[A&amp;E attendances Type 2]]+
NHS_AE_2024_2025[[#This Row],[A&amp;E attendances Other A&amp;E Department]]</f>
        <v>5778</v>
      </c>
      <c r="Y959">
        <f t="shared" si="28"/>
        <v>117</v>
      </c>
      <c r="Z959">
        <f t="shared" si="29"/>
        <v>221</v>
      </c>
    </row>
    <row r="960" spans="1:26" x14ac:dyDescent="0.2">
      <c r="A960" t="s">
        <v>441</v>
      </c>
      <c r="B960" t="s">
        <v>442</v>
      </c>
      <c r="C960" t="s">
        <v>324</v>
      </c>
      <c r="D960" t="s">
        <v>37</v>
      </c>
      <c r="E960" t="s">
        <v>325</v>
      </c>
      <c r="F960">
        <v>8263</v>
      </c>
      <c r="G960">
        <v>0</v>
      </c>
      <c r="H960">
        <v>6752</v>
      </c>
      <c r="I960">
        <v>274</v>
      </c>
      <c r="J960">
        <v>0</v>
      </c>
      <c r="K960">
        <v>1293</v>
      </c>
      <c r="L960">
        <v>3239</v>
      </c>
      <c r="M960">
        <v>0</v>
      </c>
      <c r="N960">
        <v>692</v>
      </c>
      <c r="O960">
        <v>78</v>
      </c>
      <c r="P960">
        <v>0</v>
      </c>
      <c r="Q960">
        <v>0</v>
      </c>
      <c r="R960">
        <v>388</v>
      </c>
      <c r="S960">
        <v>756</v>
      </c>
      <c r="T960">
        <v>1905</v>
      </c>
      <c r="U960">
        <v>0</v>
      </c>
      <c r="V960">
        <v>0</v>
      </c>
      <c r="W960">
        <v>523</v>
      </c>
      <c r="X960">
        <f>NHS_AE_2024_2025[[#This Row],[A&amp;E attendances Type 1]]+
NHS_AE_2024_2025[[#This Row],[A&amp;E attendances Type 2]]+
NHS_AE_2024_2025[[#This Row],[A&amp;E attendances Other A&amp;E Department]]</f>
        <v>15015</v>
      </c>
      <c r="Y960">
        <f t="shared" si="28"/>
        <v>3931</v>
      </c>
      <c r="Z960">
        <f t="shared" si="29"/>
        <v>2428</v>
      </c>
    </row>
    <row r="961" spans="1:26" x14ac:dyDescent="0.2">
      <c r="A961" t="s">
        <v>441</v>
      </c>
      <c r="B961" t="s">
        <v>442</v>
      </c>
      <c r="C961" t="s">
        <v>326</v>
      </c>
      <c r="D961" t="s">
        <v>29</v>
      </c>
      <c r="E961" t="s">
        <v>327</v>
      </c>
      <c r="F961">
        <v>19579</v>
      </c>
      <c r="G961">
        <v>0</v>
      </c>
      <c r="H961">
        <v>6169</v>
      </c>
      <c r="I961">
        <v>621</v>
      </c>
      <c r="J961">
        <v>0</v>
      </c>
      <c r="K961">
        <v>0</v>
      </c>
      <c r="L961">
        <v>6626</v>
      </c>
      <c r="M961">
        <v>0</v>
      </c>
      <c r="N961">
        <v>160</v>
      </c>
      <c r="O961">
        <v>0</v>
      </c>
      <c r="P961">
        <v>0</v>
      </c>
      <c r="Q961">
        <v>0</v>
      </c>
      <c r="R961">
        <v>1454</v>
      </c>
      <c r="S961">
        <v>56</v>
      </c>
      <c r="T961">
        <v>2841</v>
      </c>
      <c r="U961">
        <v>0</v>
      </c>
      <c r="V961">
        <v>0</v>
      </c>
      <c r="W961">
        <v>433</v>
      </c>
      <c r="X961">
        <f>NHS_AE_2024_2025[[#This Row],[A&amp;E attendances Type 1]]+
NHS_AE_2024_2025[[#This Row],[A&amp;E attendances Type 2]]+
NHS_AE_2024_2025[[#This Row],[A&amp;E attendances Other A&amp;E Department]]</f>
        <v>25748</v>
      </c>
      <c r="Y961">
        <f t="shared" si="28"/>
        <v>6786</v>
      </c>
      <c r="Z961">
        <f t="shared" si="29"/>
        <v>3274</v>
      </c>
    </row>
    <row r="962" spans="1:26" x14ac:dyDescent="0.2">
      <c r="A962" t="s">
        <v>441</v>
      </c>
      <c r="B962" t="s">
        <v>442</v>
      </c>
      <c r="C962" t="s">
        <v>330</v>
      </c>
      <c r="D962" t="s">
        <v>50</v>
      </c>
      <c r="E962" t="s">
        <v>331</v>
      </c>
      <c r="F962">
        <v>16895</v>
      </c>
      <c r="G962">
        <v>684</v>
      </c>
      <c r="H962">
        <v>11171</v>
      </c>
      <c r="I962">
        <v>31</v>
      </c>
      <c r="J962">
        <v>0</v>
      </c>
      <c r="K962">
        <v>79</v>
      </c>
      <c r="L962">
        <v>7386</v>
      </c>
      <c r="M962">
        <v>0</v>
      </c>
      <c r="N962">
        <v>98</v>
      </c>
      <c r="O962">
        <v>13</v>
      </c>
      <c r="P962">
        <v>0</v>
      </c>
      <c r="Q962">
        <v>0</v>
      </c>
      <c r="R962">
        <v>1637</v>
      </c>
      <c r="S962">
        <v>679</v>
      </c>
      <c r="T962">
        <v>3763</v>
      </c>
      <c r="U962">
        <v>0</v>
      </c>
      <c r="V962">
        <v>0</v>
      </c>
      <c r="W962">
        <v>1332</v>
      </c>
      <c r="X962">
        <f>NHS_AE_2024_2025[[#This Row],[A&amp;E attendances Type 1]]+
NHS_AE_2024_2025[[#This Row],[A&amp;E attendances Type 2]]+
NHS_AE_2024_2025[[#This Row],[A&amp;E attendances Other A&amp;E Department]]</f>
        <v>28750</v>
      </c>
      <c r="Y962">
        <f t="shared" ref="Y962:Y1025" si="30">L962+M962+N962</f>
        <v>7484</v>
      </c>
      <c r="Z962">
        <f t="shared" ref="Z962:Z1025" si="31">T962+U962+V962+W962</f>
        <v>5095</v>
      </c>
    </row>
    <row r="963" spans="1:26" x14ac:dyDescent="0.2">
      <c r="A963" t="s">
        <v>441</v>
      </c>
      <c r="B963" t="s">
        <v>442</v>
      </c>
      <c r="C963" t="s">
        <v>332</v>
      </c>
      <c r="D963" t="s">
        <v>55</v>
      </c>
      <c r="E963" t="s">
        <v>333</v>
      </c>
      <c r="F963">
        <v>7069</v>
      </c>
      <c r="G963">
        <v>0</v>
      </c>
      <c r="H963">
        <v>4671</v>
      </c>
      <c r="I963">
        <v>0</v>
      </c>
      <c r="J963">
        <v>0</v>
      </c>
      <c r="K963">
        <v>0</v>
      </c>
      <c r="L963">
        <v>3999</v>
      </c>
      <c r="M963">
        <v>0</v>
      </c>
      <c r="N963">
        <v>70</v>
      </c>
      <c r="O963">
        <v>0</v>
      </c>
      <c r="P963">
        <v>0</v>
      </c>
      <c r="Q963">
        <v>0</v>
      </c>
      <c r="R963">
        <v>1163</v>
      </c>
      <c r="S963">
        <v>569</v>
      </c>
      <c r="T963">
        <v>2013</v>
      </c>
      <c r="U963">
        <v>0</v>
      </c>
      <c r="V963">
        <v>0</v>
      </c>
      <c r="W963">
        <v>833</v>
      </c>
      <c r="X963">
        <f>NHS_AE_2024_2025[[#This Row],[A&amp;E attendances Type 1]]+
NHS_AE_2024_2025[[#This Row],[A&amp;E attendances Type 2]]+
NHS_AE_2024_2025[[#This Row],[A&amp;E attendances Other A&amp;E Department]]</f>
        <v>11740</v>
      </c>
      <c r="Y963">
        <f t="shared" si="30"/>
        <v>4069</v>
      </c>
      <c r="Z963">
        <f t="shared" si="31"/>
        <v>2846</v>
      </c>
    </row>
    <row r="964" spans="1:26" x14ac:dyDescent="0.2">
      <c r="A964" t="s">
        <v>441</v>
      </c>
      <c r="B964" t="s">
        <v>442</v>
      </c>
      <c r="C964" t="s">
        <v>88</v>
      </c>
      <c r="D964" t="s">
        <v>29</v>
      </c>
      <c r="E964" t="s">
        <v>89</v>
      </c>
      <c r="F964">
        <v>12580</v>
      </c>
      <c r="G964">
        <v>0</v>
      </c>
      <c r="H964">
        <v>0</v>
      </c>
      <c r="I964">
        <v>481</v>
      </c>
      <c r="J964">
        <v>0</v>
      </c>
      <c r="K964">
        <v>0</v>
      </c>
      <c r="L964">
        <v>3457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394</v>
      </c>
      <c r="S964">
        <v>244</v>
      </c>
      <c r="T964">
        <v>1343</v>
      </c>
      <c r="U964">
        <v>0</v>
      </c>
      <c r="V964">
        <v>0</v>
      </c>
      <c r="W964">
        <v>251</v>
      </c>
      <c r="X964">
        <f>NHS_AE_2024_2025[[#This Row],[A&amp;E attendances Type 1]]+
NHS_AE_2024_2025[[#This Row],[A&amp;E attendances Type 2]]+
NHS_AE_2024_2025[[#This Row],[A&amp;E attendances Other A&amp;E Department]]</f>
        <v>12580</v>
      </c>
      <c r="Y964">
        <f t="shared" si="30"/>
        <v>3457</v>
      </c>
      <c r="Z964">
        <f t="shared" si="31"/>
        <v>1594</v>
      </c>
    </row>
    <row r="965" spans="1:26" x14ac:dyDescent="0.2">
      <c r="A965" t="s">
        <v>441</v>
      </c>
      <c r="B965" t="s">
        <v>442</v>
      </c>
      <c r="C965" t="s">
        <v>334</v>
      </c>
      <c r="D965" t="s">
        <v>26</v>
      </c>
      <c r="E965" t="s">
        <v>335</v>
      </c>
      <c r="F965">
        <v>12179</v>
      </c>
      <c r="G965">
        <v>0</v>
      </c>
      <c r="H965">
        <v>0</v>
      </c>
      <c r="I965">
        <v>199</v>
      </c>
      <c r="J965">
        <v>0</v>
      </c>
      <c r="K965">
        <v>0</v>
      </c>
      <c r="L965">
        <v>4551</v>
      </c>
      <c r="M965">
        <v>0</v>
      </c>
      <c r="N965">
        <v>0</v>
      </c>
      <c r="O965">
        <v>49</v>
      </c>
      <c r="P965">
        <v>0</v>
      </c>
      <c r="Q965">
        <v>0</v>
      </c>
      <c r="R965">
        <v>392</v>
      </c>
      <c r="S965">
        <v>569</v>
      </c>
      <c r="T965">
        <v>2635</v>
      </c>
      <c r="U965">
        <v>0</v>
      </c>
      <c r="V965">
        <v>0</v>
      </c>
      <c r="W965">
        <v>2408</v>
      </c>
      <c r="X965">
        <f>NHS_AE_2024_2025[[#This Row],[A&amp;E attendances Type 1]]+
NHS_AE_2024_2025[[#This Row],[A&amp;E attendances Type 2]]+
NHS_AE_2024_2025[[#This Row],[A&amp;E attendances Other A&amp;E Department]]</f>
        <v>12179</v>
      </c>
      <c r="Y965">
        <f t="shared" si="30"/>
        <v>4551</v>
      </c>
      <c r="Z965">
        <f t="shared" si="31"/>
        <v>5043</v>
      </c>
    </row>
    <row r="966" spans="1:26" x14ac:dyDescent="0.2">
      <c r="A966" t="s">
        <v>441</v>
      </c>
      <c r="B966" t="s">
        <v>442</v>
      </c>
      <c r="C966" t="s">
        <v>210</v>
      </c>
      <c r="D966" t="s">
        <v>26</v>
      </c>
      <c r="E966" t="s">
        <v>211</v>
      </c>
      <c r="F966">
        <v>8183</v>
      </c>
      <c r="G966">
        <v>0</v>
      </c>
      <c r="H966">
        <v>0</v>
      </c>
      <c r="I966">
        <v>19</v>
      </c>
      <c r="J966">
        <v>0</v>
      </c>
      <c r="K966">
        <v>0</v>
      </c>
      <c r="L966">
        <v>3292</v>
      </c>
      <c r="M966">
        <v>0</v>
      </c>
      <c r="N966">
        <v>0</v>
      </c>
      <c r="O966">
        <v>5</v>
      </c>
      <c r="P966">
        <v>0</v>
      </c>
      <c r="Q966">
        <v>0</v>
      </c>
      <c r="R966">
        <v>477</v>
      </c>
      <c r="S966">
        <v>545</v>
      </c>
      <c r="T966">
        <v>2920</v>
      </c>
      <c r="U966">
        <v>0</v>
      </c>
      <c r="V966">
        <v>0</v>
      </c>
      <c r="W966">
        <v>2321</v>
      </c>
      <c r="X966">
        <f>NHS_AE_2024_2025[[#This Row],[A&amp;E attendances Type 1]]+
NHS_AE_2024_2025[[#This Row],[A&amp;E attendances Type 2]]+
NHS_AE_2024_2025[[#This Row],[A&amp;E attendances Other A&amp;E Department]]</f>
        <v>8183</v>
      </c>
      <c r="Y966">
        <f t="shared" si="30"/>
        <v>3292</v>
      </c>
      <c r="Z966">
        <f t="shared" si="31"/>
        <v>5241</v>
      </c>
    </row>
    <row r="967" spans="1:26" x14ac:dyDescent="0.2">
      <c r="A967" t="s">
        <v>441</v>
      </c>
      <c r="B967" t="s">
        <v>442</v>
      </c>
      <c r="C967" t="s">
        <v>340</v>
      </c>
      <c r="D967" t="s">
        <v>29</v>
      </c>
      <c r="E967" t="s">
        <v>341</v>
      </c>
      <c r="F967">
        <v>10516</v>
      </c>
      <c r="G967">
        <v>351</v>
      </c>
      <c r="H967">
        <v>1443</v>
      </c>
      <c r="I967">
        <v>483</v>
      </c>
      <c r="J967">
        <v>0</v>
      </c>
      <c r="K967">
        <v>46</v>
      </c>
      <c r="L967">
        <v>3149</v>
      </c>
      <c r="M967">
        <v>0</v>
      </c>
      <c r="N967">
        <v>50</v>
      </c>
      <c r="O967">
        <v>43</v>
      </c>
      <c r="P967">
        <v>0</v>
      </c>
      <c r="Q967">
        <v>1</v>
      </c>
      <c r="R967">
        <v>251</v>
      </c>
      <c r="S967">
        <v>739</v>
      </c>
      <c r="T967">
        <v>1916</v>
      </c>
      <c r="U967">
        <v>5</v>
      </c>
      <c r="V967">
        <v>0</v>
      </c>
      <c r="W967">
        <v>167</v>
      </c>
      <c r="X967">
        <f>NHS_AE_2024_2025[[#This Row],[A&amp;E attendances Type 1]]+
NHS_AE_2024_2025[[#This Row],[A&amp;E attendances Type 2]]+
NHS_AE_2024_2025[[#This Row],[A&amp;E attendances Other A&amp;E Department]]</f>
        <v>12310</v>
      </c>
      <c r="Y967">
        <f t="shared" si="30"/>
        <v>3199</v>
      </c>
      <c r="Z967">
        <f t="shared" si="31"/>
        <v>2088</v>
      </c>
    </row>
    <row r="968" spans="1:26" x14ac:dyDescent="0.2">
      <c r="A968" t="s">
        <v>441</v>
      </c>
      <c r="B968" t="s">
        <v>442</v>
      </c>
      <c r="C968" t="s">
        <v>342</v>
      </c>
      <c r="D968" t="s">
        <v>37</v>
      </c>
      <c r="E968" t="s">
        <v>343</v>
      </c>
      <c r="F968">
        <v>12952</v>
      </c>
      <c r="G968">
        <v>0</v>
      </c>
      <c r="H968">
        <v>12223</v>
      </c>
      <c r="I968">
        <v>0</v>
      </c>
      <c r="J968">
        <v>0</v>
      </c>
      <c r="K968">
        <v>0</v>
      </c>
      <c r="L968">
        <v>6343</v>
      </c>
      <c r="M968">
        <v>0</v>
      </c>
      <c r="N968">
        <v>357</v>
      </c>
      <c r="O968">
        <v>0</v>
      </c>
      <c r="P968">
        <v>0</v>
      </c>
      <c r="Q968">
        <v>0</v>
      </c>
      <c r="R968">
        <v>446</v>
      </c>
      <c r="S968">
        <v>1380</v>
      </c>
      <c r="T968">
        <v>3056</v>
      </c>
      <c r="U968">
        <v>0</v>
      </c>
      <c r="V968">
        <v>562</v>
      </c>
      <c r="W968">
        <v>511</v>
      </c>
      <c r="X968">
        <f>NHS_AE_2024_2025[[#This Row],[A&amp;E attendances Type 1]]+
NHS_AE_2024_2025[[#This Row],[A&amp;E attendances Type 2]]+
NHS_AE_2024_2025[[#This Row],[A&amp;E attendances Other A&amp;E Department]]</f>
        <v>25175</v>
      </c>
      <c r="Y968">
        <f t="shared" si="30"/>
        <v>6700</v>
      </c>
      <c r="Z968">
        <f t="shared" si="31"/>
        <v>4129</v>
      </c>
    </row>
    <row r="969" spans="1:26" x14ac:dyDescent="0.2">
      <c r="A969" t="s">
        <v>441</v>
      </c>
      <c r="B969" t="s">
        <v>442</v>
      </c>
      <c r="C969" t="s">
        <v>344</v>
      </c>
      <c r="D969" t="s">
        <v>32</v>
      </c>
      <c r="E969" t="s">
        <v>436</v>
      </c>
      <c r="F969">
        <v>15569</v>
      </c>
      <c r="G969">
        <v>0</v>
      </c>
      <c r="H969">
        <v>3568</v>
      </c>
      <c r="I969">
        <v>0</v>
      </c>
      <c r="J969">
        <v>0</v>
      </c>
      <c r="K969">
        <v>0</v>
      </c>
      <c r="L969">
        <v>6284</v>
      </c>
      <c r="M969">
        <v>0</v>
      </c>
      <c r="N969">
        <v>714</v>
      </c>
      <c r="O969">
        <v>0</v>
      </c>
      <c r="P969">
        <v>0</v>
      </c>
      <c r="Q969">
        <v>0</v>
      </c>
      <c r="R969">
        <v>877</v>
      </c>
      <c r="S969">
        <v>1317</v>
      </c>
      <c r="T969">
        <v>4703</v>
      </c>
      <c r="U969">
        <v>0</v>
      </c>
      <c r="V969">
        <v>0</v>
      </c>
      <c r="W969">
        <v>1153</v>
      </c>
      <c r="X969">
        <f>NHS_AE_2024_2025[[#This Row],[A&amp;E attendances Type 1]]+
NHS_AE_2024_2025[[#This Row],[A&amp;E attendances Type 2]]+
NHS_AE_2024_2025[[#This Row],[A&amp;E attendances Other A&amp;E Department]]</f>
        <v>19137</v>
      </c>
      <c r="Y969">
        <f t="shared" si="30"/>
        <v>6998</v>
      </c>
      <c r="Z969">
        <f t="shared" si="31"/>
        <v>5856</v>
      </c>
    </row>
    <row r="970" spans="1:26" x14ac:dyDescent="0.2">
      <c r="A970" t="s">
        <v>441</v>
      </c>
      <c r="B970" t="s">
        <v>442</v>
      </c>
      <c r="C970" t="s">
        <v>346</v>
      </c>
      <c r="D970" t="s">
        <v>70</v>
      </c>
      <c r="E970" t="s">
        <v>347</v>
      </c>
      <c r="F970">
        <v>8687</v>
      </c>
      <c r="G970">
        <v>0</v>
      </c>
      <c r="H970">
        <v>7191</v>
      </c>
      <c r="I970">
        <v>0</v>
      </c>
      <c r="J970">
        <v>0</v>
      </c>
      <c r="K970">
        <v>0</v>
      </c>
      <c r="L970">
        <v>4818</v>
      </c>
      <c r="M970">
        <v>0</v>
      </c>
      <c r="N970">
        <v>28</v>
      </c>
      <c r="O970">
        <v>0</v>
      </c>
      <c r="P970">
        <v>0</v>
      </c>
      <c r="Q970">
        <v>0</v>
      </c>
      <c r="R970">
        <v>275</v>
      </c>
      <c r="S970">
        <v>340</v>
      </c>
      <c r="T970">
        <v>2953</v>
      </c>
      <c r="U970">
        <v>0</v>
      </c>
      <c r="V970">
        <v>2</v>
      </c>
      <c r="W970">
        <v>178</v>
      </c>
      <c r="X970">
        <f>NHS_AE_2024_2025[[#This Row],[A&amp;E attendances Type 1]]+
NHS_AE_2024_2025[[#This Row],[A&amp;E attendances Type 2]]+
NHS_AE_2024_2025[[#This Row],[A&amp;E attendances Other A&amp;E Department]]</f>
        <v>15878</v>
      </c>
      <c r="Y970">
        <f t="shared" si="30"/>
        <v>4846</v>
      </c>
      <c r="Z970">
        <f t="shared" si="31"/>
        <v>3133</v>
      </c>
    </row>
    <row r="971" spans="1:26" x14ac:dyDescent="0.2">
      <c r="A971" t="s">
        <v>441</v>
      </c>
      <c r="B971" t="s">
        <v>442</v>
      </c>
      <c r="C971" t="s">
        <v>170</v>
      </c>
      <c r="D971" t="s">
        <v>32</v>
      </c>
      <c r="E971" t="s">
        <v>171</v>
      </c>
      <c r="F971">
        <v>15464</v>
      </c>
      <c r="G971">
        <v>1684</v>
      </c>
      <c r="H971">
        <v>296</v>
      </c>
      <c r="I971">
        <v>0</v>
      </c>
      <c r="J971">
        <v>0</v>
      </c>
      <c r="K971">
        <v>0</v>
      </c>
      <c r="L971">
        <v>7941</v>
      </c>
      <c r="M971">
        <v>70</v>
      </c>
      <c r="N971">
        <v>7</v>
      </c>
      <c r="O971">
        <v>0</v>
      </c>
      <c r="P971">
        <v>0</v>
      </c>
      <c r="Q971">
        <v>0</v>
      </c>
      <c r="R971">
        <v>637</v>
      </c>
      <c r="S971">
        <v>779</v>
      </c>
      <c r="T971">
        <v>4567</v>
      </c>
      <c r="U971">
        <v>0</v>
      </c>
      <c r="V971">
        <v>0</v>
      </c>
      <c r="W971">
        <v>4489</v>
      </c>
      <c r="X971">
        <f>NHS_AE_2024_2025[[#This Row],[A&amp;E attendances Type 1]]+
NHS_AE_2024_2025[[#This Row],[A&amp;E attendances Type 2]]+
NHS_AE_2024_2025[[#This Row],[A&amp;E attendances Other A&amp;E Department]]</f>
        <v>17444</v>
      </c>
      <c r="Y971">
        <f t="shared" si="30"/>
        <v>8018</v>
      </c>
      <c r="Z971">
        <f t="shared" si="31"/>
        <v>9056</v>
      </c>
    </row>
    <row r="972" spans="1:26" x14ac:dyDescent="0.2">
      <c r="A972" t="s">
        <v>441</v>
      </c>
      <c r="B972" t="s">
        <v>442</v>
      </c>
      <c r="C972" t="s">
        <v>214</v>
      </c>
      <c r="D972" t="s">
        <v>55</v>
      </c>
      <c r="E972" t="s">
        <v>215</v>
      </c>
      <c r="F972">
        <v>11443</v>
      </c>
      <c r="G972">
        <v>0</v>
      </c>
      <c r="H972">
        <v>3400</v>
      </c>
      <c r="I972">
        <v>250</v>
      </c>
      <c r="J972">
        <v>0</v>
      </c>
      <c r="K972">
        <v>79</v>
      </c>
      <c r="L972">
        <v>4641</v>
      </c>
      <c r="M972">
        <v>0</v>
      </c>
      <c r="N972">
        <v>86</v>
      </c>
      <c r="O972">
        <v>44</v>
      </c>
      <c r="P972">
        <v>0</v>
      </c>
      <c r="Q972">
        <v>2</v>
      </c>
      <c r="R972">
        <v>978</v>
      </c>
      <c r="S972">
        <v>511</v>
      </c>
      <c r="T972">
        <v>2938</v>
      </c>
      <c r="U972">
        <v>0</v>
      </c>
      <c r="V972">
        <v>101</v>
      </c>
      <c r="W972">
        <v>1443</v>
      </c>
      <c r="X972">
        <f>NHS_AE_2024_2025[[#This Row],[A&amp;E attendances Type 1]]+
NHS_AE_2024_2025[[#This Row],[A&amp;E attendances Type 2]]+
NHS_AE_2024_2025[[#This Row],[A&amp;E attendances Other A&amp;E Department]]</f>
        <v>14843</v>
      </c>
      <c r="Y972">
        <f t="shared" si="30"/>
        <v>4727</v>
      </c>
      <c r="Z972">
        <f t="shared" si="31"/>
        <v>4482</v>
      </c>
    </row>
    <row r="973" spans="1:26" x14ac:dyDescent="0.2">
      <c r="A973" t="s">
        <v>441</v>
      </c>
      <c r="B973" t="s">
        <v>442</v>
      </c>
      <c r="C973" t="s">
        <v>286</v>
      </c>
      <c r="D973" t="s">
        <v>37</v>
      </c>
      <c r="E973" t="s">
        <v>287</v>
      </c>
      <c r="F973">
        <v>4428</v>
      </c>
      <c r="G973">
        <v>292</v>
      </c>
      <c r="H973">
        <v>1304</v>
      </c>
      <c r="I973">
        <v>18</v>
      </c>
      <c r="J973">
        <v>0</v>
      </c>
      <c r="K973">
        <v>25</v>
      </c>
      <c r="L973">
        <v>1822</v>
      </c>
      <c r="M973">
        <v>0</v>
      </c>
      <c r="N973">
        <v>0</v>
      </c>
      <c r="O973">
        <v>9</v>
      </c>
      <c r="P973">
        <v>0</v>
      </c>
      <c r="Q973">
        <v>0</v>
      </c>
      <c r="R973">
        <v>293</v>
      </c>
      <c r="S973">
        <v>169</v>
      </c>
      <c r="T973">
        <v>1275</v>
      </c>
      <c r="U973">
        <v>0</v>
      </c>
      <c r="V973">
        <v>0</v>
      </c>
      <c r="W973">
        <v>102</v>
      </c>
      <c r="X973">
        <f>NHS_AE_2024_2025[[#This Row],[A&amp;E attendances Type 1]]+
NHS_AE_2024_2025[[#This Row],[A&amp;E attendances Type 2]]+
NHS_AE_2024_2025[[#This Row],[A&amp;E attendances Other A&amp;E Department]]</f>
        <v>6024</v>
      </c>
      <c r="Y973">
        <f t="shared" si="30"/>
        <v>1822</v>
      </c>
      <c r="Z973">
        <f t="shared" si="31"/>
        <v>1377</v>
      </c>
    </row>
    <row r="974" spans="1:26" x14ac:dyDescent="0.2">
      <c r="A974" t="s">
        <v>441</v>
      </c>
      <c r="B974" t="s">
        <v>442</v>
      </c>
      <c r="C974" t="s">
        <v>224</v>
      </c>
      <c r="D974" t="s">
        <v>29</v>
      </c>
      <c r="E974" t="s">
        <v>225</v>
      </c>
      <c r="F974">
        <v>25012</v>
      </c>
      <c r="G974">
        <v>944</v>
      </c>
      <c r="H974">
        <v>17880</v>
      </c>
      <c r="I974">
        <v>0</v>
      </c>
      <c r="J974">
        <v>0</v>
      </c>
      <c r="K974">
        <v>0</v>
      </c>
      <c r="L974">
        <v>11280</v>
      </c>
      <c r="M974">
        <v>14</v>
      </c>
      <c r="N974">
        <v>1536</v>
      </c>
      <c r="O974">
        <v>0</v>
      </c>
      <c r="P974">
        <v>0</v>
      </c>
      <c r="Q974">
        <v>0</v>
      </c>
      <c r="R974">
        <v>1025</v>
      </c>
      <c r="S974">
        <v>1319</v>
      </c>
      <c r="T974">
        <v>4419</v>
      </c>
      <c r="U974">
        <v>2</v>
      </c>
      <c r="V974">
        <v>32</v>
      </c>
      <c r="W974">
        <v>1236</v>
      </c>
      <c r="X974">
        <f>NHS_AE_2024_2025[[#This Row],[A&amp;E attendances Type 1]]+
NHS_AE_2024_2025[[#This Row],[A&amp;E attendances Type 2]]+
NHS_AE_2024_2025[[#This Row],[A&amp;E attendances Other A&amp;E Department]]</f>
        <v>43836</v>
      </c>
      <c r="Y974">
        <f t="shared" si="30"/>
        <v>12830</v>
      </c>
      <c r="Z974">
        <f t="shared" si="31"/>
        <v>5689</v>
      </c>
    </row>
    <row r="975" spans="1:26" x14ac:dyDescent="0.2">
      <c r="A975" t="s">
        <v>441</v>
      </c>
      <c r="B975" t="s">
        <v>442</v>
      </c>
      <c r="C975" t="s">
        <v>362</v>
      </c>
      <c r="D975" t="s">
        <v>26</v>
      </c>
      <c r="E975" t="s">
        <v>363</v>
      </c>
      <c r="F975">
        <v>7900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3122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836</v>
      </c>
      <c r="S975">
        <v>204</v>
      </c>
      <c r="T975">
        <v>2539</v>
      </c>
      <c r="U975">
        <v>0</v>
      </c>
      <c r="V975">
        <v>6</v>
      </c>
      <c r="W975">
        <v>1807</v>
      </c>
      <c r="X975">
        <f>NHS_AE_2024_2025[[#This Row],[A&amp;E attendances Type 1]]+
NHS_AE_2024_2025[[#This Row],[A&amp;E attendances Type 2]]+
NHS_AE_2024_2025[[#This Row],[A&amp;E attendances Other A&amp;E Department]]</f>
        <v>7900</v>
      </c>
      <c r="Y975">
        <f t="shared" si="30"/>
        <v>3122</v>
      </c>
      <c r="Z975">
        <f t="shared" si="31"/>
        <v>4352</v>
      </c>
    </row>
    <row r="976" spans="1:26" x14ac:dyDescent="0.2">
      <c r="A976" t="s">
        <v>441</v>
      </c>
      <c r="B976" t="s">
        <v>442</v>
      </c>
      <c r="C976" t="s">
        <v>246</v>
      </c>
      <c r="D976" t="s">
        <v>70</v>
      </c>
      <c r="E976" t="s">
        <v>247</v>
      </c>
      <c r="F976">
        <v>9799</v>
      </c>
      <c r="G976">
        <v>0</v>
      </c>
      <c r="H976">
        <v>5526</v>
      </c>
      <c r="I976">
        <v>299</v>
      </c>
      <c r="J976">
        <v>0</v>
      </c>
      <c r="K976">
        <v>320</v>
      </c>
      <c r="L976">
        <v>4602</v>
      </c>
      <c r="M976">
        <v>0</v>
      </c>
      <c r="N976">
        <v>42</v>
      </c>
      <c r="O976">
        <v>60</v>
      </c>
      <c r="P976">
        <v>0</v>
      </c>
      <c r="Q976">
        <v>0</v>
      </c>
      <c r="R976">
        <v>520</v>
      </c>
      <c r="S976">
        <v>646</v>
      </c>
      <c r="T976">
        <v>2710</v>
      </c>
      <c r="U976">
        <v>0</v>
      </c>
      <c r="V976">
        <v>33</v>
      </c>
      <c r="W976">
        <v>525</v>
      </c>
      <c r="X976">
        <f>NHS_AE_2024_2025[[#This Row],[A&amp;E attendances Type 1]]+
NHS_AE_2024_2025[[#This Row],[A&amp;E attendances Type 2]]+
NHS_AE_2024_2025[[#This Row],[A&amp;E attendances Other A&amp;E Department]]</f>
        <v>15325</v>
      </c>
      <c r="Y976">
        <f t="shared" si="30"/>
        <v>4644</v>
      </c>
      <c r="Z976">
        <f t="shared" si="31"/>
        <v>3268</v>
      </c>
    </row>
    <row r="977" spans="1:26" x14ac:dyDescent="0.2">
      <c r="A977" t="s">
        <v>441</v>
      </c>
      <c r="B977" t="s">
        <v>442</v>
      </c>
      <c r="C977" t="s">
        <v>368</v>
      </c>
      <c r="D977" t="s">
        <v>50</v>
      </c>
      <c r="E977" t="s">
        <v>369</v>
      </c>
      <c r="F977">
        <v>8814</v>
      </c>
      <c r="G977">
        <v>1182</v>
      </c>
      <c r="H977">
        <v>6799</v>
      </c>
      <c r="I977">
        <v>420</v>
      </c>
      <c r="J977">
        <v>1</v>
      </c>
      <c r="K977">
        <v>1272</v>
      </c>
      <c r="L977">
        <v>5022</v>
      </c>
      <c r="M977">
        <v>0</v>
      </c>
      <c r="N977">
        <v>288</v>
      </c>
      <c r="O977">
        <v>211</v>
      </c>
      <c r="P977">
        <v>0</v>
      </c>
      <c r="Q977">
        <v>26</v>
      </c>
      <c r="R977">
        <v>1534</v>
      </c>
      <c r="S977">
        <v>22</v>
      </c>
      <c r="T977">
        <v>3721</v>
      </c>
      <c r="U977">
        <v>0</v>
      </c>
      <c r="V977">
        <v>0</v>
      </c>
      <c r="W977">
        <v>3082</v>
      </c>
      <c r="X977">
        <f>NHS_AE_2024_2025[[#This Row],[A&amp;E attendances Type 1]]+
NHS_AE_2024_2025[[#This Row],[A&amp;E attendances Type 2]]+
NHS_AE_2024_2025[[#This Row],[A&amp;E attendances Other A&amp;E Department]]</f>
        <v>16795</v>
      </c>
      <c r="Y977">
        <f t="shared" si="30"/>
        <v>5310</v>
      </c>
      <c r="Z977">
        <f t="shared" si="31"/>
        <v>6803</v>
      </c>
    </row>
    <row r="978" spans="1:26" x14ac:dyDescent="0.2">
      <c r="A978" t="s">
        <v>441</v>
      </c>
      <c r="B978" t="s">
        <v>442</v>
      </c>
      <c r="C978" t="s">
        <v>420</v>
      </c>
      <c r="D978" t="s">
        <v>37</v>
      </c>
      <c r="E978" t="s">
        <v>421</v>
      </c>
      <c r="F978">
        <v>9971</v>
      </c>
      <c r="G978">
        <v>965</v>
      </c>
      <c r="H978">
        <v>2740</v>
      </c>
      <c r="I978">
        <v>1554</v>
      </c>
      <c r="J978">
        <v>0</v>
      </c>
      <c r="K978">
        <v>807</v>
      </c>
      <c r="L978">
        <v>4829</v>
      </c>
      <c r="M978">
        <v>16</v>
      </c>
      <c r="N978">
        <v>93</v>
      </c>
      <c r="O978">
        <v>560</v>
      </c>
      <c r="P978">
        <v>0</v>
      </c>
      <c r="Q978">
        <v>14</v>
      </c>
      <c r="R978">
        <v>1377</v>
      </c>
      <c r="S978">
        <v>349</v>
      </c>
      <c r="T978">
        <v>3461</v>
      </c>
      <c r="U978">
        <v>0</v>
      </c>
      <c r="V978">
        <v>0</v>
      </c>
      <c r="W978">
        <v>2579</v>
      </c>
      <c r="X978">
        <f>NHS_AE_2024_2025[[#This Row],[A&amp;E attendances Type 1]]+
NHS_AE_2024_2025[[#This Row],[A&amp;E attendances Type 2]]+
NHS_AE_2024_2025[[#This Row],[A&amp;E attendances Other A&amp;E Department]]</f>
        <v>13676</v>
      </c>
      <c r="Y978">
        <f t="shared" si="30"/>
        <v>4938</v>
      </c>
      <c r="Z978">
        <f t="shared" si="31"/>
        <v>6040</v>
      </c>
    </row>
    <row r="979" spans="1:26" x14ac:dyDescent="0.2">
      <c r="A979" t="s">
        <v>441</v>
      </c>
      <c r="B979" t="s">
        <v>442</v>
      </c>
      <c r="C979" t="s">
        <v>316</v>
      </c>
      <c r="D979" t="s">
        <v>70</v>
      </c>
      <c r="E979" t="s">
        <v>317</v>
      </c>
      <c r="F979">
        <v>12018</v>
      </c>
      <c r="G979">
        <v>0</v>
      </c>
      <c r="H979">
        <v>8406</v>
      </c>
      <c r="I979">
        <v>0</v>
      </c>
      <c r="J979">
        <v>0</v>
      </c>
      <c r="K979">
        <v>0</v>
      </c>
      <c r="L979">
        <v>4148</v>
      </c>
      <c r="M979">
        <v>0</v>
      </c>
      <c r="N979">
        <v>6</v>
      </c>
      <c r="O979">
        <v>0</v>
      </c>
      <c r="P979">
        <v>0</v>
      </c>
      <c r="Q979">
        <v>0</v>
      </c>
      <c r="R979">
        <v>1037</v>
      </c>
      <c r="S979">
        <v>379</v>
      </c>
      <c r="T979">
        <v>2563</v>
      </c>
      <c r="U979">
        <v>0</v>
      </c>
      <c r="V979">
        <v>0</v>
      </c>
      <c r="W979">
        <v>1680</v>
      </c>
      <c r="X979">
        <f>NHS_AE_2024_2025[[#This Row],[A&amp;E attendances Type 1]]+
NHS_AE_2024_2025[[#This Row],[A&amp;E attendances Type 2]]+
NHS_AE_2024_2025[[#This Row],[A&amp;E attendances Other A&amp;E Department]]</f>
        <v>20424</v>
      </c>
      <c r="Y979">
        <f t="shared" si="30"/>
        <v>4154</v>
      </c>
      <c r="Z979">
        <f t="shared" si="31"/>
        <v>4243</v>
      </c>
    </row>
    <row r="980" spans="1:26" x14ac:dyDescent="0.2">
      <c r="A980" t="s">
        <v>441</v>
      </c>
      <c r="B980" t="s">
        <v>442</v>
      </c>
      <c r="C980" t="s">
        <v>348</v>
      </c>
      <c r="D980" t="s">
        <v>55</v>
      </c>
      <c r="E980" t="s">
        <v>349</v>
      </c>
      <c r="F980">
        <v>7893</v>
      </c>
      <c r="G980">
        <v>0</v>
      </c>
      <c r="H980">
        <v>987</v>
      </c>
      <c r="I980">
        <v>268</v>
      </c>
      <c r="J980">
        <v>0</v>
      </c>
      <c r="K980">
        <v>67</v>
      </c>
      <c r="L980">
        <v>3490</v>
      </c>
      <c r="M980">
        <v>0</v>
      </c>
      <c r="N980">
        <v>56</v>
      </c>
      <c r="O980">
        <v>87</v>
      </c>
      <c r="P980">
        <v>0</v>
      </c>
      <c r="Q980">
        <v>1</v>
      </c>
      <c r="R980">
        <v>789</v>
      </c>
      <c r="S980">
        <v>500</v>
      </c>
      <c r="T980">
        <v>2744</v>
      </c>
      <c r="U980">
        <v>0</v>
      </c>
      <c r="V980">
        <v>81</v>
      </c>
      <c r="W980">
        <v>901</v>
      </c>
      <c r="X980">
        <f>NHS_AE_2024_2025[[#This Row],[A&amp;E attendances Type 1]]+
NHS_AE_2024_2025[[#This Row],[A&amp;E attendances Type 2]]+
NHS_AE_2024_2025[[#This Row],[A&amp;E attendances Other A&amp;E Department]]</f>
        <v>8880</v>
      </c>
      <c r="Y980">
        <f t="shared" si="30"/>
        <v>3546</v>
      </c>
      <c r="Z980">
        <f t="shared" si="31"/>
        <v>3726</v>
      </c>
    </row>
    <row r="981" spans="1:26" x14ac:dyDescent="0.2">
      <c r="A981" t="s">
        <v>441</v>
      </c>
      <c r="B981" t="s">
        <v>442</v>
      </c>
      <c r="C981" t="s">
        <v>378</v>
      </c>
      <c r="D981" t="s">
        <v>37</v>
      </c>
      <c r="E981" t="s">
        <v>379</v>
      </c>
      <c r="F981">
        <v>0</v>
      </c>
      <c r="G981">
        <v>0</v>
      </c>
      <c r="H981">
        <v>1264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16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39</v>
      </c>
      <c r="W981">
        <v>0</v>
      </c>
      <c r="X981">
        <f>NHS_AE_2024_2025[[#This Row],[A&amp;E attendances Type 1]]+
NHS_AE_2024_2025[[#This Row],[A&amp;E attendances Type 2]]+
NHS_AE_2024_2025[[#This Row],[A&amp;E attendances Other A&amp;E Department]]</f>
        <v>1264</v>
      </c>
      <c r="Y981">
        <f t="shared" si="30"/>
        <v>16</v>
      </c>
      <c r="Z981">
        <f t="shared" si="31"/>
        <v>39</v>
      </c>
    </row>
    <row r="982" spans="1:26" x14ac:dyDescent="0.2">
      <c r="A982" t="s">
        <v>441</v>
      </c>
      <c r="B982" t="s">
        <v>442</v>
      </c>
      <c r="C982" t="s">
        <v>358</v>
      </c>
      <c r="D982" t="s">
        <v>29</v>
      </c>
      <c r="E982" t="s">
        <v>359</v>
      </c>
      <c r="F982">
        <v>12227</v>
      </c>
      <c r="G982">
        <v>3650</v>
      </c>
      <c r="H982">
        <v>7192</v>
      </c>
      <c r="I982">
        <v>0</v>
      </c>
      <c r="J982">
        <v>0</v>
      </c>
      <c r="K982">
        <v>480</v>
      </c>
      <c r="L982">
        <v>5362</v>
      </c>
      <c r="M982">
        <v>21</v>
      </c>
      <c r="N982">
        <v>417</v>
      </c>
      <c r="O982">
        <v>0</v>
      </c>
      <c r="P982">
        <v>0</v>
      </c>
      <c r="Q982">
        <v>0</v>
      </c>
      <c r="R982">
        <v>656</v>
      </c>
      <c r="S982">
        <v>551</v>
      </c>
      <c r="T982">
        <v>3722</v>
      </c>
      <c r="U982">
        <v>1</v>
      </c>
      <c r="V982">
        <v>0</v>
      </c>
      <c r="W982">
        <v>1219</v>
      </c>
      <c r="X982">
        <f>NHS_AE_2024_2025[[#This Row],[A&amp;E attendances Type 1]]+
NHS_AE_2024_2025[[#This Row],[A&amp;E attendances Type 2]]+
NHS_AE_2024_2025[[#This Row],[A&amp;E attendances Other A&amp;E Department]]</f>
        <v>23069</v>
      </c>
      <c r="Y982">
        <f t="shared" si="30"/>
        <v>5800</v>
      </c>
      <c r="Z982">
        <f t="shared" si="31"/>
        <v>4942</v>
      </c>
    </row>
    <row r="983" spans="1:26" x14ac:dyDescent="0.2">
      <c r="A983" t="s">
        <v>441</v>
      </c>
      <c r="B983" t="s">
        <v>442</v>
      </c>
      <c r="C983" t="s">
        <v>276</v>
      </c>
      <c r="D983" t="s">
        <v>37</v>
      </c>
      <c r="E983" t="s">
        <v>277</v>
      </c>
      <c r="F983">
        <v>24951</v>
      </c>
      <c r="G983">
        <v>1364</v>
      </c>
      <c r="H983">
        <v>1239</v>
      </c>
      <c r="I983">
        <v>1866</v>
      </c>
      <c r="J983">
        <v>0</v>
      </c>
      <c r="K983">
        <v>626</v>
      </c>
      <c r="L983">
        <v>9961</v>
      </c>
      <c r="M983">
        <v>63</v>
      </c>
      <c r="N983">
        <v>137</v>
      </c>
      <c r="O983">
        <v>493</v>
      </c>
      <c r="P983">
        <v>0</v>
      </c>
      <c r="Q983">
        <v>2</v>
      </c>
      <c r="R983">
        <v>894</v>
      </c>
      <c r="S983">
        <v>1176</v>
      </c>
      <c r="T983">
        <v>8454</v>
      </c>
      <c r="U983">
        <v>30</v>
      </c>
      <c r="V983">
        <v>50</v>
      </c>
      <c r="W983">
        <v>1684</v>
      </c>
      <c r="X983">
        <f>NHS_AE_2024_2025[[#This Row],[A&amp;E attendances Type 1]]+
NHS_AE_2024_2025[[#This Row],[A&amp;E attendances Type 2]]+
NHS_AE_2024_2025[[#This Row],[A&amp;E attendances Other A&amp;E Department]]</f>
        <v>27554</v>
      </c>
      <c r="Y983">
        <f t="shared" si="30"/>
        <v>10161</v>
      </c>
      <c r="Z983">
        <f t="shared" si="31"/>
        <v>10218</v>
      </c>
    </row>
    <row r="984" spans="1:26" x14ac:dyDescent="0.2">
      <c r="A984" t="s">
        <v>441</v>
      </c>
      <c r="B984" t="s">
        <v>442</v>
      </c>
      <c r="C984" t="s">
        <v>104</v>
      </c>
      <c r="D984" t="s">
        <v>29</v>
      </c>
      <c r="E984" t="s">
        <v>105</v>
      </c>
      <c r="F984">
        <v>10961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2378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351</v>
      </c>
      <c r="S984">
        <v>24</v>
      </c>
      <c r="T984">
        <v>1836</v>
      </c>
      <c r="U984">
        <v>0</v>
      </c>
      <c r="V984">
        <v>0</v>
      </c>
      <c r="W984">
        <v>380</v>
      </c>
      <c r="X984">
        <f>NHS_AE_2024_2025[[#This Row],[A&amp;E attendances Type 1]]+
NHS_AE_2024_2025[[#This Row],[A&amp;E attendances Type 2]]+
NHS_AE_2024_2025[[#This Row],[A&amp;E attendances Other A&amp;E Department]]</f>
        <v>10961</v>
      </c>
      <c r="Y984">
        <f t="shared" si="30"/>
        <v>2378</v>
      </c>
      <c r="Z984">
        <f t="shared" si="31"/>
        <v>2216</v>
      </c>
    </row>
    <row r="985" spans="1:26" x14ac:dyDescent="0.2">
      <c r="A985" t="s">
        <v>441</v>
      </c>
      <c r="B985" t="s">
        <v>442</v>
      </c>
      <c r="C985" t="s">
        <v>306</v>
      </c>
      <c r="D985" t="s">
        <v>29</v>
      </c>
      <c r="E985" t="s">
        <v>307</v>
      </c>
      <c r="F985">
        <v>8811</v>
      </c>
      <c r="G985">
        <v>0</v>
      </c>
      <c r="H985">
        <v>3322</v>
      </c>
      <c r="I985">
        <v>522</v>
      </c>
      <c r="J985">
        <v>0</v>
      </c>
      <c r="K985">
        <v>0</v>
      </c>
      <c r="L985">
        <v>2673</v>
      </c>
      <c r="M985">
        <v>0</v>
      </c>
      <c r="N985">
        <v>0</v>
      </c>
      <c r="O985">
        <v>72</v>
      </c>
      <c r="P985">
        <v>0</v>
      </c>
      <c r="Q985">
        <v>0</v>
      </c>
      <c r="R985">
        <v>574</v>
      </c>
      <c r="S985">
        <v>838</v>
      </c>
      <c r="T985">
        <v>2575</v>
      </c>
      <c r="U985">
        <v>0</v>
      </c>
      <c r="V985">
        <v>0</v>
      </c>
      <c r="W985">
        <v>806</v>
      </c>
      <c r="X985">
        <f>NHS_AE_2024_2025[[#This Row],[A&amp;E attendances Type 1]]+
NHS_AE_2024_2025[[#This Row],[A&amp;E attendances Type 2]]+
NHS_AE_2024_2025[[#This Row],[A&amp;E attendances Other A&amp;E Department]]</f>
        <v>12133</v>
      </c>
      <c r="Y985">
        <f t="shared" si="30"/>
        <v>2673</v>
      </c>
      <c r="Z985">
        <f t="shared" si="31"/>
        <v>3381</v>
      </c>
    </row>
    <row r="986" spans="1:26" x14ac:dyDescent="0.2">
      <c r="A986" t="s">
        <v>441</v>
      </c>
      <c r="B986" t="s">
        <v>442</v>
      </c>
      <c r="C986" t="s">
        <v>34</v>
      </c>
      <c r="D986" t="s">
        <v>29</v>
      </c>
      <c r="E986" t="s">
        <v>35</v>
      </c>
      <c r="F986">
        <v>0</v>
      </c>
      <c r="G986">
        <v>0</v>
      </c>
      <c r="H986">
        <v>3770</v>
      </c>
      <c r="I986">
        <v>0</v>
      </c>
      <c r="J986">
        <v>0</v>
      </c>
      <c r="K986">
        <v>33</v>
      </c>
      <c r="L986">
        <v>0</v>
      </c>
      <c r="M986">
        <v>0</v>
      </c>
      <c r="N986">
        <v>33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f>NHS_AE_2024_2025[[#This Row],[A&amp;E attendances Type 1]]+
NHS_AE_2024_2025[[#This Row],[A&amp;E attendances Type 2]]+
NHS_AE_2024_2025[[#This Row],[A&amp;E attendances Other A&amp;E Department]]</f>
        <v>3770</v>
      </c>
      <c r="Y986">
        <f t="shared" si="30"/>
        <v>33</v>
      </c>
      <c r="Z986">
        <f t="shared" si="31"/>
        <v>0</v>
      </c>
    </row>
    <row r="987" spans="1:26" x14ac:dyDescent="0.2">
      <c r="A987" t="s">
        <v>441</v>
      </c>
      <c r="B987" t="s">
        <v>442</v>
      </c>
      <c r="C987" t="s">
        <v>398</v>
      </c>
      <c r="D987" t="s">
        <v>55</v>
      </c>
      <c r="E987" t="s">
        <v>399</v>
      </c>
      <c r="F987">
        <v>7439</v>
      </c>
      <c r="G987">
        <v>0</v>
      </c>
      <c r="H987">
        <v>2746</v>
      </c>
      <c r="I987">
        <v>0</v>
      </c>
      <c r="J987">
        <v>0</v>
      </c>
      <c r="K987">
        <v>209</v>
      </c>
      <c r="L987">
        <v>3996</v>
      </c>
      <c r="M987">
        <v>0</v>
      </c>
      <c r="N987">
        <v>63</v>
      </c>
      <c r="O987">
        <v>0</v>
      </c>
      <c r="P987">
        <v>0</v>
      </c>
      <c r="Q987">
        <v>4</v>
      </c>
      <c r="R987">
        <v>393</v>
      </c>
      <c r="S987">
        <v>976</v>
      </c>
      <c r="T987">
        <v>2069</v>
      </c>
      <c r="U987">
        <v>0</v>
      </c>
      <c r="V987">
        <v>0</v>
      </c>
      <c r="W987">
        <v>1704</v>
      </c>
      <c r="X987">
        <f>NHS_AE_2024_2025[[#This Row],[A&amp;E attendances Type 1]]+
NHS_AE_2024_2025[[#This Row],[A&amp;E attendances Type 2]]+
NHS_AE_2024_2025[[#This Row],[A&amp;E attendances Other A&amp;E Department]]</f>
        <v>10185</v>
      </c>
      <c r="Y987">
        <f t="shared" si="30"/>
        <v>4059</v>
      </c>
      <c r="Z987">
        <f t="shared" si="31"/>
        <v>3773</v>
      </c>
    </row>
    <row r="988" spans="1:26" x14ac:dyDescent="0.2">
      <c r="A988" t="s">
        <v>441</v>
      </c>
      <c r="B988" t="s">
        <v>442</v>
      </c>
      <c r="C988" t="s">
        <v>406</v>
      </c>
      <c r="D988" t="s">
        <v>37</v>
      </c>
      <c r="E988" t="s">
        <v>407</v>
      </c>
      <c r="F988">
        <v>10473</v>
      </c>
      <c r="G988">
        <v>2370</v>
      </c>
      <c r="H988">
        <v>2248</v>
      </c>
      <c r="I988">
        <v>820</v>
      </c>
      <c r="J988">
        <v>21</v>
      </c>
      <c r="K988">
        <v>0</v>
      </c>
      <c r="L988">
        <v>4345</v>
      </c>
      <c r="M988">
        <v>18</v>
      </c>
      <c r="N988">
        <v>0</v>
      </c>
      <c r="O988">
        <v>315</v>
      </c>
      <c r="P988">
        <v>0</v>
      </c>
      <c r="Q988">
        <v>0</v>
      </c>
      <c r="R988">
        <v>916</v>
      </c>
      <c r="S988">
        <v>37</v>
      </c>
      <c r="T988">
        <v>2479</v>
      </c>
      <c r="U988">
        <v>0</v>
      </c>
      <c r="V988">
        <v>0</v>
      </c>
      <c r="W988">
        <v>482</v>
      </c>
      <c r="X988">
        <f>NHS_AE_2024_2025[[#This Row],[A&amp;E attendances Type 1]]+
NHS_AE_2024_2025[[#This Row],[A&amp;E attendances Type 2]]+
NHS_AE_2024_2025[[#This Row],[A&amp;E attendances Other A&amp;E Department]]</f>
        <v>15091</v>
      </c>
      <c r="Y988">
        <f t="shared" si="30"/>
        <v>4363</v>
      </c>
      <c r="Z988">
        <f t="shared" si="31"/>
        <v>2961</v>
      </c>
    </row>
    <row r="989" spans="1:26" x14ac:dyDescent="0.2">
      <c r="A989" t="s">
        <v>441</v>
      </c>
      <c r="B989" t="s">
        <v>442</v>
      </c>
      <c r="C989" t="s">
        <v>424</v>
      </c>
      <c r="D989" t="s">
        <v>37</v>
      </c>
      <c r="E989" t="s">
        <v>425</v>
      </c>
      <c r="F989">
        <v>11828</v>
      </c>
      <c r="G989">
        <v>1787</v>
      </c>
      <c r="H989">
        <v>2475</v>
      </c>
      <c r="I989">
        <v>1755</v>
      </c>
      <c r="J989">
        <v>0</v>
      </c>
      <c r="K989">
        <v>138</v>
      </c>
      <c r="L989">
        <v>4444</v>
      </c>
      <c r="M989">
        <v>0</v>
      </c>
      <c r="N989">
        <v>5</v>
      </c>
      <c r="O989">
        <v>465</v>
      </c>
      <c r="P989">
        <v>0</v>
      </c>
      <c r="Q989">
        <v>0</v>
      </c>
      <c r="R989">
        <v>1049</v>
      </c>
      <c r="S989">
        <v>0</v>
      </c>
      <c r="T989">
        <v>4627</v>
      </c>
      <c r="U989">
        <v>137</v>
      </c>
      <c r="V989">
        <v>20</v>
      </c>
      <c r="W989">
        <v>4564</v>
      </c>
      <c r="X989">
        <f>NHS_AE_2024_2025[[#This Row],[A&amp;E attendances Type 1]]+
NHS_AE_2024_2025[[#This Row],[A&amp;E attendances Type 2]]+
NHS_AE_2024_2025[[#This Row],[A&amp;E attendances Other A&amp;E Department]]</f>
        <v>16090</v>
      </c>
      <c r="Y989">
        <f t="shared" si="30"/>
        <v>4449</v>
      </c>
      <c r="Z989">
        <f t="shared" si="31"/>
        <v>9348</v>
      </c>
    </row>
    <row r="990" spans="1:26" x14ac:dyDescent="0.2">
      <c r="A990" t="s">
        <v>441</v>
      </c>
      <c r="B990" t="s">
        <v>442</v>
      </c>
      <c r="C990" t="s">
        <v>352</v>
      </c>
      <c r="D990" t="s">
        <v>50</v>
      </c>
      <c r="E990" t="s">
        <v>353</v>
      </c>
      <c r="F990">
        <v>15436</v>
      </c>
      <c r="G990">
        <v>181</v>
      </c>
      <c r="H990">
        <v>5229</v>
      </c>
      <c r="I990">
        <v>124</v>
      </c>
      <c r="J990">
        <v>0</v>
      </c>
      <c r="K990">
        <v>105</v>
      </c>
      <c r="L990">
        <v>6333</v>
      </c>
      <c r="M990">
        <v>0</v>
      </c>
      <c r="N990">
        <v>266</v>
      </c>
      <c r="O990">
        <v>1</v>
      </c>
      <c r="P990">
        <v>0</v>
      </c>
      <c r="Q990">
        <v>0</v>
      </c>
      <c r="R990">
        <v>2437</v>
      </c>
      <c r="S990">
        <v>1191</v>
      </c>
      <c r="T990">
        <v>3382</v>
      </c>
      <c r="U990">
        <v>0</v>
      </c>
      <c r="V990">
        <v>150</v>
      </c>
      <c r="W990">
        <v>827</v>
      </c>
      <c r="X990">
        <f>NHS_AE_2024_2025[[#This Row],[A&amp;E attendances Type 1]]+
NHS_AE_2024_2025[[#This Row],[A&amp;E attendances Type 2]]+
NHS_AE_2024_2025[[#This Row],[A&amp;E attendances Other A&amp;E Department]]</f>
        <v>20846</v>
      </c>
      <c r="Y990">
        <f t="shared" si="30"/>
        <v>6599</v>
      </c>
      <c r="Z990">
        <f t="shared" si="31"/>
        <v>4359</v>
      </c>
    </row>
    <row r="991" spans="1:26" x14ac:dyDescent="0.2">
      <c r="A991" t="s">
        <v>441</v>
      </c>
      <c r="B991" t="s">
        <v>442</v>
      </c>
      <c r="C991" t="s">
        <v>410</v>
      </c>
      <c r="D991" t="s">
        <v>32</v>
      </c>
      <c r="E991" t="s">
        <v>411</v>
      </c>
      <c r="F991">
        <v>4731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744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11</v>
      </c>
      <c r="T991">
        <v>967</v>
      </c>
      <c r="U991">
        <v>0</v>
      </c>
      <c r="V991">
        <v>0</v>
      </c>
      <c r="W991">
        <v>161</v>
      </c>
      <c r="X991">
        <f>NHS_AE_2024_2025[[#This Row],[A&amp;E attendances Type 1]]+
NHS_AE_2024_2025[[#This Row],[A&amp;E attendances Type 2]]+
NHS_AE_2024_2025[[#This Row],[A&amp;E attendances Other A&amp;E Department]]</f>
        <v>4731</v>
      </c>
      <c r="Y991">
        <f t="shared" si="30"/>
        <v>744</v>
      </c>
      <c r="Z991">
        <f t="shared" si="31"/>
        <v>1128</v>
      </c>
    </row>
    <row r="992" spans="1:26" x14ac:dyDescent="0.2">
      <c r="A992" t="s">
        <v>441</v>
      </c>
      <c r="B992" t="s">
        <v>442</v>
      </c>
      <c r="C992" t="s">
        <v>350</v>
      </c>
      <c r="D992" t="s">
        <v>55</v>
      </c>
      <c r="E992" t="s">
        <v>351</v>
      </c>
      <c r="F992">
        <v>6551</v>
      </c>
      <c r="G992">
        <v>0</v>
      </c>
      <c r="H992">
        <v>2630</v>
      </c>
      <c r="I992">
        <v>259</v>
      </c>
      <c r="J992">
        <v>0</v>
      </c>
      <c r="K992">
        <v>121</v>
      </c>
      <c r="L992">
        <v>3508</v>
      </c>
      <c r="M992">
        <v>0</v>
      </c>
      <c r="N992">
        <v>17</v>
      </c>
      <c r="O992">
        <v>96</v>
      </c>
      <c r="P992">
        <v>0</v>
      </c>
      <c r="Q992">
        <v>4</v>
      </c>
      <c r="R992">
        <v>535</v>
      </c>
      <c r="S992">
        <v>1131</v>
      </c>
      <c r="T992">
        <v>1716</v>
      </c>
      <c r="U992">
        <v>0</v>
      </c>
      <c r="V992">
        <v>0</v>
      </c>
      <c r="W992">
        <v>135</v>
      </c>
      <c r="X992">
        <f>NHS_AE_2024_2025[[#This Row],[A&amp;E attendances Type 1]]+
NHS_AE_2024_2025[[#This Row],[A&amp;E attendances Type 2]]+
NHS_AE_2024_2025[[#This Row],[A&amp;E attendances Other A&amp;E Department]]</f>
        <v>9181</v>
      </c>
      <c r="Y992">
        <f t="shared" si="30"/>
        <v>3525</v>
      </c>
      <c r="Z992">
        <f t="shared" si="31"/>
        <v>1851</v>
      </c>
    </row>
    <row r="993" spans="1:26" x14ac:dyDescent="0.2">
      <c r="A993" t="s">
        <v>441</v>
      </c>
      <c r="B993" t="s">
        <v>442</v>
      </c>
      <c r="C993" t="s">
        <v>216</v>
      </c>
      <c r="D993" t="s">
        <v>55</v>
      </c>
      <c r="E993" t="s">
        <v>217</v>
      </c>
      <c r="F993">
        <v>12294</v>
      </c>
      <c r="G993">
        <v>0</v>
      </c>
      <c r="H993">
        <v>9797</v>
      </c>
      <c r="I993">
        <v>0</v>
      </c>
      <c r="J993">
        <v>0</v>
      </c>
      <c r="K993">
        <v>0</v>
      </c>
      <c r="L993">
        <v>4986</v>
      </c>
      <c r="M993">
        <v>0</v>
      </c>
      <c r="N993">
        <v>834</v>
      </c>
      <c r="O993">
        <v>0</v>
      </c>
      <c r="P993">
        <v>0</v>
      </c>
      <c r="Q993">
        <v>0</v>
      </c>
      <c r="R993">
        <v>354</v>
      </c>
      <c r="S993">
        <v>1310</v>
      </c>
      <c r="T993">
        <v>3983</v>
      </c>
      <c r="U993">
        <v>0</v>
      </c>
      <c r="V993">
        <v>93</v>
      </c>
      <c r="W993">
        <v>1692</v>
      </c>
      <c r="X993">
        <f>NHS_AE_2024_2025[[#This Row],[A&amp;E attendances Type 1]]+
NHS_AE_2024_2025[[#This Row],[A&amp;E attendances Type 2]]+
NHS_AE_2024_2025[[#This Row],[A&amp;E attendances Other A&amp;E Department]]</f>
        <v>22091</v>
      </c>
      <c r="Y993">
        <f t="shared" si="30"/>
        <v>5820</v>
      </c>
      <c r="Z993">
        <f t="shared" si="31"/>
        <v>5768</v>
      </c>
    </row>
    <row r="994" spans="1:26" x14ac:dyDescent="0.2">
      <c r="A994" t="s">
        <v>441</v>
      </c>
      <c r="B994" t="s">
        <v>442</v>
      </c>
      <c r="C994" t="s">
        <v>274</v>
      </c>
      <c r="D994" t="s">
        <v>32</v>
      </c>
      <c r="E994" t="s">
        <v>275</v>
      </c>
      <c r="F994">
        <v>0</v>
      </c>
      <c r="G994">
        <v>0</v>
      </c>
      <c r="H994">
        <v>7706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273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f>NHS_AE_2024_2025[[#This Row],[A&amp;E attendances Type 1]]+
NHS_AE_2024_2025[[#This Row],[A&amp;E attendances Type 2]]+
NHS_AE_2024_2025[[#This Row],[A&amp;E attendances Other A&amp;E Department]]</f>
        <v>7706</v>
      </c>
      <c r="Y994">
        <f t="shared" si="30"/>
        <v>273</v>
      </c>
      <c r="Z994">
        <f t="shared" si="31"/>
        <v>0</v>
      </c>
    </row>
    <row r="995" spans="1:26" x14ac:dyDescent="0.2">
      <c r="A995" t="s">
        <v>441</v>
      </c>
      <c r="B995" t="s">
        <v>431</v>
      </c>
      <c r="C995" t="s">
        <v>431</v>
      </c>
      <c r="D995" t="s">
        <v>431</v>
      </c>
      <c r="E995" t="s">
        <v>431</v>
      </c>
      <c r="F995">
        <v>1326670</v>
      </c>
      <c r="G995">
        <v>48785</v>
      </c>
      <c r="H995">
        <v>757845</v>
      </c>
      <c r="I995">
        <v>32356</v>
      </c>
      <c r="J995">
        <v>701</v>
      </c>
      <c r="K995">
        <v>51773</v>
      </c>
      <c r="L995">
        <v>566267</v>
      </c>
      <c r="M995">
        <v>1901</v>
      </c>
      <c r="N995">
        <v>21658</v>
      </c>
      <c r="O995">
        <v>8371</v>
      </c>
      <c r="P995">
        <v>24</v>
      </c>
      <c r="Q995">
        <v>525</v>
      </c>
      <c r="R995">
        <v>98053</v>
      </c>
      <c r="S995">
        <v>61529</v>
      </c>
      <c r="T995">
        <v>400481</v>
      </c>
      <c r="U995">
        <v>1353</v>
      </c>
      <c r="V995">
        <v>4394</v>
      </c>
      <c r="W995">
        <v>142547</v>
      </c>
      <c r="X995">
        <f>NHS_AE_2024_2025[[#This Row],[A&amp;E attendances Type 1]]+
NHS_AE_2024_2025[[#This Row],[A&amp;E attendances Type 2]]+
NHS_AE_2024_2025[[#This Row],[A&amp;E attendances Other A&amp;E Department]]</f>
        <v>2133300</v>
      </c>
      <c r="Y995">
        <f t="shared" si="30"/>
        <v>589826</v>
      </c>
      <c r="Z995">
        <f t="shared" si="31"/>
        <v>548775</v>
      </c>
    </row>
    <row r="996" spans="1:26" x14ac:dyDescent="0.2">
      <c r="A996" t="s">
        <v>443</v>
      </c>
      <c r="B996" t="s">
        <v>444</v>
      </c>
      <c r="C996" t="s">
        <v>25</v>
      </c>
      <c r="D996" t="s">
        <v>26</v>
      </c>
      <c r="E996" t="s">
        <v>27</v>
      </c>
      <c r="F996">
        <v>0</v>
      </c>
      <c r="G996">
        <v>0</v>
      </c>
      <c r="H996">
        <v>656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f>NHS_AE_2024_2025[[#This Row],[A&amp;E attendances Type 1]]+
NHS_AE_2024_2025[[#This Row],[A&amp;E attendances Type 2]]+
NHS_AE_2024_2025[[#This Row],[A&amp;E attendances Other A&amp;E Department]]</f>
        <v>656</v>
      </c>
      <c r="Y996">
        <f t="shared" si="30"/>
        <v>0</v>
      </c>
      <c r="Z996">
        <f t="shared" si="31"/>
        <v>0</v>
      </c>
    </row>
    <row r="997" spans="1:26" x14ac:dyDescent="0.2">
      <c r="A997" t="s">
        <v>443</v>
      </c>
      <c r="B997" t="s">
        <v>444</v>
      </c>
      <c r="C997" t="s">
        <v>28</v>
      </c>
      <c r="D997" t="s">
        <v>29</v>
      </c>
      <c r="E997" t="s">
        <v>30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33</v>
      </c>
      <c r="X997">
        <f>NHS_AE_2024_2025[[#This Row],[A&amp;E attendances Type 1]]+
NHS_AE_2024_2025[[#This Row],[A&amp;E attendances Type 2]]+
NHS_AE_2024_2025[[#This Row],[A&amp;E attendances Other A&amp;E Department]]</f>
        <v>0</v>
      </c>
      <c r="Y997">
        <f t="shared" si="30"/>
        <v>0</v>
      </c>
      <c r="Z997">
        <f t="shared" si="31"/>
        <v>33</v>
      </c>
    </row>
    <row r="998" spans="1:26" x14ac:dyDescent="0.2">
      <c r="A998" t="s">
        <v>443</v>
      </c>
      <c r="B998" t="s">
        <v>444</v>
      </c>
      <c r="C998" t="s">
        <v>47</v>
      </c>
      <c r="D998" t="s">
        <v>26</v>
      </c>
      <c r="E998" t="s">
        <v>48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11</v>
      </c>
      <c r="W998">
        <v>67</v>
      </c>
      <c r="X998">
        <f>NHS_AE_2024_2025[[#This Row],[A&amp;E attendances Type 1]]+
NHS_AE_2024_2025[[#This Row],[A&amp;E attendances Type 2]]+
NHS_AE_2024_2025[[#This Row],[A&amp;E attendances Other A&amp;E Department]]</f>
        <v>0</v>
      </c>
      <c r="Y998">
        <f t="shared" si="30"/>
        <v>0</v>
      </c>
      <c r="Z998">
        <f t="shared" si="31"/>
        <v>78</v>
      </c>
    </row>
    <row r="999" spans="1:26" x14ac:dyDescent="0.2">
      <c r="A999" t="s">
        <v>443</v>
      </c>
      <c r="B999" t="s">
        <v>444</v>
      </c>
      <c r="C999" t="s">
        <v>86</v>
      </c>
      <c r="D999" t="s">
        <v>37</v>
      </c>
      <c r="E999" t="s">
        <v>87</v>
      </c>
      <c r="F999">
        <v>0</v>
      </c>
      <c r="G999">
        <v>0</v>
      </c>
      <c r="H999">
        <v>1576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13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561</v>
      </c>
      <c r="X999">
        <f>NHS_AE_2024_2025[[#This Row],[A&amp;E attendances Type 1]]+
NHS_AE_2024_2025[[#This Row],[A&amp;E attendances Type 2]]+
NHS_AE_2024_2025[[#This Row],[A&amp;E attendances Other A&amp;E Department]]</f>
        <v>1576</v>
      </c>
      <c r="Y999">
        <f t="shared" si="30"/>
        <v>13</v>
      </c>
      <c r="Z999">
        <f t="shared" si="31"/>
        <v>562</v>
      </c>
    </row>
    <row r="1000" spans="1:26" x14ac:dyDescent="0.2">
      <c r="A1000" t="s">
        <v>443</v>
      </c>
      <c r="B1000" t="s">
        <v>444</v>
      </c>
      <c r="C1000" t="s">
        <v>132</v>
      </c>
      <c r="D1000" t="s">
        <v>37</v>
      </c>
      <c r="E1000" t="s">
        <v>133</v>
      </c>
      <c r="F1000">
        <v>0</v>
      </c>
      <c r="G1000">
        <v>0</v>
      </c>
      <c r="H1000">
        <v>4629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f>NHS_AE_2024_2025[[#This Row],[A&amp;E attendances Type 1]]+
NHS_AE_2024_2025[[#This Row],[A&amp;E attendances Type 2]]+
NHS_AE_2024_2025[[#This Row],[A&amp;E attendances Other A&amp;E Department]]</f>
        <v>4629</v>
      </c>
      <c r="Y1000">
        <f t="shared" si="30"/>
        <v>0</v>
      </c>
      <c r="Z1000">
        <f t="shared" si="31"/>
        <v>0</v>
      </c>
    </row>
    <row r="1001" spans="1:26" x14ac:dyDescent="0.2">
      <c r="A1001" t="s">
        <v>443</v>
      </c>
      <c r="B1001" t="s">
        <v>444</v>
      </c>
      <c r="C1001" t="s">
        <v>36</v>
      </c>
      <c r="D1001" t="s">
        <v>37</v>
      </c>
      <c r="E1001" t="s">
        <v>38</v>
      </c>
      <c r="F1001">
        <v>0</v>
      </c>
      <c r="G1001">
        <v>0</v>
      </c>
      <c r="H1001">
        <v>3193</v>
      </c>
      <c r="I1001">
        <v>0</v>
      </c>
      <c r="J1001">
        <v>0</v>
      </c>
      <c r="K1001">
        <v>9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f>NHS_AE_2024_2025[[#This Row],[A&amp;E attendances Type 1]]+
NHS_AE_2024_2025[[#This Row],[A&amp;E attendances Type 2]]+
NHS_AE_2024_2025[[#This Row],[A&amp;E attendances Other A&amp;E Department]]</f>
        <v>3193</v>
      </c>
      <c r="Y1001">
        <f t="shared" si="30"/>
        <v>0</v>
      </c>
      <c r="Z1001">
        <f t="shared" si="31"/>
        <v>0</v>
      </c>
    </row>
    <row r="1002" spans="1:26" x14ac:dyDescent="0.2">
      <c r="A1002" t="s">
        <v>443</v>
      </c>
      <c r="B1002" t="s">
        <v>444</v>
      </c>
      <c r="C1002" t="s">
        <v>94</v>
      </c>
      <c r="D1002" t="s">
        <v>32</v>
      </c>
      <c r="E1002" t="s">
        <v>95</v>
      </c>
      <c r="F1002">
        <v>0</v>
      </c>
      <c r="G1002">
        <v>0</v>
      </c>
      <c r="H1002">
        <v>380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f>NHS_AE_2024_2025[[#This Row],[A&amp;E attendances Type 1]]+
NHS_AE_2024_2025[[#This Row],[A&amp;E attendances Type 2]]+
NHS_AE_2024_2025[[#This Row],[A&amp;E attendances Other A&amp;E Department]]</f>
        <v>380</v>
      </c>
      <c r="Y1002">
        <f t="shared" si="30"/>
        <v>0</v>
      </c>
      <c r="Z1002">
        <f t="shared" si="31"/>
        <v>0</v>
      </c>
    </row>
    <row r="1003" spans="1:26" x14ac:dyDescent="0.2">
      <c r="A1003" t="s">
        <v>443</v>
      </c>
      <c r="B1003" t="s">
        <v>444</v>
      </c>
      <c r="C1003" t="s">
        <v>412</v>
      </c>
      <c r="D1003" t="s">
        <v>32</v>
      </c>
      <c r="E1003" t="s">
        <v>413</v>
      </c>
      <c r="F1003">
        <v>0</v>
      </c>
      <c r="G1003">
        <v>0</v>
      </c>
      <c r="H1003">
        <v>505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</v>
      </c>
      <c r="X1003">
        <f>NHS_AE_2024_2025[[#This Row],[A&amp;E attendances Type 1]]+
NHS_AE_2024_2025[[#This Row],[A&amp;E attendances Type 2]]+
NHS_AE_2024_2025[[#This Row],[A&amp;E attendances Other A&amp;E Department]]</f>
        <v>505</v>
      </c>
      <c r="Y1003">
        <f t="shared" si="30"/>
        <v>0</v>
      </c>
      <c r="Z1003">
        <f t="shared" si="31"/>
        <v>2</v>
      </c>
    </row>
    <row r="1004" spans="1:26" x14ac:dyDescent="0.2">
      <c r="A1004" t="s">
        <v>443</v>
      </c>
      <c r="B1004" t="s">
        <v>444</v>
      </c>
      <c r="C1004" t="s">
        <v>222</v>
      </c>
      <c r="D1004" t="s">
        <v>32</v>
      </c>
      <c r="E1004" t="s">
        <v>223</v>
      </c>
      <c r="F1004">
        <v>0</v>
      </c>
      <c r="G1004">
        <v>0</v>
      </c>
      <c r="H1004">
        <v>3649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f>NHS_AE_2024_2025[[#This Row],[A&amp;E attendances Type 1]]+
NHS_AE_2024_2025[[#This Row],[A&amp;E attendances Type 2]]+
NHS_AE_2024_2025[[#This Row],[A&amp;E attendances Other A&amp;E Department]]</f>
        <v>3649</v>
      </c>
      <c r="Y1004">
        <f t="shared" si="30"/>
        <v>0</v>
      </c>
      <c r="Z1004">
        <f t="shared" si="31"/>
        <v>0</v>
      </c>
    </row>
    <row r="1005" spans="1:26" x14ac:dyDescent="0.2">
      <c r="A1005" t="s">
        <v>443</v>
      </c>
      <c r="B1005" t="s">
        <v>444</v>
      </c>
      <c r="C1005" t="s">
        <v>41</v>
      </c>
      <c r="D1005" t="s">
        <v>32</v>
      </c>
      <c r="E1005" t="s">
        <v>42</v>
      </c>
      <c r="F1005">
        <v>0</v>
      </c>
      <c r="G1005">
        <v>0</v>
      </c>
      <c r="H1005">
        <v>3274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f>NHS_AE_2024_2025[[#This Row],[A&amp;E attendances Type 1]]+
NHS_AE_2024_2025[[#This Row],[A&amp;E attendances Type 2]]+
NHS_AE_2024_2025[[#This Row],[A&amp;E attendances Other A&amp;E Department]]</f>
        <v>3274</v>
      </c>
      <c r="Y1005">
        <f t="shared" si="30"/>
        <v>0</v>
      </c>
      <c r="Z1005">
        <f t="shared" si="31"/>
        <v>0</v>
      </c>
    </row>
    <row r="1006" spans="1:26" x14ac:dyDescent="0.2">
      <c r="A1006" t="s">
        <v>443</v>
      </c>
      <c r="B1006" t="s">
        <v>444</v>
      </c>
      <c r="C1006" t="s">
        <v>78</v>
      </c>
      <c r="D1006" t="s">
        <v>37</v>
      </c>
      <c r="E1006" t="s">
        <v>79</v>
      </c>
      <c r="F1006">
        <v>0</v>
      </c>
      <c r="G1006">
        <v>0</v>
      </c>
      <c r="H1006">
        <v>2247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f>NHS_AE_2024_2025[[#This Row],[A&amp;E attendances Type 1]]+
NHS_AE_2024_2025[[#This Row],[A&amp;E attendances Type 2]]+
NHS_AE_2024_2025[[#This Row],[A&amp;E attendances Other A&amp;E Department]]</f>
        <v>2247</v>
      </c>
      <c r="Y1006">
        <f t="shared" si="30"/>
        <v>17</v>
      </c>
      <c r="Z1006">
        <f t="shared" si="31"/>
        <v>0</v>
      </c>
    </row>
    <row r="1007" spans="1:26" x14ac:dyDescent="0.2">
      <c r="A1007" t="s">
        <v>443</v>
      </c>
      <c r="B1007" t="s">
        <v>444</v>
      </c>
      <c r="C1007" t="s">
        <v>80</v>
      </c>
      <c r="D1007" t="s">
        <v>37</v>
      </c>
      <c r="E1007" t="s">
        <v>81</v>
      </c>
      <c r="F1007">
        <v>0</v>
      </c>
      <c r="G1007">
        <v>0</v>
      </c>
      <c r="H1007">
        <v>2614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62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f>NHS_AE_2024_2025[[#This Row],[A&amp;E attendances Type 1]]+
NHS_AE_2024_2025[[#This Row],[A&amp;E attendances Type 2]]+
NHS_AE_2024_2025[[#This Row],[A&amp;E attendances Other A&amp;E Department]]</f>
        <v>2614</v>
      </c>
      <c r="Y1007">
        <f t="shared" si="30"/>
        <v>62</v>
      </c>
      <c r="Z1007">
        <f t="shared" si="31"/>
        <v>0</v>
      </c>
    </row>
    <row r="1008" spans="1:26" x14ac:dyDescent="0.2">
      <c r="A1008" t="s">
        <v>443</v>
      </c>
      <c r="B1008" t="s">
        <v>444</v>
      </c>
      <c r="C1008" t="s">
        <v>84</v>
      </c>
      <c r="D1008" t="s">
        <v>50</v>
      </c>
      <c r="E1008" t="s">
        <v>85</v>
      </c>
      <c r="F1008">
        <v>9089</v>
      </c>
      <c r="G1008">
        <v>0</v>
      </c>
      <c r="H1008">
        <v>0</v>
      </c>
      <c r="I1008">
        <v>101</v>
      </c>
      <c r="J1008">
        <v>0</v>
      </c>
      <c r="K1008">
        <v>0</v>
      </c>
      <c r="L1008">
        <v>2632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225</v>
      </c>
      <c r="S1008">
        <v>0</v>
      </c>
      <c r="T1008">
        <v>3029</v>
      </c>
      <c r="U1008">
        <v>0</v>
      </c>
      <c r="V1008">
        <v>0</v>
      </c>
      <c r="W1008">
        <v>525</v>
      </c>
      <c r="X1008">
        <f>NHS_AE_2024_2025[[#This Row],[A&amp;E attendances Type 1]]+
NHS_AE_2024_2025[[#This Row],[A&amp;E attendances Type 2]]+
NHS_AE_2024_2025[[#This Row],[A&amp;E attendances Other A&amp;E Department]]</f>
        <v>9089</v>
      </c>
      <c r="Y1008">
        <f t="shared" si="30"/>
        <v>2632</v>
      </c>
      <c r="Z1008">
        <f t="shared" si="31"/>
        <v>3554</v>
      </c>
    </row>
    <row r="1009" spans="1:26" x14ac:dyDescent="0.2">
      <c r="A1009" t="s">
        <v>443</v>
      </c>
      <c r="B1009" t="s">
        <v>444</v>
      </c>
      <c r="C1009" t="s">
        <v>256</v>
      </c>
      <c r="D1009" t="s">
        <v>37</v>
      </c>
      <c r="E1009" t="s">
        <v>257</v>
      </c>
      <c r="F1009">
        <v>0</v>
      </c>
      <c r="G1009">
        <v>0</v>
      </c>
      <c r="H1009">
        <v>4206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395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f>NHS_AE_2024_2025[[#This Row],[A&amp;E attendances Type 1]]+
NHS_AE_2024_2025[[#This Row],[A&amp;E attendances Type 2]]+
NHS_AE_2024_2025[[#This Row],[A&amp;E attendances Other A&amp;E Department]]</f>
        <v>4206</v>
      </c>
      <c r="Y1009">
        <f t="shared" si="30"/>
        <v>395</v>
      </c>
      <c r="Z1009">
        <f t="shared" si="31"/>
        <v>0</v>
      </c>
    </row>
    <row r="1010" spans="1:26" x14ac:dyDescent="0.2">
      <c r="A1010" t="s">
        <v>443</v>
      </c>
      <c r="B1010" t="s">
        <v>444</v>
      </c>
      <c r="C1010" t="s">
        <v>124</v>
      </c>
      <c r="D1010" t="s">
        <v>37</v>
      </c>
      <c r="E1010" t="s">
        <v>125</v>
      </c>
      <c r="F1010">
        <v>0</v>
      </c>
      <c r="G1010">
        <v>0</v>
      </c>
      <c r="H1010">
        <v>3000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32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129</v>
      </c>
      <c r="X1010">
        <f>NHS_AE_2024_2025[[#This Row],[A&amp;E attendances Type 1]]+
NHS_AE_2024_2025[[#This Row],[A&amp;E attendances Type 2]]+
NHS_AE_2024_2025[[#This Row],[A&amp;E attendances Other A&amp;E Department]]</f>
        <v>3000</v>
      </c>
      <c r="Y1010">
        <f t="shared" si="30"/>
        <v>32</v>
      </c>
      <c r="Z1010">
        <f t="shared" si="31"/>
        <v>129</v>
      </c>
    </row>
    <row r="1011" spans="1:26" x14ac:dyDescent="0.2">
      <c r="A1011" t="s">
        <v>443</v>
      </c>
      <c r="B1011" t="s">
        <v>444</v>
      </c>
      <c r="C1011" t="s">
        <v>49</v>
      </c>
      <c r="D1011" t="s">
        <v>50</v>
      </c>
      <c r="E1011" t="s">
        <v>51</v>
      </c>
      <c r="F1011">
        <v>15931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4726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1042</v>
      </c>
      <c r="S1011">
        <v>3</v>
      </c>
      <c r="T1011">
        <v>3108</v>
      </c>
      <c r="U1011">
        <v>0</v>
      </c>
      <c r="V1011">
        <v>0</v>
      </c>
      <c r="W1011">
        <v>342</v>
      </c>
      <c r="X1011">
        <f>NHS_AE_2024_2025[[#This Row],[A&amp;E attendances Type 1]]+
NHS_AE_2024_2025[[#This Row],[A&amp;E attendances Type 2]]+
NHS_AE_2024_2025[[#This Row],[A&amp;E attendances Other A&amp;E Department]]</f>
        <v>15931</v>
      </c>
      <c r="Y1011">
        <f t="shared" si="30"/>
        <v>4726</v>
      </c>
      <c r="Z1011">
        <f t="shared" si="31"/>
        <v>3450</v>
      </c>
    </row>
    <row r="1012" spans="1:26" x14ac:dyDescent="0.2">
      <c r="A1012" t="s">
        <v>443</v>
      </c>
      <c r="B1012" t="s">
        <v>444</v>
      </c>
      <c r="C1012" t="s">
        <v>176</v>
      </c>
      <c r="D1012" t="s">
        <v>55</v>
      </c>
      <c r="E1012" t="s">
        <v>177</v>
      </c>
      <c r="F1012">
        <v>9152</v>
      </c>
      <c r="G1012">
        <v>0</v>
      </c>
      <c r="H1012">
        <v>10024</v>
      </c>
      <c r="I1012">
        <v>329</v>
      </c>
      <c r="J1012">
        <v>0</v>
      </c>
      <c r="K1012">
        <v>247</v>
      </c>
      <c r="L1012">
        <v>4204</v>
      </c>
      <c r="M1012">
        <v>0</v>
      </c>
      <c r="N1012">
        <v>72</v>
      </c>
      <c r="O1012">
        <v>127</v>
      </c>
      <c r="P1012">
        <v>0</v>
      </c>
      <c r="Q1012">
        <v>0</v>
      </c>
      <c r="R1012">
        <v>582</v>
      </c>
      <c r="S1012">
        <v>768</v>
      </c>
      <c r="T1012">
        <v>2578</v>
      </c>
      <c r="U1012">
        <v>0</v>
      </c>
      <c r="V1012">
        <v>0</v>
      </c>
      <c r="W1012">
        <v>1400</v>
      </c>
      <c r="X1012">
        <f>NHS_AE_2024_2025[[#This Row],[A&amp;E attendances Type 1]]+
NHS_AE_2024_2025[[#This Row],[A&amp;E attendances Type 2]]+
NHS_AE_2024_2025[[#This Row],[A&amp;E attendances Other A&amp;E Department]]</f>
        <v>19176</v>
      </c>
      <c r="Y1012">
        <f t="shared" si="30"/>
        <v>4276</v>
      </c>
      <c r="Z1012">
        <f t="shared" si="31"/>
        <v>3978</v>
      </c>
    </row>
    <row r="1013" spans="1:26" x14ac:dyDescent="0.2">
      <c r="A1013" t="s">
        <v>443</v>
      </c>
      <c r="B1013" t="s">
        <v>444</v>
      </c>
      <c r="C1013" t="s">
        <v>54</v>
      </c>
      <c r="D1013" t="s">
        <v>55</v>
      </c>
      <c r="E1013" t="s">
        <v>56</v>
      </c>
      <c r="F1013">
        <v>0</v>
      </c>
      <c r="G1013">
        <v>0</v>
      </c>
      <c r="H1013">
        <v>4498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83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f>NHS_AE_2024_2025[[#This Row],[A&amp;E attendances Type 1]]+
NHS_AE_2024_2025[[#This Row],[A&amp;E attendances Type 2]]+
NHS_AE_2024_2025[[#This Row],[A&amp;E attendances Other A&amp;E Department]]</f>
        <v>4498</v>
      </c>
      <c r="Y1013">
        <f t="shared" si="30"/>
        <v>83</v>
      </c>
      <c r="Z1013">
        <f t="shared" si="31"/>
        <v>0</v>
      </c>
    </row>
    <row r="1014" spans="1:26" x14ac:dyDescent="0.2">
      <c r="A1014" t="s">
        <v>443</v>
      </c>
      <c r="B1014" t="s">
        <v>444</v>
      </c>
      <c r="C1014" t="s">
        <v>57</v>
      </c>
      <c r="D1014" t="s">
        <v>32</v>
      </c>
      <c r="E1014" t="s">
        <v>58</v>
      </c>
      <c r="F1014">
        <v>0</v>
      </c>
      <c r="G1014">
        <v>0</v>
      </c>
      <c r="H1014">
        <v>6229</v>
      </c>
      <c r="I1014">
        <v>0</v>
      </c>
      <c r="J1014">
        <v>0</v>
      </c>
      <c r="K1014">
        <v>1469</v>
      </c>
      <c r="L1014">
        <v>0</v>
      </c>
      <c r="M1014">
        <v>0</v>
      </c>
      <c r="N1014">
        <v>111</v>
      </c>
      <c r="O1014">
        <v>0</v>
      </c>
      <c r="P1014">
        <v>0</v>
      </c>
      <c r="Q1014">
        <v>11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f>NHS_AE_2024_2025[[#This Row],[A&amp;E attendances Type 1]]+
NHS_AE_2024_2025[[#This Row],[A&amp;E attendances Type 2]]+
NHS_AE_2024_2025[[#This Row],[A&amp;E attendances Other A&amp;E Department]]</f>
        <v>6229</v>
      </c>
      <c r="Y1014">
        <f t="shared" si="30"/>
        <v>111</v>
      </c>
      <c r="Z1014">
        <f t="shared" si="31"/>
        <v>0</v>
      </c>
    </row>
    <row r="1015" spans="1:26" x14ac:dyDescent="0.2">
      <c r="A1015" t="s">
        <v>443</v>
      </c>
      <c r="B1015" t="s">
        <v>444</v>
      </c>
      <c r="C1015" t="s">
        <v>180</v>
      </c>
      <c r="D1015" t="s">
        <v>26</v>
      </c>
      <c r="E1015" t="s">
        <v>181</v>
      </c>
      <c r="F1015">
        <v>0</v>
      </c>
      <c r="G1015">
        <v>0</v>
      </c>
      <c r="H1015">
        <v>1664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112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f>NHS_AE_2024_2025[[#This Row],[A&amp;E attendances Type 1]]+
NHS_AE_2024_2025[[#This Row],[A&amp;E attendances Type 2]]+
NHS_AE_2024_2025[[#This Row],[A&amp;E attendances Other A&amp;E Department]]</f>
        <v>1664</v>
      </c>
      <c r="Y1015">
        <f t="shared" si="30"/>
        <v>112</v>
      </c>
      <c r="Z1015">
        <f t="shared" si="31"/>
        <v>0</v>
      </c>
    </row>
    <row r="1016" spans="1:26" x14ac:dyDescent="0.2">
      <c r="A1016" t="s">
        <v>443</v>
      </c>
      <c r="B1016" t="s">
        <v>444</v>
      </c>
      <c r="C1016" t="s">
        <v>59</v>
      </c>
      <c r="D1016" t="s">
        <v>37</v>
      </c>
      <c r="E1016" t="s">
        <v>60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f>NHS_AE_2024_2025[[#This Row],[A&amp;E attendances Type 1]]+
NHS_AE_2024_2025[[#This Row],[A&amp;E attendances Type 2]]+
NHS_AE_2024_2025[[#This Row],[A&amp;E attendances Other A&amp;E Department]]</f>
        <v>0</v>
      </c>
      <c r="Y1016">
        <f t="shared" si="30"/>
        <v>0</v>
      </c>
      <c r="Z1016">
        <f t="shared" si="31"/>
        <v>0</v>
      </c>
    </row>
    <row r="1017" spans="1:26" x14ac:dyDescent="0.2">
      <c r="A1017" t="s">
        <v>443</v>
      </c>
      <c r="B1017" t="s">
        <v>444</v>
      </c>
      <c r="C1017" t="s">
        <v>130</v>
      </c>
      <c r="D1017" t="s">
        <v>70</v>
      </c>
      <c r="E1017" t="s">
        <v>131</v>
      </c>
      <c r="F1017">
        <v>0</v>
      </c>
      <c r="G1017">
        <v>0</v>
      </c>
      <c r="H1017">
        <v>2802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f>NHS_AE_2024_2025[[#This Row],[A&amp;E attendances Type 1]]+
NHS_AE_2024_2025[[#This Row],[A&amp;E attendances Type 2]]+
NHS_AE_2024_2025[[#This Row],[A&amp;E attendances Other A&amp;E Department]]</f>
        <v>2802</v>
      </c>
      <c r="Y1017">
        <f t="shared" si="30"/>
        <v>0</v>
      </c>
      <c r="Z1017">
        <f t="shared" si="31"/>
        <v>0</v>
      </c>
    </row>
    <row r="1018" spans="1:26" x14ac:dyDescent="0.2">
      <c r="A1018" t="s">
        <v>443</v>
      </c>
      <c r="B1018" t="s">
        <v>444</v>
      </c>
      <c r="C1018" t="s">
        <v>61</v>
      </c>
      <c r="D1018" t="s">
        <v>55</v>
      </c>
      <c r="E1018" t="s">
        <v>62</v>
      </c>
      <c r="F1018">
        <v>0</v>
      </c>
      <c r="G1018">
        <v>0</v>
      </c>
      <c r="H1018">
        <v>1602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f>NHS_AE_2024_2025[[#This Row],[A&amp;E attendances Type 1]]+
NHS_AE_2024_2025[[#This Row],[A&amp;E attendances Type 2]]+
NHS_AE_2024_2025[[#This Row],[A&amp;E attendances Other A&amp;E Department]]</f>
        <v>1602</v>
      </c>
      <c r="Y1018">
        <f t="shared" si="30"/>
        <v>0</v>
      </c>
      <c r="Z1018">
        <f t="shared" si="31"/>
        <v>0</v>
      </c>
    </row>
    <row r="1019" spans="1:26" x14ac:dyDescent="0.2">
      <c r="A1019" t="s">
        <v>443</v>
      </c>
      <c r="B1019" t="s">
        <v>444</v>
      </c>
      <c r="C1019" t="s">
        <v>63</v>
      </c>
      <c r="D1019" t="s">
        <v>32</v>
      </c>
      <c r="E1019" t="s">
        <v>64</v>
      </c>
      <c r="F1019">
        <v>0</v>
      </c>
      <c r="G1019">
        <v>0</v>
      </c>
      <c r="H1019">
        <v>6329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f>NHS_AE_2024_2025[[#This Row],[A&amp;E attendances Type 1]]+
NHS_AE_2024_2025[[#This Row],[A&amp;E attendances Type 2]]+
NHS_AE_2024_2025[[#This Row],[A&amp;E attendances Other A&amp;E Department]]</f>
        <v>6329</v>
      </c>
      <c r="Y1019">
        <f t="shared" si="30"/>
        <v>0</v>
      </c>
      <c r="Z1019">
        <f t="shared" si="31"/>
        <v>0</v>
      </c>
    </row>
    <row r="1020" spans="1:26" x14ac:dyDescent="0.2">
      <c r="A1020" t="s">
        <v>443</v>
      </c>
      <c r="B1020" t="s">
        <v>444</v>
      </c>
      <c r="C1020" t="s">
        <v>31</v>
      </c>
      <c r="D1020" t="s">
        <v>32</v>
      </c>
      <c r="E1020" t="s">
        <v>33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2225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f>NHS_AE_2024_2025[[#This Row],[A&amp;E attendances Type 1]]+
NHS_AE_2024_2025[[#This Row],[A&amp;E attendances Type 2]]+
NHS_AE_2024_2025[[#This Row],[A&amp;E attendances Other A&amp;E Department]]</f>
        <v>0</v>
      </c>
      <c r="Y1020">
        <f t="shared" si="30"/>
        <v>0</v>
      </c>
      <c r="Z1020">
        <f t="shared" si="31"/>
        <v>0</v>
      </c>
    </row>
    <row r="1021" spans="1:26" x14ac:dyDescent="0.2">
      <c r="A1021" t="s">
        <v>443</v>
      </c>
      <c r="B1021" t="s">
        <v>444</v>
      </c>
      <c r="C1021" t="s">
        <v>96</v>
      </c>
      <c r="D1021" t="s">
        <v>29</v>
      </c>
      <c r="E1021" t="s">
        <v>97</v>
      </c>
      <c r="F1021">
        <v>0</v>
      </c>
      <c r="G1021">
        <v>0</v>
      </c>
      <c r="H1021">
        <v>2893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25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f>NHS_AE_2024_2025[[#This Row],[A&amp;E attendances Type 1]]+
NHS_AE_2024_2025[[#This Row],[A&amp;E attendances Type 2]]+
NHS_AE_2024_2025[[#This Row],[A&amp;E attendances Other A&amp;E Department]]</f>
        <v>2893</v>
      </c>
      <c r="Y1021">
        <f t="shared" si="30"/>
        <v>25</v>
      </c>
      <c r="Z1021">
        <f t="shared" si="31"/>
        <v>0</v>
      </c>
    </row>
    <row r="1022" spans="1:26" x14ac:dyDescent="0.2">
      <c r="A1022" t="s">
        <v>443</v>
      </c>
      <c r="B1022" t="s">
        <v>444</v>
      </c>
      <c r="C1022" t="s">
        <v>98</v>
      </c>
      <c r="D1022" t="s">
        <v>29</v>
      </c>
      <c r="E1022" t="s">
        <v>99</v>
      </c>
      <c r="F1022">
        <v>0</v>
      </c>
      <c r="G1022">
        <v>0</v>
      </c>
      <c r="H1022">
        <v>2921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24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f>NHS_AE_2024_2025[[#This Row],[A&amp;E attendances Type 1]]+
NHS_AE_2024_2025[[#This Row],[A&amp;E attendances Type 2]]+
NHS_AE_2024_2025[[#This Row],[A&amp;E attendances Other A&amp;E Department]]</f>
        <v>2921</v>
      </c>
      <c r="Y1022">
        <f t="shared" si="30"/>
        <v>24</v>
      </c>
      <c r="Z1022">
        <f t="shared" si="31"/>
        <v>0</v>
      </c>
    </row>
    <row r="1023" spans="1:26" x14ac:dyDescent="0.2">
      <c r="A1023" t="s">
        <v>443</v>
      </c>
      <c r="B1023" t="s">
        <v>444</v>
      </c>
      <c r="C1023" t="s">
        <v>39</v>
      </c>
      <c r="D1023" t="s">
        <v>26</v>
      </c>
      <c r="E1023" t="s">
        <v>40</v>
      </c>
      <c r="F1023">
        <v>0</v>
      </c>
      <c r="G1023">
        <v>0</v>
      </c>
      <c r="H1023">
        <v>127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f>NHS_AE_2024_2025[[#This Row],[A&amp;E attendances Type 1]]+
NHS_AE_2024_2025[[#This Row],[A&amp;E attendances Type 2]]+
NHS_AE_2024_2025[[#This Row],[A&amp;E attendances Other A&amp;E Department]]</f>
        <v>127</v>
      </c>
      <c r="Y1023">
        <f t="shared" si="30"/>
        <v>0</v>
      </c>
      <c r="Z1023">
        <f t="shared" si="31"/>
        <v>0</v>
      </c>
    </row>
    <row r="1024" spans="1:26" x14ac:dyDescent="0.2">
      <c r="A1024" t="s">
        <v>443</v>
      </c>
      <c r="B1024" t="s">
        <v>444</v>
      </c>
      <c r="C1024" t="s">
        <v>118</v>
      </c>
      <c r="D1024" t="s">
        <v>32</v>
      </c>
      <c r="E1024" t="s">
        <v>119</v>
      </c>
      <c r="F1024">
        <v>0</v>
      </c>
      <c r="G1024">
        <v>0</v>
      </c>
      <c r="H1024">
        <v>1916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f>NHS_AE_2024_2025[[#This Row],[A&amp;E attendances Type 1]]+
NHS_AE_2024_2025[[#This Row],[A&amp;E attendances Type 2]]+
NHS_AE_2024_2025[[#This Row],[A&amp;E attendances Other A&amp;E Department]]</f>
        <v>1916</v>
      </c>
      <c r="Y1024">
        <f t="shared" si="30"/>
        <v>0</v>
      </c>
      <c r="Z1024">
        <f t="shared" si="31"/>
        <v>0</v>
      </c>
    </row>
    <row r="1025" spans="1:26" x14ac:dyDescent="0.2">
      <c r="A1025" t="s">
        <v>443</v>
      </c>
      <c r="B1025" t="s">
        <v>444</v>
      </c>
      <c r="C1025" t="s">
        <v>184</v>
      </c>
      <c r="D1025" t="s">
        <v>55</v>
      </c>
      <c r="E1025" t="s">
        <v>185</v>
      </c>
      <c r="F1025">
        <v>0</v>
      </c>
      <c r="G1025">
        <v>0</v>
      </c>
      <c r="H1025">
        <v>1238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f>NHS_AE_2024_2025[[#This Row],[A&amp;E attendances Type 1]]+
NHS_AE_2024_2025[[#This Row],[A&amp;E attendances Type 2]]+
NHS_AE_2024_2025[[#This Row],[A&amp;E attendances Other A&amp;E Department]]</f>
        <v>1238</v>
      </c>
      <c r="Y1025">
        <f t="shared" si="30"/>
        <v>0</v>
      </c>
      <c r="Z1025">
        <f t="shared" si="31"/>
        <v>0</v>
      </c>
    </row>
    <row r="1026" spans="1:26" x14ac:dyDescent="0.2">
      <c r="A1026" t="s">
        <v>443</v>
      </c>
      <c r="B1026" t="s">
        <v>444</v>
      </c>
      <c r="C1026" t="s">
        <v>82</v>
      </c>
      <c r="D1026" t="s">
        <v>55</v>
      </c>
      <c r="E1026" t="s">
        <v>83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154</v>
      </c>
      <c r="X1026">
        <f>NHS_AE_2024_2025[[#This Row],[A&amp;E attendances Type 1]]+
NHS_AE_2024_2025[[#This Row],[A&amp;E attendances Type 2]]+
NHS_AE_2024_2025[[#This Row],[A&amp;E attendances Other A&amp;E Department]]</f>
        <v>0</v>
      </c>
      <c r="Y1026">
        <f t="shared" ref="Y1026:Y1089" si="32">L1026+M1026+N1026</f>
        <v>0</v>
      </c>
      <c r="Z1026">
        <f t="shared" ref="Z1026:Z1089" si="33">T1026+U1026+V1026+W1026</f>
        <v>154</v>
      </c>
    </row>
    <row r="1027" spans="1:26" x14ac:dyDescent="0.2">
      <c r="A1027" t="s">
        <v>443</v>
      </c>
      <c r="B1027" t="s">
        <v>444</v>
      </c>
      <c r="C1027" t="s">
        <v>154</v>
      </c>
      <c r="D1027" t="s">
        <v>70</v>
      </c>
      <c r="E1027" t="s">
        <v>155</v>
      </c>
      <c r="F1027">
        <v>7844</v>
      </c>
      <c r="G1027">
        <v>0</v>
      </c>
      <c r="H1027">
        <v>1338</v>
      </c>
      <c r="I1027">
        <v>0</v>
      </c>
      <c r="J1027">
        <v>0</v>
      </c>
      <c r="K1027">
        <v>0</v>
      </c>
      <c r="L1027">
        <v>3059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603</v>
      </c>
      <c r="S1027">
        <v>306</v>
      </c>
      <c r="T1027">
        <v>1623</v>
      </c>
      <c r="U1027">
        <v>0</v>
      </c>
      <c r="V1027">
        <v>0</v>
      </c>
      <c r="W1027">
        <v>423</v>
      </c>
      <c r="X1027">
        <f>NHS_AE_2024_2025[[#This Row],[A&amp;E attendances Type 1]]+
NHS_AE_2024_2025[[#This Row],[A&amp;E attendances Type 2]]+
NHS_AE_2024_2025[[#This Row],[A&amp;E attendances Other A&amp;E Department]]</f>
        <v>9182</v>
      </c>
      <c r="Y1027">
        <f t="shared" si="32"/>
        <v>3059</v>
      </c>
      <c r="Z1027">
        <f t="shared" si="33"/>
        <v>2046</v>
      </c>
    </row>
    <row r="1028" spans="1:26" x14ac:dyDescent="0.2">
      <c r="A1028" t="s">
        <v>443</v>
      </c>
      <c r="B1028" t="s">
        <v>444</v>
      </c>
      <c r="C1028" t="s">
        <v>304</v>
      </c>
      <c r="D1028" t="s">
        <v>29</v>
      </c>
      <c r="E1028" t="s">
        <v>305</v>
      </c>
      <c r="F1028">
        <v>13230</v>
      </c>
      <c r="G1028">
        <v>0</v>
      </c>
      <c r="H1028">
        <v>4892</v>
      </c>
      <c r="I1028">
        <v>0</v>
      </c>
      <c r="J1028">
        <v>0</v>
      </c>
      <c r="K1028">
        <v>0</v>
      </c>
      <c r="L1028">
        <v>4698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567</v>
      </c>
      <c r="S1028">
        <v>445</v>
      </c>
      <c r="T1028">
        <v>1432</v>
      </c>
      <c r="U1028">
        <v>0</v>
      </c>
      <c r="V1028">
        <v>0</v>
      </c>
      <c r="W1028">
        <v>142</v>
      </c>
      <c r="X1028">
        <f>NHS_AE_2024_2025[[#This Row],[A&amp;E attendances Type 1]]+
NHS_AE_2024_2025[[#This Row],[A&amp;E attendances Type 2]]+
NHS_AE_2024_2025[[#This Row],[A&amp;E attendances Other A&amp;E Department]]</f>
        <v>18122</v>
      </c>
      <c r="Y1028">
        <f t="shared" si="32"/>
        <v>4698</v>
      </c>
      <c r="Z1028">
        <f t="shared" si="33"/>
        <v>1574</v>
      </c>
    </row>
    <row r="1029" spans="1:26" x14ac:dyDescent="0.2">
      <c r="A1029" t="s">
        <v>443</v>
      </c>
      <c r="B1029" t="s">
        <v>444</v>
      </c>
      <c r="C1029" t="s">
        <v>310</v>
      </c>
      <c r="D1029" t="s">
        <v>26</v>
      </c>
      <c r="E1029" t="s">
        <v>311</v>
      </c>
      <c r="F1029">
        <v>9222</v>
      </c>
      <c r="G1029">
        <v>131</v>
      </c>
      <c r="H1029">
        <v>5305</v>
      </c>
      <c r="I1029">
        <v>0</v>
      </c>
      <c r="J1029">
        <v>0</v>
      </c>
      <c r="K1029">
        <v>0</v>
      </c>
      <c r="L1029">
        <v>5130</v>
      </c>
      <c r="M1029">
        <v>0</v>
      </c>
      <c r="N1029">
        <v>233</v>
      </c>
      <c r="O1029">
        <v>0</v>
      </c>
      <c r="P1029">
        <v>0</v>
      </c>
      <c r="Q1029">
        <v>0</v>
      </c>
      <c r="R1029">
        <v>716</v>
      </c>
      <c r="S1029">
        <v>561</v>
      </c>
      <c r="T1029">
        <v>2984</v>
      </c>
      <c r="U1029">
        <v>0</v>
      </c>
      <c r="V1029">
        <v>0</v>
      </c>
      <c r="W1029">
        <v>1272</v>
      </c>
      <c r="X1029">
        <f>NHS_AE_2024_2025[[#This Row],[A&amp;E attendances Type 1]]+
NHS_AE_2024_2025[[#This Row],[A&amp;E attendances Type 2]]+
NHS_AE_2024_2025[[#This Row],[A&amp;E attendances Other A&amp;E Department]]</f>
        <v>14658</v>
      </c>
      <c r="Y1029">
        <f t="shared" si="32"/>
        <v>5363</v>
      </c>
      <c r="Z1029">
        <f t="shared" si="33"/>
        <v>4256</v>
      </c>
    </row>
    <row r="1030" spans="1:26" x14ac:dyDescent="0.2">
      <c r="A1030" t="s">
        <v>443</v>
      </c>
      <c r="B1030" t="s">
        <v>444</v>
      </c>
      <c r="C1030" t="s">
        <v>352</v>
      </c>
      <c r="D1030" t="s">
        <v>50</v>
      </c>
      <c r="E1030" t="s">
        <v>353</v>
      </c>
      <c r="F1030">
        <v>16592</v>
      </c>
      <c r="G1030">
        <v>159</v>
      </c>
      <c r="H1030">
        <v>6215</v>
      </c>
      <c r="I1030">
        <v>124</v>
      </c>
      <c r="J1030">
        <v>0</v>
      </c>
      <c r="K1030">
        <v>78</v>
      </c>
      <c r="L1030">
        <v>6711</v>
      </c>
      <c r="M1030">
        <v>0</v>
      </c>
      <c r="N1030">
        <v>507</v>
      </c>
      <c r="O1030">
        <v>3</v>
      </c>
      <c r="P1030">
        <v>0</v>
      </c>
      <c r="Q1030">
        <v>1</v>
      </c>
      <c r="R1030">
        <v>2357</v>
      </c>
      <c r="S1030">
        <v>344</v>
      </c>
      <c r="T1030">
        <v>3522</v>
      </c>
      <c r="U1030">
        <v>0</v>
      </c>
      <c r="V1030">
        <v>167</v>
      </c>
      <c r="W1030">
        <v>995</v>
      </c>
      <c r="X1030">
        <f>NHS_AE_2024_2025[[#This Row],[A&amp;E attendances Type 1]]+
NHS_AE_2024_2025[[#This Row],[A&amp;E attendances Type 2]]+
NHS_AE_2024_2025[[#This Row],[A&amp;E attendances Other A&amp;E Department]]</f>
        <v>22966</v>
      </c>
      <c r="Y1030">
        <f t="shared" si="32"/>
        <v>7218</v>
      </c>
      <c r="Z1030">
        <f t="shared" si="33"/>
        <v>4684</v>
      </c>
    </row>
    <row r="1031" spans="1:26" x14ac:dyDescent="0.2">
      <c r="A1031" t="s">
        <v>443</v>
      </c>
      <c r="B1031" t="s">
        <v>444</v>
      </c>
      <c r="C1031" t="s">
        <v>216</v>
      </c>
      <c r="D1031" t="s">
        <v>55</v>
      </c>
      <c r="E1031" t="s">
        <v>217</v>
      </c>
      <c r="F1031">
        <v>13481</v>
      </c>
      <c r="G1031">
        <v>0</v>
      </c>
      <c r="H1031">
        <v>11022</v>
      </c>
      <c r="I1031">
        <v>0</v>
      </c>
      <c r="J1031">
        <v>0</v>
      </c>
      <c r="K1031">
        <v>0</v>
      </c>
      <c r="L1031">
        <v>4249</v>
      </c>
      <c r="M1031">
        <v>0</v>
      </c>
      <c r="N1031">
        <v>434</v>
      </c>
      <c r="O1031">
        <v>0</v>
      </c>
      <c r="P1031">
        <v>0</v>
      </c>
      <c r="Q1031">
        <v>0</v>
      </c>
      <c r="R1031">
        <v>627</v>
      </c>
      <c r="S1031">
        <v>907</v>
      </c>
      <c r="T1031">
        <v>4178</v>
      </c>
      <c r="U1031">
        <v>0</v>
      </c>
      <c r="V1031">
        <v>88</v>
      </c>
      <c r="W1031">
        <v>1685</v>
      </c>
      <c r="X1031">
        <f>NHS_AE_2024_2025[[#This Row],[A&amp;E attendances Type 1]]+
NHS_AE_2024_2025[[#This Row],[A&amp;E attendances Type 2]]+
NHS_AE_2024_2025[[#This Row],[A&amp;E attendances Other A&amp;E Department]]</f>
        <v>24503</v>
      </c>
      <c r="Y1031">
        <f t="shared" si="32"/>
        <v>4683</v>
      </c>
      <c r="Z1031">
        <f t="shared" si="33"/>
        <v>5951</v>
      </c>
    </row>
    <row r="1032" spans="1:26" x14ac:dyDescent="0.2">
      <c r="A1032" t="s">
        <v>443</v>
      </c>
      <c r="B1032" t="s">
        <v>444</v>
      </c>
      <c r="C1032" t="s">
        <v>218</v>
      </c>
      <c r="D1032" t="s">
        <v>70</v>
      </c>
      <c r="E1032" t="s">
        <v>219</v>
      </c>
      <c r="F1032">
        <v>0</v>
      </c>
      <c r="G1032">
        <v>0</v>
      </c>
      <c r="H1032">
        <v>1166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93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f>NHS_AE_2024_2025[[#This Row],[A&amp;E attendances Type 1]]+
NHS_AE_2024_2025[[#This Row],[A&amp;E attendances Type 2]]+
NHS_AE_2024_2025[[#This Row],[A&amp;E attendances Other A&amp;E Department]]</f>
        <v>1166</v>
      </c>
      <c r="Y1032">
        <f t="shared" si="32"/>
        <v>93</v>
      </c>
      <c r="Z1032">
        <f t="shared" si="33"/>
        <v>0</v>
      </c>
    </row>
    <row r="1033" spans="1:26" x14ac:dyDescent="0.2">
      <c r="A1033" t="s">
        <v>443</v>
      </c>
      <c r="B1033" t="s">
        <v>444</v>
      </c>
      <c r="C1033" t="s">
        <v>90</v>
      </c>
      <c r="D1033" t="s">
        <v>29</v>
      </c>
      <c r="E1033" t="s">
        <v>91</v>
      </c>
      <c r="F1033">
        <v>0</v>
      </c>
      <c r="G1033">
        <v>0</v>
      </c>
      <c r="H1033">
        <v>7648</v>
      </c>
      <c r="I1033">
        <v>0</v>
      </c>
      <c r="J1033">
        <v>0</v>
      </c>
      <c r="K1033">
        <v>523</v>
      </c>
      <c r="L1033">
        <v>0</v>
      </c>
      <c r="M1033">
        <v>0</v>
      </c>
      <c r="N1033">
        <v>227</v>
      </c>
      <c r="O1033">
        <v>0</v>
      </c>
      <c r="P1033">
        <v>0</v>
      </c>
      <c r="Q1033">
        <v>10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f>NHS_AE_2024_2025[[#This Row],[A&amp;E attendances Type 1]]+
NHS_AE_2024_2025[[#This Row],[A&amp;E attendances Type 2]]+
NHS_AE_2024_2025[[#This Row],[A&amp;E attendances Other A&amp;E Department]]</f>
        <v>7648</v>
      </c>
      <c r="Y1033">
        <f t="shared" si="32"/>
        <v>227</v>
      </c>
      <c r="Z1033">
        <f t="shared" si="33"/>
        <v>0</v>
      </c>
    </row>
    <row r="1034" spans="1:26" x14ac:dyDescent="0.2">
      <c r="A1034" t="s">
        <v>443</v>
      </c>
      <c r="B1034" t="s">
        <v>444</v>
      </c>
      <c r="C1034" t="s">
        <v>65</v>
      </c>
      <c r="D1034" t="s">
        <v>32</v>
      </c>
      <c r="E1034" t="s">
        <v>66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2218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f>NHS_AE_2024_2025[[#This Row],[A&amp;E attendances Type 1]]+
NHS_AE_2024_2025[[#This Row],[A&amp;E attendances Type 2]]+
NHS_AE_2024_2025[[#This Row],[A&amp;E attendances Other A&amp;E Department]]</f>
        <v>0</v>
      </c>
      <c r="Y1034">
        <f t="shared" si="32"/>
        <v>0</v>
      </c>
      <c r="Z1034">
        <f t="shared" si="33"/>
        <v>0</v>
      </c>
    </row>
    <row r="1035" spans="1:26" x14ac:dyDescent="0.2">
      <c r="A1035" t="s">
        <v>443</v>
      </c>
      <c r="B1035" t="s">
        <v>444</v>
      </c>
      <c r="C1035" t="s">
        <v>108</v>
      </c>
      <c r="D1035" t="s">
        <v>37</v>
      </c>
      <c r="E1035" t="s">
        <v>109</v>
      </c>
      <c r="F1035">
        <v>0</v>
      </c>
      <c r="G1035">
        <v>0</v>
      </c>
      <c r="H1035">
        <v>2223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f>NHS_AE_2024_2025[[#This Row],[A&amp;E attendances Type 1]]+
NHS_AE_2024_2025[[#This Row],[A&amp;E attendances Type 2]]+
NHS_AE_2024_2025[[#This Row],[A&amp;E attendances Other A&amp;E Department]]</f>
        <v>2223</v>
      </c>
      <c r="Y1035">
        <f t="shared" si="32"/>
        <v>0</v>
      </c>
      <c r="Z1035">
        <f t="shared" si="33"/>
        <v>0</v>
      </c>
    </row>
    <row r="1036" spans="1:26" x14ac:dyDescent="0.2">
      <c r="A1036" t="s">
        <v>443</v>
      </c>
      <c r="B1036" t="s">
        <v>444</v>
      </c>
      <c r="C1036" t="s">
        <v>386</v>
      </c>
      <c r="D1036" t="s">
        <v>32</v>
      </c>
      <c r="E1036" t="s">
        <v>387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17</v>
      </c>
      <c r="X1036">
        <f>NHS_AE_2024_2025[[#This Row],[A&amp;E attendances Type 1]]+
NHS_AE_2024_2025[[#This Row],[A&amp;E attendances Type 2]]+
NHS_AE_2024_2025[[#This Row],[A&amp;E attendances Other A&amp;E Department]]</f>
        <v>0</v>
      </c>
      <c r="Y1036">
        <f t="shared" si="32"/>
        <v>0</v>
      </c>
      <c r="Z1036">
        <f t="shared" si="33"/>
        <v>17</v>
      </c>
    </row>
    <row r="1037" spans="1:26" x14ac:dyDescent="0.2">
      <c r="A1037" t="s">
        <v>443</v>
      </c>
      <c r="B1037" t="s">
        <v>444</v>
      </c>
      <c r="C1037" t="s">
        <v>114</v>
      </c>
      <c r="D1037" t="s">
        <v>32</v>
      </c>
      <c r="E1037" t="s">
        <v>115</v>
      </c>
      <c r="F1037">
        <v>10662</v>
      </c>
      <c r="G1037">
        <v>594</v>
      </c>
      <c r="H1037">
        <v>2249</v>
      </c>
      <c r="I1037">
        <v>1283</v>
      </c>
      <c r="J1037">
        <v>0</v>
      </c>
      <c r="K1037">
        <v>93</v>
      </c>
      <c r="L1037">
        <v>3390</v>
      </c>
      <c r="M1037">
        <v>14</v>
      </c>
      <c r="N1037">
        <v>30</v>
      </c>
      <c r="O1037">
        <v>284</v>
      </c>
      <c r="P1037">
        <v>0</v>
      </c>
      <c r="Q1037">
        <v>3</v>
      </c>
      <c r="R1037">
        <v>539</v>
      </c>
      <c r="S1037">
        <v>702</v>
      </c>
      <c r="T1037">
        <v>2075</v>
      </c>
      <c r="U1037">
        <v>0</v>
      </c>
      <c r="V1037">
        <v>0</v>
      </c>
      <c r="W1037">
        <v>1306</v>
      </c>
      <c r="X1037">
        <f>NHS_AE_2024_2025[[#This Row],[A&amp;E attendances Type 1]]+
NHS_AE_2024_2025[[#This Row],[A&amp;E attendances Type 2]]+
NHS_AE_2024_2025[[#This Row],[A&amp;E attendances Other A&amp;E Department]]</f>
        <v>13505</v>
      </c>
      <c r="Y1037">
        <f t="shared" si="32"/>
        <v>3434</v>
      </c>
      <c r="Z1037">
        <f t="shared" si="33"/>
        <v>3381</v>
      </c>
    </row>
    <row r="1038" spans="1:26" x14ac:dyDescent="0.2">
      <c r="A1038" t="s">
        <v>443</v>
      </c>
      <c r="B1038" t="s">
        <v>444</v>
      </c>
      <c r="C1038" t="s">
        <v>410</v>
      </c>
      <c r="D1038" t="s">
        <v>32</v>
      </c>
      <c r="E1038" t="s">
        <v>411</v>
      </c>
      <c r="F1038">
        <v>4997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647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1005</v>
      </c>
      <c r="U1038">
        <v>0</v>
      </c>
      <c r="V1038">
        <v>0</v>
      </c>
      <c r="W1038">
        <v>165</v>
      </c>
      <c r="X1038">
        <f>NHS_AE_2024_2025[[#This Row],[A&amp;E attendances Type 1]]+
NHS_AE_2024_2025[[#This Row],[A&amp;E attendances Type 2]]+
NHS_AE_2024_2025[[#This Row],[A&amp;E attendances Other A&amp;E Department]]</f>
        <v>4997</v>
      </c>
      <c r="Y1038">
        <f t="shared" si="32"/>
        <v>647</v>
      </c>
      <c r="Z1038">
        <f t="shared" si="33"/>
        <v>1170</v>
      </c>
    </row>
    <row r="1039" spans="1:26" x14ac:dyDescent="0.2">
      <c r="A1039" t="s">
        <v>443</v>
      </c>
      <c r="B1039" t="s">
        <v>444</v>
      </c>
      <c r="C1039" t="s">
        <v>104</v>
      </c>
      <c r="D1039" t="s">
        <v>29</v>
      </c>
      <c r="E1039" t="s">
        <v>105</v>
      </c>
      <c r="F1039">
        <v>11481</v>
      </c>
      <c r="G1039">
        <v>0</v>
      </c>
      <c r="H1039">
        <v>0</v>
      </c>
      <c r="I1039">
        <v>3</v>
      </c>
      <c r="J1039">
        <v>0</v>
      </c>
      <c r="K1039">
        <v>0</v>
      </c>
      <c r="L1039">
        <v>1508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163</v>
      </c>
      <c r="S1039">
        <v>24</v>
      </c>
      <c r="T1039">
        <v>1848</v>
      </c>
      <c r="U1039">
        <v>0</v>
      </c>
      <c r="V1039">
        <v>0</v>
      </c>
      <c r="W1039">
        <v>344</v>
      </c>
      <c r="X1039">
        <f>NHS_AE_2024_2025[[#This Row],[A&amp;E attendances Type 1]]+
NHS_AE_2024_2025[[#This Row],[A&amp;E attendances Type 2]]+
NHS_AE_2024_2025[[#This Row],[A&amp;E attendances Other A&amp;E Department]]</f>
        <v>11481</v>
      </c>
      <c r="Y1039">
        <f t="shared" si="32"/>
        <v>1508</v>
      </c>
      <c r="Z1039">
        <f t="shared" si="33"/>
        <v>2192</v>
      </c>
    </row>
    <row r="1040" spans="1:26" x14ac:dyDescent="0.2">
      <c r="A1040" t="s">
        <v>443</v>
      </c>
      <c r="B1040" t="s">
        <v>444</v>
      </c>
      <c r="C1040" t="s">
        <v>270</v>
      </c>
      <c r="D1040" t="s">
        <v>32</v>
      </c>
      <c r="E1040" t="s">
        <v>271</v>
      </c>
      <c r="F1040">
        <v>14968</v>
      </c>
      <c r="G1040">
        <v>1101</v>
      </c>
      <c r="H1040">
        <v>8150</v>
      </c>
      <c r="I1040">
        <v>767</v>
      </c>
      <c r="J1040">
        <v>0</v>
      </c>
      <c r="K1040">
        <v>0</v>
      </c>
      <c r="L1040">
        <v>7037</v>
      </c>
      <c r="M1040">
        <v>139</v>
      </c>
      <c r="N1040">
        <v>178</v>
      </c>
      <c r="O1040">
        <v>125</v>
      </c>
      <c r="P1040">
        <v>0</v>
      </c>
      <c r="Q1040">
        <v>0</v>
      </c>
      <c r="R1040">
        <v>1529</v>
      </c>
      <c r="S1040">
        <v>818</v>
      </c>
      <c r="T1040">
        <v>2712</v>
      </c>
      <c r="U1040">
        <v>0</v>
      </c>
      <c r="V1040">
        <v>0</v>
      </c>
      <c r="W1040">
        <v>468</v>
      </c>
      <c r="X1040">
        <f>NHS_AE_2024_2025[[#This Row],[A&amp;E attendances Type 1]]+
NHS_AE_2024_2025[[#This Row],[A&amp;E attendances Type 2]]+
NHS_AE_2024_2025[[#This Row],[A&amp;E attendances Other A&amp;E Department]]</f>
        <v>24219</v>
      </c>
      <c r="Y1040">
        <f t="shared" si="32"/>
        <v>7354</v>
      </c>
      <c r="Z1040">
        <f t="shared" si="33"/>
        <v>3180</v>
      </c>
    </row>
    <row r="1041" spans="1:26" x14ac:dyDescent="0.2">
      <c r="A1041" t="s">
        <v>443</v>
      </c>
      <c r="B1041" t="s">
        <v>444</v>
      </c>
      <c r="C1041" t="s">
        <v>52</v>
      </c>
      <c r="D1041" t="s">
        <v>37</v>
      </c>
      <c r="E1041" t="s">
        <v>53</v>
      </c>
      <c r="F1041">
        <v>10262</v>
      </c>
      <c r="G1041">
        <v>1255</v>
      </c>
      <c r="H1041">
        <v>3659</v>
      </c>
      <c r="I1041">
        <v>0</v>
      </c>
      <c r="J1041">
        <v>0</v>
      </c>
      <c r="K1041">
        <v>0</v>
      </c>
      <c r="L1041">
        <v>3936</v>
      </c>
      <c r="M1041">
        <v>0</v>
      </c>
      <c r="N1041">
        <v>221</v>
      </c>
      <c r="O1041">
        <v>0</v>
      </c>
      <c r="P1041">
        <v>0</v>
      </c>
      <c r="Q1041">
        <v>0</v>
      </c>
      <c r="R1041">
        <v>329</v>
      </c>
      <c r="S1041">
        <v>229</v>
      </c>
      <c r="T1041">
        <v>4074</v>
      </c>
      <c r="U1041">
        <v>867</v>
      </c>
      <c r="V1041">
        <v>0</v>
      </c>
      <c r="W1041">
        <v>1844</v>
      </c>
      <c r="X1041">
        <f>NHS_AE_2024_2025[[#This Row],[A&amp;E attendances Type 1]]+
NHS_AE_2024_2025[[#This Row],[A&amp;E attendances Type 2]]+
NHS_AE_2024_2025[[#This Row],[A&amp;E attendances Other A&amp;E Department]]</f>
        <v>15176</v>
      </c>
      <c r="Y1041">
        <f t="shared" si="32"/>
        <v>4157</v>
      </c>
      <c r="Z1041">
        <f t="shared" si="33"/>
        <v>6785</v>
      </c>
    </row>
    <row r="1042" spans="1:26" x14ac:dyDescent="0.2">
      <c r="A1042" t="s">
        <v>443</v>
      </c>
      <c r="B1042" t="s">
        <v>444</v>
      </c>
      <c r="C1042" t="s">
        <v>274</v>
      </c>
      <c r="D1042" t="s">
        <v>32</v>
      </c>
      <c r="E1042" t="s">
        <v>275</v>
      </c>
      <c r="F1042">
        <v>0</v>
      </c>
      <c r="G1042">
        <v>0</v>
      </c>
      <c r="H1042">
        <v>8966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334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f>NHS_AE_2024_2025[[#This Row],[A&amp;E attendances Type 1]]+
NHS_AE_2024_2025[[#This Row],[A&amp;E attendances Type 2]]+
NHS_AE_2024_2025[[#This Row],[A&amp;E attendances Other A&amp;E Department]]</f>
        <v>8966</v>
      </c>
      <c r="Y1042">
        <f t="shared" si="32"/>
        <v>334</v>
      </c>
      <c r="Z1042">
        <f t="shared" si="33"/>
        <v>0</v>
      </c>
    </row>
    <row r="1043" spans="1:26" x14ac:dyDescent="0.2">
      <c r="A1043" t="s">
        <v>443</v>
      </c>
      <c r="B1043" t="s">
        <v>444</v>
      </c>
      <c r="C1043" t="s">
        <v>67</v>
      </c>
      <c r="D1043" t="s">
        <v>29</v>
      </c>
      <c r="E1043" t="s">
        <v>68</v>
      </c>
      <c r="F1043">
        <v>0</v>
      </c>
      <c r="G1043">
        <v>0</v>
      </c>
      <c r="H1043">
        <v>970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f>NHS_AE_2024_2025[[#This Row],[A&amp;E attendances Type 1]]+
NHS_AE_2024_2025[[#This Row],[A&amp;E attendances Type 2]]+
NHS_AE_2024_2025[[#This Row],[A&amp;E attendances Other A&amp;E Department]]</f>
        <v>970</v>
      </c>
      <c r="Y1043">
        <f t="shared" si="32"/>
        <v>0</v>
      </c>
      <c r="Z1043">
        <f t="shared" si="33"/>
        <v>0</v>
      </c>
    </row>
    <row r="1044" spans="1:26" x14ac:dyDescent="0.2">
      <c r="A1044" t="s">
        <v>443</v>
      </c>
      <c r="B1044" t="s">
        <v>444</v>
      </c>
      <c r="C1044" t="s">
        <v>110</v>
      </c>
      <c r="D1044" t="s">
        <v>37</v>
      </c>
      <c r="E1044" t="s">
        <v>111</v>
      </c>
      <c r="F1044">
        <v>0</v>
      </c>
      <c r="G1044">
        <v>0</v>
      </c>
      <c r="H1044">
        <v>1136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f>NHS_AE_2024_2025[[#This Row],[A&amp;E attendances Type 1]]+
NHS_AE_2024_2025[[#This Row],[A&amp;E attendances Type 2]]+
NHS_AE_2024_2025[[#This Row],[A&amp;E attendances Other A&amp;E Department]]</f>
        <v>1136</v>
      </c>
      <c r="Y1044">
        <f t="shared" si="32"/>
        <v>0</v>
      </c>
      <c r="Z1044">
        <f t="shared" si="33"/>
        <v>0</v>
      </c>
    </row>
    <row r="1045" spans="1:26" x14ac:dyDescent="0.2">
      <c r="A1045" t="s">
        <v>443</v>
      </c>
      <c r="B1045" t="s">
        <v>444</v>
      </c>
      <c r="C1045" t="s">
        <v>72</v>
      </c>
      <c r="D1045" t="s">
        <v>55</v>
      </c>
      <c r="E1045" t="s">
        <v>73</v>
      </c>
      <c r="F1045">
        <v>0</v>
      </c>
      <c r="G1045">
        <v>0</v>
      </c>
      <c r="H1045">
        <v>1806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5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f>NHS_AE_2024_2025[[#This Row],[A&amp;E attendances Type 1]]+
NHS_AE_2024_2025[[#This Row],[A&amp;E attendances Type 2]]+
NHS_AE_2024_2025[[#This Row],[A&amp;E attendances Other A&amp;E Department]]</f>
        <v>1806</v>
      </c>
      <c r="Y1045">
        <f t="shared" si="32"/>
        <v>5</v>
      </c>
      <c r="Z1045">
        <f t="shared" si="33"/>
        <v>0</v>
      </c>
    </row>
    <row r="1046" spans="1:26" x14ac:dyDescent="0.2">
      <c r="A1046" t="s">
        <v>443</v>
      </c>
      <c r="B1046" t="s">
        <v>444</v>
      </c>
      <c r="C1046" t="s">
        <v>74</v>
      </c>
      <c r="D1046" t="s">
        <v>26</v>
      </c>
      <c r="E1046" t="s">
        <v>75</v>
      </c>
      <c r="F1046">
        <v>0</v>
      </c>
      <c r="G1046">
        <v>0</v>
      </c>
      <c r="H1046">
        <v>1029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18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f>NHS_AE_2024_2025[[#This Row],[A&amp;E attendances Type 1]]+
NHS_AE_2024_2025[[#This Row],[A&amp;E attendances Type 2]]+
NHS_AE_2024_2025[[#This Row],[A&amp;E attendances Other A&amp;E Department]]</f>
        <v>1029</v>
      </c>
      <c r="Y1046">
        <f t="shared" si="32"/>
        <v>18</v>
      </c>
      <c r="Z1046">
        <f t="shared" si="33"/>
        <v>0</v>
      </c>
    </row>
    <row r="1047" spans="1:26" x14ac:dyDescent="0.2">
      <c r="A1047" t="s">
        <v>443</v>
      </c>
      <c r="B1047" t="s">
        <v>444</v>
      </c>
      <c r="C1047" t="s">
        <v>100</v>
      </c>
      <c r="D1047" t="s">
        <v>37</v>
      </c>
      <c r="E1047" t="s">
        <v>101</v>
      </c>
      <c r="F1047">
        <v>0</v>
      </c>
      <c r="G1047">
        <v>0</v>
      </c>
      <c r="H1047">
        <v>5291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307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f>NHS_AE_2024_2025[[#This Row],[A&amp;E attendances Type 1]]+
NHS_AE_2024_2025[[#This Row],[A&amp;E attendances Type 2]]+
NHS_AE_2024_2025[[#This Row],[A&amp;E attendances Other A&amp;E Department]]</f>
        <v>5291</v>
      </c>
      <c r="Y1047">
        <f t="shared" si="32"/>
        <v>307</v>
      </c>
      <c r="Z1047">
        <f t="shared" si="33"/>
        <v>0</v>
      </c>
    </row>
    <row r="1048" spans="1:26" x14ac:dyDescent="0.2">
      <c r="A1048" t="s">
        <v>443</v>
      </c>
      <c r="B1048" t="s">
        <v>444</v>
      </c>
      <c r="C1048" t="s">
        <v>226</v>
      </c>
      <c r="D1048" t="s">
        <v>37</v>
      </c>
      <c r="E1048" t="s">
        <v>227</v>
      </c>
      <c r="F1048">
        <v>6586</v>
      </c>
      <c r="G1048">
        <v>0</v>
      </c>
      <c r="H1048">
        <v>1503</v>
      </c>
      <c r="I1048">
        <v>629</v>
      </c>
      <c r="J1048">
        <v>0</v>
      </c>
      <c r="K1048">
        <v>3</v>
      </c>
      <c r="L1048">
        <v>1428</v>
      </c>
      <c r="M1048">
        <v>0</v>
      </c>
      <c r="N1048">
        <v>0</v>
      </c>
      <c r="O1048">
        <v>111</v>
      </c>
      <c r="P1048">
        <v>0</v>
      </c>
      <c r="Q1048">
        <v>0</v>
      </c>
      <c r="R1048">
        <v>155</v>
      </c>
      <c r="S1048">
        <v>0</v>
      </c>
      <c r="T1048">
        <v>2470</v>
      </c>
      <c r="U1048">
        <v>0</v>
      </c>
      <c r="V1048">
        <v>0</v>
      </c>
      <c r="W1048">
        <v>1098</v>
      </c>
      <c r="X1048">
        <f>NHS_AE_2024_2025[[#This Row],[A&amp;E attendances Type 1]]+
NHS_AE_2024_2025[[#This Row],[A&amp;E attendances Type 2]]+
NHS_AE_2024_2025[[#This Row],[A&amp;E attendances Other A&amp;E Department]]</f>
        <v>8089</v>
      </c>
      <c r="Y1048">
        <f t="shared" si="32"/>
        <v>1428</v>
      </c>
      <c r="Z1048">
        <f t="shared" si="33"/>
        <v>3568</v>
      </c>
    </row>
    <row r="1049" spans="1:26" x14ac:dyDescent="0.2">
      <c r="A1049" t="s">
        <v>443</v>
      </c>
      <c r="B1049" t="s">
        <v>444</v>
      </c>
      <c r="C1049" t="s">
        <v>45</v>
      </c>
      <c r="D1049" t="s">
        <v>26</v>
      </c>
      <c r="E1049" t="s">
        <v>46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f>NHS_AE_2024_2025[[#This Row],[A&amp;E attendances Type 1]]+
NHS_AE_2024_2025[[#This Row],[A&amp;E attendances Type 2]]+
NHS_AE_2024_2025[[#This Row],[A&amp;E attendances Other A&amp;E Department]]</f>
        <v>0</v>
      </c>
      <c r="Y1049">
        <f t="shared" si="32"/>
        <v>0</v>
      </c>
      <c r="Z1049">
        <f t="shared" si="33"/>
        <v>0</v>
      </c>
    </row>
    <row r="1050" spans="1:26" x14ac:dyDescent="0.2">
      <c r="A1050" t="s">
        <v>443</v>
      </c>
      <c r="B1050" t="s">
        <v>444</v>
      </c>
      <c r="C1050" t="s">
        <v>112</v>
      </c>
      <c r="D1050" t="s">
        <v>55</v>
      </c>
      <c r="E1050" t="s">
        <v>113</v>
      </c>
      <c r="F1050">
        <v>4422</v>
      </c>
      <c r="G1050">
        <v>0</v>
      </c>
      <c r="H1050">
        <v>0</v>
      </c>
      <c r="I1050">
        <v>68</v>
      </c>
      <c r="J1050">
        <v>0</v>
      </c>
      <c r="K1050">
        <v>47</v>
      </c>
      <c r="L1050">
        <v>2172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230</v>
      </c>
      <c r="S1050">
        <v>253</v>
      </c>
      <c r="T1050">
        <v>929</v>
      </c>
      <c r="U1050">
        <v>0</v>
      </c>
      <c r="V1050">
        <v>0</v>
      </c>
      <c r="W1050">
        <v>174</v>
      </c>
      <c r="X1050">
        <f>NHS_AE_2024_2025[[#This Row],[A&amp;E attendances Type 1]]+
NHS_AE_2024_2025[[#This Row],[A&amp;E attendances Type 2]]+
NHS_AE_2024_2025[[#This Row],[A&amp;E attendances Other A&amp;E Department]]</f>
        <v>4422</v>
      </c>
      <c r="Y1050">
        <f t="shared" si="32"/>
        <v>2172</v>
      </c>
      <c r="Z1050">
        <f t="shared" si="33"/>
        <v>1103</v>
      </c>
    </row>
    <row r="1051" spans="1:26" x14ac:dyDescent="0.2">
      <c r="A1051" t="s">
        <v>443</v>
      </c>
      <c r="B1051" t="s">
        <v>444</v>
      </c>
      <c r="C1051" t="s">
        <v>116</v>
      </c>
      <c r="D1051" t="s">
        <v>55</v>
      </c>
      <c r="E1051" t="s">
        <v>117</v>
      </c>
      <c r="F1051">
        <v>0</v>
      </c>
      <c r="G1051">
        <v>0</v>
      </c>
      <c r="H1051">
        <v>13110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160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34</v>
      </c>
      <c r="X1051">
        <f>NHS_AE_2024_2025[[#This Row],[A&amp;E attendances Type 1]]+
NHS_AE_2024_2025[[#This Row],[A&amp;E attendances Type 2]]+
NHS_AE_2024_2025[[#This Row],[A&amp;E attendances Other A&amp;E Department]]</f>
        <v>13110</v>
      </c>
      <c r="Y1051">
        <f t="shared" si="32"/>
        <v>160</v>
      </c>
      <c r="Z1051">
        <f t="shared" si="33"/>
        <v>34</v>
      </c>
    </row>
    <row r="1052" spans="1:26" x14ac:dyDescent="0.2">
      <c r="A1052" t="s">
        <v>443</v>
      </c>
      <c r="B1052" t="s">
        <v>444</v>
      </c>
      <c r="C1052" t="s">
        <v>178</v>
      </c>
      <c r="D1052" t="s">
        <v>55</v>
      </c>
      <c r="E1052" t="s">
        <v>179</v>
      </c>
      <c r="F1052">
        <v>0</v>
      </c>
      <c r="G1052">
        <v>0</v>
      </c>
      <c r="H1052">
        <v>3217</v>
      </c>
      <c r="I1052">
        <v>0</v>
      </c>
      <c r="J1052">
        <v>0</v>
      </c>
      <c r="K1052">
        <v>166</v>
      </c>
      <c r="L1052">
        <v>0</v>
      </c>
      <c r="M1052">
        <v>0</v>
      </c>
      <c r="N1052">
        <v>45</v>
      </c>
      <c r="O1052">
        <v>0</v>
      </c>
      <c r="P1052">
        <v>0</v>
      </c>
      <c r="Q1052">
        <v>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f>NHS_AE_2024_2025[[#This Row],[A&amp;E attendances Type 1]]+
NHS_AE_2024_2025[[#This Row],[A&amp;E attendances Type 2]]+
NHS_AE_2024_2025[[#This Row],[A&amp;E attendances Other A&amp;E Department]]</f>
        <v>3217</v>
      </c>
      <c r="Y1052">
        <f t="shared" si="32"/>
        <v>45</v>
      </c>
      <c r="Z1052">
        <f t="shared" si="33"/>
        <v>0</v>
      </c>
    </row>
    <row r="1053" spans="1:26" x14ac:dyDescent="0.2">
      <c r="A1053" t="s">
        <v>443</v>
      </c>
      <c r="B1053" t="s">
        <v>444</v>
      </c>
      <c r="C1053" t="s">
        <v>220</v>
      </c>
      <c r="D1053" t="s">
        <v>50</v>
      </c>
      <c r="E1053" t="s">
        <v>221</v>
      </c>
      <c r="F1053">
        <v>0</v>
      </c>
      <c r="G1053">
        <v>0</v>
      </c>
      <c r="H1053">
        <v>366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f>NHS_AE_2024_2025[[#This Row],[A&amp;E attendances Type 1]]+
NHS_AE_2024_2025[[#This Row],[A&amp;E attendances Type 2]]+
NHS_AE_2024_2025[[#This Row],[A&amp;E attendances Other A&amp;E Department]]</f>
        <v>366</v>
      </c>
      <c r="Y1053">
        <f t="shared" si="32"/>
        <v>0</v>
      </c>
      <c r="Z1053">
        <f t="shared" si="33"/>
        <v>0</v>
      </c>
    </row>
    <row r="1054" spans="1:26" x14ac:dyDescent="0.2">
      <c r="A1054" t="s">
        <v>443</v>
      </c>
      <c r="B1054" t="s">
        <v>444</v>
      </c>
      <c r="C1054" t="s">
        <v>422</v>
      </c>
      <c r="D1054" t="s">
        <v>26</v>
      </c>
      <c r="E1054" t="s">
        <v>423</v>
      </c>
      <c r="F1054">
        <v>0</v>
      </c>
      <c r="G1054">
        <v>0</v>
      </c>
      <c r="H1054">
        <v>8873</v>
      </c>
      <c r="I1054">
        <v>0</v>
      </c>
      <c r="J1054">
        <v>0</v>
      </c>
      <c r="K1054">
        <v>311</v>
      </c>
      <c r="L1054">
        <v>0</v>
      </c>
      <c r="M1054">
        <v>0</v>
      </c>
      <c r="N1054">
        <v>496</v>
      </c>
      <c r="O1054">
        <v>0</v>
      </c>
      <c r="P1054">
        <v>0</v>
      </c>
      <c r="Q1054">
        <v>56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f>NHS_AE_2024_2025[[#This Row],[A&amp;E attendances Type 1]]+
NHS_AE_2024_2025[[#This Row],[A&amp;E attendances Type 2]]+
NHS_AE_2024_2025[[#This Row],[A&amp;E attendances Other A&amp;E Department]]</f>
        <v>8873</v>
      </c>
      <c r="Y1054">
        <f t="shared" si="32"/>
        <v>496</v>
      </c>
      <c r="Z1054">
        <f t="shared" si="33"/>
        <v>0</v>
      </c>
    </row>
    <row r="1055" spans="1:26" x14ac:dyDescent="0.2">
      <c r="A1055" t="s">
        <v>443</v>
      </c>
      <c r="B1055" t="s">
        <v>444</v>
      </c>
      <c r="C1055" t="s">
        <v>292</v>
      </c>
      <c r="D1055" t="s">
        <v>55</v>
      </c>
      <c r="E1055" t="s">
        <v>293</v>
      </c>
      <c r="F1055">
        <v>7259</v>
      </c>
      <c r="G1055">
        <v>0</v>
      </c>
      <c r="H1055">
        <v>2939</v>
      </c>
      <c r="I1055">
        <v>28</v>
      </c>
      <c r="J1055">
        <v>0</v>
      </c>
      <c r="K1055">
        <v>44</v>
      </c>
      <c r="L1055">
        <v>3727</v>
      </c>
      <c r="M1055">
        <v>0</v>
      </c>
      <c r="N1055">
        <v>21</v>
      </c>
      <c r="O1055">
        <v>4</v>
      </c>
      <c r="P1055">
        <v>0</v>
      </c>
      <c r="Q1055">
        <v>2</v>
      </c>
      <c r="R1055">
        <v>615</v>
      </c>
      <c r="S1055">
        <v>552</v>
      </c>
      <c r="T1055">
        <v>2197</v>
      </c>
      <c r="U1055">
        <v>0</v>
      </c>
      <c r="V1055">
        <v>0</v>
      </c>
      <c r="W1055">
        <v>1070</v>
      </c>
      <c r="X1055">
        <f>NHS_AE_2024_2025[[#This Row],[A&amp;E attendances Type 1]]+
NHS_AE_2024_2025[[#This Row],[A&amp;E attendances Type 2]]+
NHS_AE_2024_2025[[#This Row],[A&amp;E attendances Other A&amp;E Department]]</f>
        <v>10198</v>
      </c>
      <c r="Y1055">
        <f t="shared" si="32"/>
        <v>3748</v>
      </c>
      <c r="Z1055">
        <f t="shared" si="33"/>
        <v>3267</v>
      </c>
    </row>
    <row r="1056" spans="1:26" x14ac:dyDescent="0.2">
      <c r="A1056" t="s">
        <v>443</v>
      </c>
      <c r="B1056" t="s">
        <v>444</v>
      </c>
      <c r="C1056" t="s">
        <v>196</v>
      </c>
      <c r="D1056" t="s">
        <v>37</v>
      </c>
      <c r="E1056" t="s">
        <v>197</v>
      </c>
      <c r="F1056">
        <v>23320</v>
      </c>
      <c r="G1056">
        <v>1081</v>
      </c>
      <c r="H1056">
        <v>11275</v>
      </c>
      <c r="I1056">
        <v>0</v>
      </c>
      <c r="J1056">
        <v>0</v>
      </c>
      <c r="K1056">
        <v>0</v>
      </c>
      <c r="L1056">
        <v>9551</v>
      </c>
      <c r="M1056">
        <v>2</v>
      </c>
      <c r="N1056">
        <v>169</v>
      </c>
      <c r="O1056">
        <v>0</v>
      </c>
      <c r="P1056">
        <v>0</v>
      </c>
      <c r="Q1056">
        <v>0</v>
      </c>
      <c r="R1056">
        <v>2267</v>
      </c>
      <c r="S1056">
        <v>131</v>
      </c>
      <c r="T1056">
        <v>6076</v>
      </c>
      <c r="U1056">
        <v>0</v>
      </c>
      <c r="V1056">
        <v>0</v>
      </c>
      <c r="W1056">
        <v>314</v>
      </c>
      <c r="X1056">
        <f>NHS_AE_2024_2025[[#This Row],[A&amp;E attendances Type 1]]+
NHS_AE_2024_2025[[#This Row],[A&amp;E attendances Type 2]]+
NHS_AE_2024_2025[[#This Row],[A&amp;E attendances Other A&amp;E Department]]</f>
        <v>35676</v>
      </c>
      <c r="Y1056">
        <f t="shared" si="32"/>
        <v>9722</v>
      </c>
      <c r="Z1056">
        <f t="shared" si="33"/>
        <v>6390</v>
      </c>
    </row>
    <row r="1057" spans="1:26" x14ac:dyDescent="0.2">
      <c r="A1057" t="s">
        <v>443</v>
      </c>
      <c r="B1057" t="s">
        <v>444</v>
      </c>
      <c r="C1057" t="s">
        <v>406</v>
      </c>
      <c r="D1057" t="s">
        <v>37</v>
      </c>
      <c r="E1057" t="s">
        <v>407</v>
      </c>
      <c r="F1057">
        <v>12182</v>
      </c>
      <c r="G1057">
        <v>2527</v>
      </c>
      <c r="H1057">
        <v>0</v>
      </c>
      <c r="I1057">
        <v>694</v>
      </c>
      <c r="J1057">
        <v>25</v>
      </c>
      <c r="K1057">
        <v>0</v>
      </c>
      <c r="L1057">
        <v>3875</v>
      </c>
      <c r="M1057">
        <v>27</v>
      </c>
      <c r="N1057">
        <v>0</v>
      </c>
      <c r="O1057">
        <v>172</v>
      </c>
      <c r="P1057">
        <v>0</v>
      </c>
      <c r="Q1057">
        <v>0</v>
      </c>
      <c r="R1057">
        <v>410</v>
      </c>
      <c r="S1057">
        <v>3</v>
      </c>
      <c r="T1057">
        <v>2437</v>
      </c>
      <c r="U1057">
        <v>0</v>
      </c>
      <c r="V1057">
        <v>0</v>
      </c>
      <c r="W1057">
        <v>864</v>
      </c>
      <c r="X1057">
        <f>NHS_AE_2024_2025[[#This Row],[A&amp;E attendances Type 1]]+
NHS_AE_2024_2025[[#This Row],[A&amp;E attendances Type 2]]+
NHS_AE_2024_2025[[#This Row],[A&amp;E attendances Other A&amp;E Department]]</f>
        <v>14709</v>
      </c>
      <c r="Y1057">
        <f t="shared" si="32"/>
        <v>3902</v>
      </c>
      <c r="Z1057">
        <f t="shared" si="33"/>
        <v>3301</v>
      </c>
    </row>
    <row r="1058" spans="1:26" x14ac:dyDescent="0.2">
      <c r="A1058" t="s">
        <v>443</v>
      </c>
      <c r="B1058" t="s">
        <v>444</v>
      </c>
      <c r="C1058" t="s">
        <v>204</v>
      </c>
      <c r="D1058" t="s">
        <v>32</v>
      </c>
      <c r="E1058" t="s">
        <v>205</v>
      </c>
      <c r="F1058">
        <v>6152</v>
      </c>
      <c r="G1058">
        <v>1252</v>
      </c>
      <c r="H1058">
        <v>0</v>
      </c>
      <c r="I1058">
        <v>134</v>
      </c>
      <c r="J1058">
        <v>0</v>
      </c>
      <c r="K1058">
        <v>0</v>
      </c>
      <c r="L1058">
        <v>2363</v>
      </c>
      <c r="M1058">
        <v>0</v>
      </c>
      <c r="N1058">
        <v>0</v>
      </c>
      <c r="O1058">
        <v>25</v>
      </c>
      <c r="P1058">
        <v>0</v>
      </c>
      <c r="Q1058">
        <v>0</v>
      </c>
      <c r="R1058">
        <v>466</v>
      </c>
      <c r="S1058">
        <v>331</v>
      </c>
      <c r="T1058">
        <v>1952</v>
      </c>
      <c r="U1058">
        <v>0</v>
      </c>
      <c r="V1058">
        <v>0</v>
      </c>
      <c r="W1058">
        <v>744</v>
      </c>
      <c r="X1058">
        <f>NHS_AE_2024_2025[[#This Row],[A&amp;E attendances Type 1]]+
NHS_AE_2024_2025[[#This Row],[A&amp;E attendances Type 2]]+
NHS_AE_2024_2025[[#This Row],[A&amp;E attendances Other A&amp;E Department]]</f>
        <v>7404</v>
      </c>
      <c r="Y1058">
        <f t="shared" si="32"/>
        <v>2363</v>
      </c>
      <c r="Z1058">
        <f t="shared" si="33"/>
        <v>2696</v>
      </c>
    </row>
    <row r="1059" spans="1:26" x14ac:dyDescent="0.2">
      <c r="A1059" t="s">
        <v>443</v>
      </c>
      <c r="B1059" t="s">
        <v>444</v>
      </c>
      <c r="C1059" t="s">
        <v>164</v>
      </c>
      <c r="D1059" t="s">
        <v>37</v>
      </c>
      <c r="E1059" t="s">
        <v>165</v>
      </c>
      <c r="F1059">
        <v>10561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2695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578</v>
      </c>
      <c r="S1059">
        <v>378</v>
      </c>
      <c r="T1059">
        <v>3189</v>
      </c>
      <c r="U1059">
        <v>0</v>
      </c>
      <c r="V1059">
        <v>0</v>
      </c>
      <c r="W1059">
        <v>939</v>
      </c>
      <c r="X1059">
        <f>NHS_AE_2024_2025[[#This Row],[A&amp;E attendances Type 1]]+
NHS_AE_2024_2025[[#This Row],[A&amp;E attendances Type 2]]+
NHS_AE_2024_2025[[#This Row],[A&amp;E attendances Other A&amp;E Department]]</f>
        <v>10561</v>
      </c>
      <c r="Y1059">
        <f t="shared" si="32"/>
        <v>2695</v>
      </c>
      <c r="Z1059">
        <f t="shared" si="33"/>
        <v>4128</v>
      </c>
    </row>
    <row r="1060" spans="1:26" x14ac:dyDescent="0.2">
      <c r="A1060" t="s">
        <v>443</v>
      </c>
      <c r="B1060" t="s">
        <v>444</v>
      </c>
      <c r="C1060" t="s">
        <v>262</v>
      </c>
      <c r="D1060" t="s">
        <v>26</v>
      </c>
      <c r="E1060" t="s">
        <v>263</v>
      </c>
      <c r="F1060">
        <v>0</v>
      </c>
      <c r="G1060">
        <v>0</v>
      </c>
      <c r="H1060">
        <v>7578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15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32</v>
      </c>
      <c r="X1060">
        <f>NHS_AE_2024_2025[[#This Row],[A&amp;E attendances Type 1]]+
NHS_AE_2024_2025[[#This Row],[A&amp;E attendances Type 2]]+
NHS_AE_2024_2025[[#This Row],[A&amp;E attendances Other A&amp;E Department]]</f>
        <v>7578</v>
      </c>
      <c r="Y1060">
        <f t="shared" si="32"/>
        <v>15</v>
      </c>
      <c r="Z1060">
        <f t="shared" si="33"/>
        <v>32</v>
      </c>
    </row>
    <row r="1061" spans="1:26" x14ac:dyDescent="0.2">
      <c r="A1061" t="s">
        <v>443</v>
      </c>
      <c r="B1061" t="s">
        <v>444</v>
      </c>
      <c r="C1061" t="s">
        <v>128</v>
      </c>
      <c r="D1061" t="s">
        <v>37</v>
      </c>
      <c r="E1061" t="s">
        <v>129</v>
      </c>
      <c r="F1061">
        <v>0</v>
      </c>
      <c r="G1061">
        <v>0</v>
      </c>
      <c r="H1061">
        <v>10438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80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f>NHS_AE_2024_2025[[#This Row],[A&amp;E attendances Type 1]]+
NHS_AE_2024_2025[[#This Row],[A&amp;E attendances Type 2]]+
NHS_AE_2024_2025[[#This Row],[A&amp;E attendances Other A&amp;E Department]]</f>
        <v>10438</v>
      </c>
      <c r="Y1061">
        <f t="shared" si="32"/>
        <v>80</v>
      </c>
      <c r="Z1061">
        <f t="shared" si="33"/>
        <v>0</v>
      </c>
    </row>
    <row r="1062" spans="1:26" x14ac:dyDescent="0.2">
      <c r="A1062" t="s">
        <v>443</v>
      </c>
      <c r="B1062" t="s">
        <v>444</v>
      </c>
      <c r="C1062" t="s">
        <v>278</v>
      </c>
      <c r="D1062" t="s">
        <v>32</v>
      </c>
      <c r="E1062" t="s">
        <v>279</v>
      </c>
      <c r="F1062">
        <v>0</v>
      </c>
      <c r="G1062">
        <v>0</v>
      </c>
      <c r="H1062">
        <v>286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f>NHS_AE_2024_2025[[#This Row],[A&amp;E attendances Type 1]]+
NHS_AE_2024_2025[[#This Row],[A&amp;E attendances Type 2]]+
NHS_AE_2024_2025[[#This Row],[A&amp;E attendances Other A&amp;E Department]]</f>
        <v>286</v>
      </c>
      <c r="Y1062">
        <f t="shared" si="32"/>
        <v>0</v>
      </c>
      <c r="Z1062">
        <f t="shared" si="33"/>
        <v>0</v>
      </c>
    </row>
    <row r="1063" spans="1:26" x14ac:dyDescent="0.2">
      <c r="A1063" t="s">
        <v>443</v>
      </c>
      <c r="B1063" t="s">
        <v>444</v>
      </c>
      <c r="C1063" t="s">
        <v>134</v>
      </c>
      <c r="D1063" t="s">
        <v>37</v>
      </c>
      <c r="E1063" t="s">
        <v>135</v>
      </c>
      <c r="F1063">
        <v>0</v>
      </c>
      <c r="G1063">
        <v>0</v>
      </c>
      <c r="H1063">
        <v>2379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f>NHS_AE_2024_2025[[#This Row],[A&amp;E attendances Type 1]]+
NHS_AE_2024_2025[[#This Row],[A&amp;E attendances Type 2]]+
NHS_AE_2024_2025[[#This Row],[A&amp;E attendances Other A&amp;E Department]]</f>
        <v>2379</v>
      </c>
      <c r="Y1063">
        <f t="shared" si="32"/>
        <v>0</v>
      </c>
      <c r="Z1063">
        <f t="shared" si="33"/>
        <v>0</v>
      </c>
    </row>
    <row r="1064" spans="1:26" x14ac:dyDescent="0.2">
      <c r="A1064" t="s">
        <v>443</v>
      </c>
      <c r="B1064" t="s">
        <v>444</v>
      </c>
      <c r="C1064" t="s">
        <v>280</v>
      </c>
      <c r="D1064" t="s">
        <v>50</v>
      </c>
      <c r="E1064" t="s">
        <v>281</v>
      </c>
      <c r="F1064">
        <v>0</v>
      </c>
      <c r="G1064">
        <v>0</v>
      </c>
      <c r="H1064">
        <v>3662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475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f>NHS_AE_2024_2025[[#This Row],[A&amp;E attendances Type 1]]+
NHS_AE_2024_2025[[#This Row],[A&amp;E attendances Type 2]]+
NHS_AE_2024_2025[[#This Row],[A&amp;E attendances Other A&amp;E Department]]</f>
        <v>3662</v>
      </c>
      <c r="Y1064">
        <f t="shared" si="32"/>
        <v>475</v>
      </c>
      <c r="Z1064">
        <f t="shared" si="33"/>
        <v>0</v>
      </c>
    </row>
    <row r="1065" spans="1:26" x14ac:dyDescent="0.2">
      <c r="A1065" t="s">
        <v>443</v>
      </c>
      <c r="B1065" t="s">
        <v>444</v>
      </c>
      <c r="C1065" t="s">
        <v>282</v>
      </c>
      <c r="D1065" t="s">
        <v>50</v>
      </c>
      <c r="E1065" t="s">
        <v>283</v>
      </c>
      <c r="F1065">
        <v>0</v>
      </c>
      <c r="G1065">
        <v>0</v>
      </c>
      <c r="H1065">
        <v>2809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263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f>NHS_AE_2024_2025[[#This Row],[A&amp;E attendances Type 1]]+
NHS_AE_2024_2025[[#This Row],[A&amp;E attendances Type 2]]+
NHS_AE_2024_2025[[#This Row],[A&amp;E attendances Other A&amp;E Department]]</f>
        <v>2809</v>
      </c>
      <c r="Y1065">
        <f t="shared" si="32"/>
        <v>263</v>
      </c>
      <c r="Z1065">
        <f t="shared" si="33"/>
        <v>0</v>
      </c>
    </row>
    <row r="1066" spans="1:26" x14ac:dyDescent="0.2">
      <c r="A1066" t="s">
        <v>443</v>
      </c>
      <c r="B1066" t="s">
        <v>444</v>
      </c>
      <c r="C1066" t="s">
        <v>284</v>
      </c>
      <c r="D1066" t="s">
        <v>50</v>
      </c>
      <c r="E1066" t="s">
        <v>285</v>
      </c>
      <c r="F1066">
        <v>0</v>
      </c>
      <c r="G1066">
        <v>0</v>
      </c>
      <c r="H1066">
        <v>1618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7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f>NHS_AE_2024_2025[[#This Row],[A&amp;E attendances Type 1]]+
NHS_AE_2024_2025[[#This Row],[A&amp;E attendances Type 2]]+
NHS_AE_2024_2025[[#This Row],[A&amp;E attendances Other A&amp;E Department]]</f>
        <v>1618</v>
      </c>
      <c r="Y1066">
        <f t="shared" si="32"/>
        <v>7</v>
      </c>
      <c r="Z1066">
        <f t="shared" si="33"/>
        <v>0</v>
      </c>
    </row>
    <row r="1067" spans="1:26" x14ac:dyDescent="0.2">
      <c r="A1067" t="s">
        <v>443</v>
      </c>
      <c r="B1067" t="s">
        <v>444</v>
      </c>
      <c r="C1067" t="s">
        <v>394</v>
      </c>
      <c r="D1067" t="s">
        <v>55</v>
      </c>
      <c r="E1067" t="s">
        <v>395</v>
      </c>
      <c r="F1067">
        <v>24235</v>
      </c>
      <c r="G1067">
        <v>3165</v>
      </c>
      <c r="H1067">
        <v>12026</v>
      </c>
      <c r="I1067">
        <v>3865</v>
      </c>
      <c r="J1067">
        <v>548</v>
      </c>
      <c r="K1067">
        <v>1102</v>
      </c>
      <c r="L1067">
        <v>10209</v>
      </c>
      <c r="M1067">
        <v>95</v>
      </c>
      <c r="N1067">
        <v>603</v>
      </c>
      <c r="O1067">
        <v>1588</v>
      </c>
      <c r="P1067">
        <v>25</v>
      </c>
      <c r="Q1067">
        <v>116</v>
      </c>
      <c r="R1067">
        <v>3786</v>
      </c>
      <c r="S1067">
        <v>483</v>
      </c>
      <c r="T1067">
        <v>5654</v>
      </c>
      <c r="U1067">
        <v>159</v>
      </c>
      <c r="V1067">
        <v>160</v>
      </c>
      <c r="W1067">
        <v>450</v>
      </c>
      <c r="X1067">
        <f>NHS_AE_2024_2025[[#This Row],[A&amp;E attendances Type 1]]+
NHS_AE_2024_2025[[#This Row],[A&amp;E attendances Type 2]]+
NHS_AE_2024_2025[[#This Row],[A&amp;E attendances Other A&amp;E Department]]</f>
        <v>39426</v>
      </c>
      <c r="Y1067">
        <f t="shared" si="32"/>
        <v>10907</v>
      </c>
      <c r="Z1067">
        <f t="shared" si="33"/>
        <v>6423</v>
      </c>
    </row>
    <row r="1068" spans="1:26" x14ac:dyDescent="0.2">
      <c r="A1068" t="s">
        <v>443</v>
      </c>
      <c r="B1068" t="s">
        <v>444</v>
      </c>
      <c r="C1068" t="s">
        <v>188</v>
      </c>
      <c r="D1068" t="s">
        <v>26</v>
      </c>
      <c r="E1068" t="s">
        <v>189</v>
      </c>
      <c r="F1068">
        <v>15165</v>
      </c>
      <c r="G1068">
        <v>2339</v>
      </c>
      <c r="H1068">
        <v>0</v>
      </c>
      <c r="I1068">
        <v>0</v>
      </c>
      <c r="J1068">
        <v>0</v>
      </c>
      <c r="K1068">
        <v>0</v>
      </c>
      <c r="L1068">
        <v>5206</v>
      </c>
      <c r="M1068">
        <v>133</v>
      </c>
      <c r="N1068">
        <v>0</v>
      </c>
      <c r="O1068">
        <v>0</v>
      </c>
      <c r="P1068">
        <v>0</v>
      </c>
      <c r="Q1068">
        <v>0</v>
      </c>
      <c r="R1068">
        <v>1140</v>
      </c>
      <c r="S1068">
        <v>146</v>
      </c>
      <c r="T1068">
        <v>5280</v>
      </c>
      <c r="U1068">
        <v>8</v>
      </c>
      <c r="V1068">
        <v>0</v>
      </c>
      <c r="W1068">
        <v>1468</v>
      </c>
      <c r="X1068">
        <f>NHS_AE_2024_2025[[#This Row],[A&amp;E attendances Type 1]]+
NHS_AE_2024_2025[[#This Row],[A&amp;E attendances Type 2]]+
NHS_AE_2024_2025[[#This Row],[A&amp;E attendances Other A&amp;E Department]]</f>
        <v>17504</v>
      </c>
      <c r="Y1068">
        <f t="shared" si="32"/>
        <v>5339</v>
      </c>
      <c r="Z1068">
        <f t="shared" si="33"/>
        <v>6756</v>
      </c>
    </row>
    <row r="1069" spans="1:26" x14ac:dyDescent="0.2">
      <c r="A1069" t="s">
        <v>443</v>
      </c>
      <c r="B1069" t="s">
        <v>444</v>
      </c>
      <c r="C1069" t="s">
        <v>43</v>
      </c>
      <c r="D1069" t="s">
        <v>26</v>
      </c>
      <c r="E1069" t="s">
        <v>44</v>
      </c>
      <c r="F1069">
        <v>6774</v>
      </c>
      <c r="G1069">
        <v>0</v>
      </c>
      <c r="H1069">
        <v>3574</v>
      </c>
      <c r="I1069">
        <v>397</v>
      </c>
      <c r="J1069">
        <v>0</v>
      </c>
      <c r="K1069">
        <v>144</v>
      </c>
      <c r="L1069">
        <v>3060</v>
      </c>
      <c r="M1069">
        <v>0</v>
      </c>
      <c r="N1069">
        <v>15</v>
      </c>
      <c r="O1069">
        <v>163</v>
      </c>
      <c r="P1069">
        <v>0</v>
      </c>
      <c r="Q1069">
        <v>1</v>
      </c>
      <c r="R1069">
        <v>320</v>
      </c>
      <c r="S1069">
        <v>45</v>
      </c>
      <c r="T1069">
        <v>2181</v>
      </c>
      <c r="U1069">
        <v>0</v>
      </c>
      <c r="V1069">
        <v>0</v>
      </c>
      <c r="W1069">
        <v>1206</v>
      </c>
      <c r="X1069">
        <f>NHS_AE_2024_2025[[#This Row],[A&amp;E attendances Type 1]]+
NHS_AE_2024_2025[[#This Row],[A&amp;E attendances Type 2]]+
NHS_AE_2024_2025[[#This Row],[A&amp;E attendances Other A&amp;E Department]]</f>
        <v>10348</v>
      </c>
      <c r="Y1069">
        <f t="shared" si="32"/>
        <v>3075</v>
      </c>
      <c r="Z1069">
        <f t="shared" si="33"/>
        <v>3387</v>
      </c>
    </row>
    <row r="1070" spans="1:26" x14ac:dyDescent="0.2">
      <c r="A1070" t="s">
        <v>443</v>
      </c>
      <c r="B1070" t="s">
        <v>444</v>
      </c>
      <c r="C1070" t="s">
        <v>190</v>
      </c>
      <c r="D1070" t="s">
        <v>50</v>
      </c>
      <c r="E1070" t="s">
        <v>191</v>
      </c>
      <c r="F1070">
        <v>9302</v>
      </c>
      <c r="G1070">
        <v>1030</v>
      </c>
      <c r="H1070">
        <v>3464</v>
      </c>
      <c r="I1070">
        <v>0</v>
      </c>
      <c r="J1070">
        <v>0</v>
      </c>
      <c r="K1070">
        <v>0</v>
      </c>
      <c r="L1070">
        <v>2186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602</v>
      </c>
      <c r="S1070">
        <v>97</v>
      </c>
      <c r="T1070">
        <v>2450</v>
      </c>
      <c r="U1070">
        <v>0</v>
      </c>
      <c r="V1070">
        <v>64</v>
      </c>
      <c r="W1070">
        <v>1439</v>
      </c>
      <c r="X1070">
        <f>NHS_AE_2024_2025[[#This Row],[A&amp;E attendances Type 1]]+
NHS_AE_2024_2025[[#This Row],[A&amp;E attendances Type 2]]+
NHS_AE_2024_2025[[#This Row],[A&amp;E attendances Other A&amp;E Department]]</f>
        <v>13796</v>
      </c>
      <c r="Y1070">
        <f t="shared" si="32"/>
        <v>2186</v>
      </c>
      <c r="Z1070">
        <f t="shared" si="33"/>
        <v>3953</v>
      </c>
    </row>
    <row r="1071" spans="1:26" x14ac:dyDescent="0.2">
      <c r="A1071" t="s">
        <v>443</v>
      </c>
      <c r="B1071" t="s">
        <v>444</v>
      </c>
      <c r="C1071" t="s">
        <v>228</v>
      </c>
      <c r="D1071" t="s">
        <v>70</v>
      </c>
      <c r="E1071" t="s">
        <v>229</v>
      </c>
      <c r="F1071">
        <v>30718</v>
      </c>
      <c r="G1071">
        <v>0</v>
      </c>
      <c r="H1071">
        <v>5851</v>
      </c>
      <c r="I1071">
        <v>15</v>
      </c>
      <c r="J1071">
        <v>0</v>
      </c>
      <c r="K1071">
        <v>3</v>
      </c>
      <c r="L1071">
        <v>9770</v>
      </c>
      <c r="M1071">
        <v>0</v>
      </c>
      <c r="N1071">
        <v>237</v>
      </c>
      <c r="O1071">
        <v>9</v>
      </c>
      <c r="P1071">
        <v>0</v>
      </c>
      <c r="Q1071">
        <v>0</v>
      </c>
      <c r="R1071">
        <v>3026</v>
      </c>
      <c r="S1071">
        <v>36</v>
      </c>
      <c r="T1071">
        <v>8977</v>
      </c>
      <c r="U1071">
        <v>0</v>
      </c>
      <c r="V1071">
        <v>244</v>
      </c>
      <c r="W1071">
        <v>1305</v>
      </c>
      <c r="X1071">
        <f>NHS_AE_2024_2025[[#This Row],[A&amp;E attendances Type 1]]+
NHS_AE_2024_2025[[#This Row],[A&amp;E attendances Type 2]]+
NHS_AE_2024_2025[[#This Row],[A&amp;E attendances Other A&amp;E Department]]</f>
        <v>36569</v>
      </c>
      <c r="Y1071">
        <f t="shared" si="32"/>
        <v>10007</v>
      </c>
      <c r="Z1071">
        <f t="shared" si="33"/>
        <v>10526</v>
      </c>
    </row>
    <row r="1072" spans="1:26" x14ac:dyDescent="0.2">
      <c r="A1072" t="s">
        <v>443</v>
      </c>
      <c r="B1072" t="s">
        <v>444</v>
      </c>
      <c r="C1072" t="s">
        <v>234</v>
      </c>
      <c r="D1072" t="s">
        <v>26</v>
      </c>
      <c r="E1072" t="s">
        <v>235</v>
      </c>
      <c r="F1072">
        <v>4605</v>
      </c>
      <c r="G1072">
        <v>0</v>
      </c>
      <c r="H1072">
        <v>0</v>
      </c>
      <c r="I1072">
        <v>304</v>
      </c>
      <c r="J1072">
        <v>0</v>
      </c>
      <c r="K1072">
        <v>3749</v>
      </c>
      <c r="L1072">
        <v>2025</v>
      </c>
      <c r="M1072">
        <v>0</v>
      </c>
      <c r="N1072">
        <v>0</v>
      </c>
      <c r="O1072">
        <v>99</v>
      </c>
      <c r="P1072">
        <v>0</v>
      </c>
      <c r="Q1072">
        <v>4</v>
      </c>
      <c r="R1072">
        <v>222</v>
      </c>
      <c r="S1072">
        <v>38</v>
      </c>
      <c r="T1072">
        <v>1867</v>
      </c>
      <c r="U1072">
        <v>0</v>
      </c>
      <c r="V1072">
        <v>0</v>
      </c>
      <c r="W1072">
        <v>524</v>
      </c>
      <c r="X1072">
        <f>NHS_AE_2024_2025[[#This Row],[A&amp;E attendances Type 1]]+
NHS_AE_2024_2025[[#This Row],[A&amp;E attendances Type 2]]+
NHS_AE_2024_2025[[#This Row],[A&amp;E attendances Other A&amp;E Department]]</f>
        <v>4605</v>
      </c>
      <c r="Y1072">
        <f t="shared" si="32"/>
        <v>2025</v>
      </c>
      <c r="Z1072">
        <f t="shared" si="33"/>
        <v>2391</v>
      </c>
    </row>
    <row r="1073" spans="1:26" x14ac:dyDescent="0.2">
      <c r="A1073" t="s">
        <v>443</v>
      </c>
      <c r="B1073" t="s">
        <v>444</v>
      </c>
      <c r="C1073" t="s">
        <v>294</v>
      </c>
      <c r="D1073" t="s">
        <v>70</v>
      </c>
      <c r="E1073" t="s">
        <v>295</v>
      </c>
      <c r="F1073">
        <v>16511</v>
      </c>
      <c r="G1073">
        <v>0</v>
      </c>
      <c r="H1073">
        <v>7919</v>
      </c>
      <c r="I1073">
        <v>0</v>
      </c>
      <c r="J1073">
        <v>0</v>
      </c>
      <c r="K1073">
        <v>959</v>
      </c>
      <c r="L1073">
        <v>6091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82</v>
      </c>
      <c r="S1073">
        <v>4</v>
      </c>
      <c r="T1073">
        <v>4768</v>
      </c>
      <c r="U1073">
        <v>0</v>
      </c>
      <c r="V1073">
        <v>0</v>
      </c>
      <c r="W1073">
        <v>2017</v>
      </c>
      <c r="X1073">
        <f>NHS_AE_2024_2025[[#This Row],[A&amp;E attendances Type 1]]+
NHS_AE_2024_2025[[#This Row],[A&amp;E attendances Type 2]]+
NHS_AE_2024_2025[[#This Row],[A&amp;E attendances Other A&amp;E Department]]</f>
        <v>24430</v>
      </c>
      <c r="Y1073">
        <f t="shared" si="32"/>
        <v>6091</v>
      </c>
      <c r="Z1073">
        <f t="shared" si="33"/>
        <v>6785</v>
      </c>
    </row>
    <row r="1074" spans="1:26" x14ac:dyDescent="0.2">
      <c r="A1074" t="s">
        <v>443</v>
      </c>
      <c r="B1074" t="s">
        <v>444</v>
      </c>
      <c r="C1074" t="s">
        <v>240</v>
      </c>
      <c r="D1074" t="s">
        <v>50</v>
      </c>
      <c r="E1074" t="s">
        <v>241</v>
      </c>
      <c r="F1074">
        <v>6135</v>
      </c>
      <c r="G1074">
        <v>306</v>
      </c>
      <c r="H1074">
        <v>0</v>
      </c>
      <c r="I1074">
        <v>462</v>
      </c>
      <c r="J1074">
        <v>0</v>
      </c>
      <c r="K1074">
        <v>0</v>
      </c>
      <c r="L1074">
        <v>2461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465</v>
      </c>
      <c r="S1074">
        <v>112</v>
      </c>
      <c r="T1074">
        <v>1530</v>
      </c>
      <c r="U1074">
        <v>0</v>
      </c>
      <c r="V1074">
        <v>0</v>
      </c>
      <c r="W1074">
        <v>609</v>
      </c>
      <c r="X1074">
        <f>NHS_AE_2024_2025[[#This Row],[A&amp;E attendances Type 1]]+
NHS_AE_2024_2025[[#This Row],[A&amp;E attendances Type 2]]+
NHS_AE_2024_2025[[#This Row],[A&amp;E attendances Other A&amp;E Department]]</f>
        <v>6441</v>
      </c>
      <c r="Y1074">
        <f t="shared" si="32"/>
        <v>2461</v>
      </c>
      <c r="Z1074">
        <f t="shared" si="33"/>
        <v>2139</v>
      </c>
    </row>
    <row r="1075" spans="1:26" x14ac:dyDescent="0.2">
      <c r="A1075" t="s">
        <v>443</v>
      </c>
      <c r="B1075" t="s">
        <v>444</v>
      </c>
      <c r="C1075" t="s">
        <v>402</v>
      </c>
      <c r="D1075" t="s">
        <v>70</v>
      </c>
      <c r="E1075" t="s">
        <v>403</v>
      </c>
      <c r="F1075">
        <v>6907</v>
      </c>
      <c r="G1075">
        <v>0</v>
      </c>
      <c r="H1075">
        <v>1176</v>
      </c>
      <c r="I1075">
        <v>0</v>
      </c>
      <c r="J1075">
        <v>0</v>
      </c>
      <c r="K1075">
        <v>0</v>
      </c>
      <c r="L1075">
        <v>2271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241</v>
      </c>
      <c r="S1075">
        <v>73</v>
      </c>
      <c r="T1075">
        <v>2056</v>
      </c>
      <c r="U1075">
        <v>0</v>
      </c>
      <c r="V1075">
        <v>0</v>
      </c>
      <c r="W1075">
        <v>305</v>
      </c>
      <c r="X1075">
        <f>NHS_AE_2024_2025[[#This Row],[A&amp;E attendances Type 1]]+
NHS_AE_2024_2025[[#This Row],[A&amp;E attendances Type 2]]+
NHS_AE_2024_2025[[#This Row],[A&amp;E attendances Other A&amp;E Department]]</f>
        <v>8083</v>
      </c>
      <c r="Y1075">
        <f t="shared" si="32"/>
        <v>2271</v>
      </c>
      <c r="Z1075">
        <f t="shared" si="33"/>
        <v>2361</v>
      </c>
    </row>
    <row r="1076" spans="1:26" x14ac:dyDescent="0.2">
      <c r="A1076" t="s">
        <v>443</v>
      </c>
      <c r="B1076" t="s">
        <v>444</v>
      </c>
      <c r="C1076" t="s">
        <v>102</v>
      </c>
      <c r="D1076" t="s">
        <v>55</v>
      </c>
      <c r="E1076" t="s">
        <v>103</v>
      </c>
      <c r="F1076">
        <v>15532</v>
      </c>
      <c r="G1076">
        <v>1877</v>
      </c>
      <c r="H1076">
        <v>7848</v>
      </c>
      <c r="I1076">
        <v>427</v>
      </c>
      <c r="J1076">
        <v>0</v>
      </c>
      <c r="K1076">
        <v>0</v>
      </c>
      <c r="L1076">
        <v>6837</v>
      </c>
      <c r="M1076">
        <v>36</v>
      </c>
      <c r="N1076">
        <v>133</v>
      </c>
      <c r="O1076">
        <v>71</v>
      </c>
      <c r="P1076">
        <v>0</v>
      </c>
      <c r="Q1076">
        <v>0</v>
      </c>
      <c r="R1076">
        <v>1782</v>
      </c>
      <c r="S1076">
        <v>754</v>
      </c>
      <c r="T1076">
        <v>5231</v>
      </c>
      <c r="U1076">
        <v>0</v>
      </c>
      <c r="V1076">
        <v>0</v>
      </c>
      <c r="W1076">
        <v>2853</v>
      </c>
      <c r="X1076">
        <f>NHS_AE_2024_2025[[#This Row],[A&amp;E attendances Type 1]]+
NHS_AE_2024_2025[[#This Row],[A&amp;E attendances Type 2]]+
NHS_AE_2024_2025[[#This Row],[A&amp;E attendances Other A&amp;E Department]]</f>
        <v>25257</v>
      </c>
      <c r="Y1076">
        <f t="shared" si="32"/>
        <v>7006</v>
      </c>
      <c r="Z1076">
        <f t="shared" si="33"/>
        <v>8084</v>
      </c>
    </row>
    <row r="1077" spans="1:26" x14ac:dyDescent="0.2">
      <c r="A1077" t="s">
        <v>443</v>
      </c>
      <c r="B1077" t="s">
        <v>444</v>
      </c>
      <c r="C1077" t="s">
        <v>198</v>
      </c>
      <c r="D1077" t="s">
        <v>55</v>
      </c>
      <c r="E1077" t="s">
        <v>199</v>
      </c>
      <c r="F1077">
        <v>0</v>
      </c>
      <c r="G1077">
        <v>1393</v>
      </c>
      <c r="H1077">
        <v>0</v>
      </c>
      <c r="I1077">
        <v>0</v>
      </c>
      <c r="J1077">
        <v>136</v>
      </c>
      <c r="K1077">
        <v>0</v>
      </c>
      <c r="L1077">
        <v>0</v>
      </c>
      <c r="M1077">
        <v>126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118</v>
      </c>
      <c r="V1077">
        <v>0</v>
      </c>
      <c r="W1077">
        <v>19</v>
      </c>
      <c r="X1077">
        <f>NHS_AE_2024_2025[[#This Row],[A&amp;E attendances Type 1]]+
NHS_AE_2024_2025[[#This Row],[A&amp;E attendances Type 2]]+
NHS_AE_2024_2025[[#This Row],[A&amp;E attendances Other A&amp;E Department]]</f>
        <v>1393</v>
      </c>
      <c r="Y1077">
        <f t="shared" si="32"/>
        <v>126</v>
      </c>
      <c r="Z1077">
        <f t="shared" si="33"/>
        <v>137</v>
      </c>
    </row>
    <row r="1078" spans="1:26" x14ac:dyDescent="0.2">
      <c r="A1078" t="s">
        <v>443</v>
      </c>
      <c r="B1078" t="s">
        <v>444</v>
      </c>
      <c r="C1078" t="s">
        <v>308</v>
      </c>
      <c r="D1078" t="s">
        <v>32</v>
      </c>
      <c r="E1078" t="s">
        <v>309</v>
      </c>
      <c r="F1078">
        <v>8408</v>
      </c>
      <c r="G1078">
        <v>0</v>
      </c>
      <c r="H1078">
        <v>419</v>
      </c>
      <c r="I1078">
        <v>1</v>
      </c>
      <c r="J1078">
        <v>0</v>
      </c>
      <c r="K1078">
        <v>0</v>
      </c>
      <c r="L1078">
        <v>2251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229</v>
      </c>
      <c r="S1078">
        <v>3</v>
      </c>
      <c r="T1078">
        <v>2238</v>
      </c>
      <c r="U1078">
        <v>0</v>
      </c>
      <c r="V1078">
        <v>0</v>
      </c>
      <c r="W1078">
        <v>784</v>
      </c>
      <c r="X1078">
        <f>NHS_AE_2024_2025[[#This Row],[A&amp;E attendances Type 1]]+
NHS_AE_2024_2025[[#This Row],[A&amp;E attendances Type 2]]+
NHS_AE_2024_2025[[#This Row],[A&amp;E attendances Other A&amp;E Department]]</f>
        <v>8827</v>
      </c>
      <c r="Y1078">
        <f t="shared" si="32"/>
        <v>2251</v>
      </c>
      <c r="Z1078">
        <f t="shared" si="33"/>
        <v>3022</v>
      </c>
    </row>
    <row r="1079" spans="1:26" x14ac:dyDescent="0.2">
      <c r="A1079" t="s">
        <v>443</v>
      </c>
      <c r="B1079" t="s">
        <v>444</v>
      </c>
      <c r="C1079" t="s">
        <v>248</v>
      </c>
      <c r="D1079" t="s">
        <v>55</v>
      </c>
      <c r="E1079" t="s">
        <v>249</v>
      </c>
      <c r="F1079">
        <v>5295</v>
      </c>
      <c r="G1079">
        <v>0</v>
      </c>
      <c r="H1079">
        <v>1998</v>
      </c>
      <c r="I1079">
        <v>0</v>
      </c>
      <c r="J1079">
        <v>0</v>
      </c>
      <c r="K1079">
        <v>0</v>
      </c>
      <c r="L1079">
        <v>2908</v>
      </c>
      <c r="M1079">
        <v>0</v>
      </c>
      <c r="N1079">
        <v>145</v>
      </c>
      <c r="O1079">
        <v>0</v>
      </c>
      <c r="P1079">
        <v>0</v>
      </c>
      <c r="Q1079">
        <v>0</v>
      </c>
      <c r="R1079">
        <v>296</v>
      </c>
      <c r="S1079">
        <v>711</v>
      </c>
      <c r="T1079">
        <v>1651</v>
      </c>
      <c r="U1079">
        <v>0</v>
      </c>
      <c r="V1079">
        <v>0</v>
      </c>
      <c r="W1079">
        <v>1336</v>
      </c>
      <c r="X1079">
        <f>NHS_AE_2024_2025[[#This Row],[A&amp;E attendances Type 1]]+
NHS_AE_2024_2025[[#This Row],[A&amp;E attendances Type 2]]+
NHS_AE_2024_2025[[#This Row],[A&amp;E attendances Other A&amp;E Department]]</f>
        <v>7293</v>
      </c>
      <c r="Y1079">
        <f t="shared" si="32"/>
        <v>3053</v>
      </c>
      <c r="Z1079">
        <f t="shared" si="33"/>
        <v>2987</v>
      </c>
    </row>
    <row r="1080" spans="1:26" x14ac:dyDescent="0.2">
      <c r="A1080" t="s">
        <v>443</v>
      </c>
      <c r="B1080" t="s">
        <v>444</v>
      </c>
      <c r="C1080" t="s">
        <v>156</v>
      </c>
      <c r="D1080" t="s">
        <v>29</v>
      </c>
      <c r="E1080" t="s">
        <v>157</v>
      </c>
      <c r="F1080">
        <v>15940</v>
      </c>
      <c r="G1080">
        <v>0</v>
      </c>
      <c r="H1080">
        <v>8713</v>
      </c>
      <c r="I1080">
        <v>59</v>
      </c>
      <c r="J1080">
        <v>0</v>
      </c>
      <c r="K1080">
        <v>1203</v>
      </c>
      <c r="L1080">
        <v>6695</v>
      </c>
      <c r="M1080">
        <v>0</v>
      </c>
      <c r="N1080">
        <v>476</v>
      </c>
      <c r="O1080">
        <v>20</v>
      </c>
      <c r="P1080">
        <v>0</v>
      </c>
      <c r="Q1080">
        <v>19</v>
      </c>
      <c r="R1080">
        <v>1487</v>
      </c>
      <c r="S1080">
        <v>631</v>
      </c>
      <c r="T1080">
        <v>2616</v>
      </c>
      <c r="U1080">
        <v>0</v>
      </c>
      <c r="V1080">
        <v>0</v>
      </c>
      <c r="W1080">
        <v>430</v>
      </c>
      <c r="X1080">
        <f>NHS_AE_2024_2025[[#This Row],[A&amp;E attendances Type 1]]+
NHS_AE_2024_2025[[#This Row],[A&amp;E attendances Type 2]]+
NHS_AE_2024_2025[[#This Row],[A&amp;E attendances Other A&amp;E Department]]</f>
        <v>24653</v>
      </c>
      <c r="Y1080">
        <f t="shared" si="32"/>
        <v>7171</v>
      </c>
      <c r="Z1080">
        <f t="shared" si="33"/>
        <v>3046</v>
      </c>
    </row>
    <row r="1081" spans="1:26" x14ac:dyDescent="0.2">
      <c r="A1081" t="s">
        <v>443</v>
      </c>
      <c r="B1081" t="s">
        <v>444</v>
      </c>
      <c r="C1081" t="s">
        <v>202</v>
      </c>
      <c r="D1081" t="s">
        <v>32</v>
      </c>
      <c r="E1081" t="s">
        <v>203</v>
      </c>
      <c r="F1081">
        <v>13273</v>
      </c>
      <c r="G1081">
        <v>0</v>
      </c>
      <c r="H1081">
        <v>7598</v>
      </c>
      <c r="I1081">
        <v>71</v>
      </c>
      <c r="J1081">
        <v>0</v>
      </c>
      <c r="K1081">
        <v>825</v>
      </c>
      <c r="L1081">
        <v>4093</v>
      </c>
      <c r="M1081">
        <v>0</v>
      </c>
      <c r="N1081">
        <v>47</v>
      </c>
      <c r="O1081">
        <v>17</v>
      </c>
      <c r="P1081">
        <v>0</v>
      </c>
      <c r="Q1081">
        <v>0</v>
      </c>
      <c r="R1081">
        <v>1163</v>
      </c>
      <c r="S1081">
        <v>253</v>
      </c>
      <c r="T1081">
        <v>6010</v>
      </c>
      <c r="U1081">
        <v>0</v>
      </c>
      <c r="V1081">
        <v>0</v>
      </c>
      <c r="W1081">
        <v>931</v>
      </c>
      <c r="X1081">
        <f>NHS_AE_2024_2025[[#This Row],[A&amp;E attendances Type 1]]+
NHS_AE_2024_2025[[#This Row],[A&amp;E attendances Type 2]]+
NHS_AE_2024_2025[[#This Row],[A&amp;E attendances Other A&amp;E Department]]</f>
        <v>20871</v>
      </c>
      <c r="Y1081">
        <f t="shared" si="32"/>
        <v>4140</v>
      </c>
      <c r="Z1081">
        <f t="shared" si="33"/>
        <v>6941</v>
      </c>
    </row>
    <row r="1082" spans="1:26" x14ac:dyDescent="0.2">
      <c r="A1082" t="s">
        <v>443</v>
      </c>
      <c r="B1082" t="s">
        <v>444</v>
      </c>
      <c r="C1082" t="s">
        <v>388</v>
      </c>
      <c r="D1082" t="s">
        <v>55</v>
      </c>
      <c r="E1082" t="s">
        <v>389</v>
      </c>
      <c r="F1082">
        <v>7835</v>
      </c>
      <c r="G1082">
        <v>0</v>
      </c>
      <c r="H1082">
        <v>3680</v>
      </c>
      <c r="I1082">
        <v>56</v>
      </c>
      <c r="J1082">
        <v>0</v>
      </c>
      <c r="K1082">
        <v>52</v>
      </c>
      <c r="L1082">
        <v>3674</v>
      </c>
      <c r="M1082">
        <v>0</v>
      </c>
      <c r="N1082">
        <v>182</v>
      </c>
      <c r="O1082">
        <v>26</v>
      </c>
      <c r="P1082">
        <v>0</v>
      </c>
      <c r="Q1082">
        <v>1</v>
      </c>
      <c r="R1082">
        <v>629</v>
      </c>
      <c r="S1082">
        <v>542</v>
      </c>
      <c r="T1082">
        <v>2242</v>
      </c>
      <c r="U1082">
        <v>0</v>
      </c>
      <c r="V1082">
        <v>123</v>
      </c>
      <c r="W1082">
        <v>738</v>
      </c>
      <c r="X1082">
        <f>NHS_AE_2024_2025[[#This Row],[A&amp;E attendances Type 1]]+
NHS_AE_2024_2025[[#This Row],[A&amp;E attendances Type 2]]+
NHS_AE_2024_2025[[#This Row],[A&amp;E attendances Other A&amp;E Department]]</f>
        <v>11515</v>
      </c>
      <c r="Y1082">
        <f t="shared" si="32"/>
        <v>3856</v>
      </c>
      <c r="Z1082">
        <f t="shared" si="33"/>
        <v>3103</v>
      </c>
    </row>
    <row r="1083" spans="1:26" x14ac:dyDescent="0.2">
      <c r="A1083" t="s">
        <v>443</v>
      </c>
      <c r="B1083" t="s">
        <v>444</v>
      </c>
      <c r="C1083" t="s">
        <v>162</v>
      </c>
      <c r="D1083" t="s">
        <v>29</v>
      </c>
      <c r="E1083" t="s">
        <v>163</v>
      </c>
      <c r="F1083">
        <v>0</v>
      </c>
      <c r="G1083">
        <v>6081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171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6</v>
      </c>
      <c r="V1083">
        <v>0</v>
      </c>
      <c r="W1083">
        <v>218</v>
      </c>
      <c r="X1083">
        <f>NHS_AE_2024_2025[[#This Row],[A&amp;E attendances Type 1]]+
NHS_AE_2024_2025[[#This Row],[A&amp;E attendances Type 2]]+
NHS_AE_2024_2025[[#This Row],[A&amp;E attendances Other A&amp;E Department]]</f>
        <v>6081</v>
      </c>
      <c r="Y1083">
        <f t="shared" si="32"/>
        <v>171</v>
      </c>
      <c r="Z1083">
        <f t="shared" si="33"/>
        <v>224</v>
      </c>
    </row>
    <row r="1084" spans="1:26" x14ac:dyDescent="0.2">
      <c r="A1084" t="s">
        <v>443</v>
      </c>
      <c r="B1084" t="s">
        <v>444</v>
      </c>
      <c r="C1084" t="s">
        <v>332</v>
      </c>
      <c r="D1084" t="s">
        <v>55</v>
      </c>
      <c r="E1084" t="s">
        <v>333</v>
      </c>
      <c r="F1084">
        <v>7301</v>
      </c>
      <c r="G1084">
        <v>0</v>
      </c>
      <c r="H1084">
        <v>5450</v>
      </c>
      <c r="I1084">
        <v>0</v>
      </c>
      <c r="J1084">
        <v>0</v>
      </c>
      <c r="K1084">
        <v>0</v>
      </c>
      <c r="L1084">
        <v>3376</v>
      </c>
      <c r="M1084">
        <v>0</v>
      </c>
      <c r="N1084">
        <v>23</v>
      </c>
      <c r="O1084">
        <v>0</v>
      </c>
      <c r="P1084">
        <v>0</v>
      </c>
      <c r="Q1084">
        <v>0</v>
      </c>
      <c r="R1084">
        <v>1236</v>
      </c>
      <c r="S1084">
        <v>186</v>
      </c>
      <c r="T1084">
        <v>2488</v>
      </c>
      <c r="U1084">
        <v>0</v>
      </c>
      <c r="V1084">
        <v>0</v>
      </c>
      <c r="W1084">
        <v>794</v>
      </c>
      <c r="X1084">
        <f>NHS_AE_2024_2025[[#This Row],[A&amp;E attendances Type 1]]+
NHS_AE_2024_2025[[#This Row],[A&amp;E attendances Type 2]]+
NHS_AE_2024_2025[[#This Row],[A&amp;E attendances Other A&amp;E Department]]</f>
        <v>12751</v>
      </c>
      <c r="Y1084">
        <f t="shared" si="32"/>
        <v>3399</v>
      </c>
      <c r="Z1084">
        <f t="shared" si="33"/>
        <v>3282</v>
      </c>
    </row>
    <row r="1085" spans="1:26" x14ac:dyDescent="0.2">
      <c r="A1085" t="s">
        <v>443</v>
      </c>
      <c r="B1085" t="s">
        <v>444</v>
      </c>
      <c r="C1085" t="s">
        <v>168</v>
      </c>
      <c r="D1085" t="s">
        <v>32</v>
      </c>
      <c r="E1085" t="s">
        <v>169</v>
      </c>
      <c r="F1085">
        <v>12966</v>
      </c>
      <c r="G1085">
        <v>0</v>
      </c>
      <c r="H1085">
        <v>6462</v>
      </c>
      <c r="I1085">
        <v>181</v>
      </c>
      <c r="J1085">
        <v>0</v>
      </c>
      <c r="K1085">
        <v>16</v>
      </c>
      <c r="L1085">
        <v>6462</v>
      </c>
      <c r="M1085">
        <v>0</v>
      </c>
      <c r="N1085">
        <v>9</v>
      </c>
      <c r="O1085">
        <v>69</v>
      </c>
      <c r="P1085">
        <v>0</v>
      </c>
      <c r="Q1085">
        <v>0</v>
      </c>
      <c r="R1085">
        <v>780</v>
      </c>
      <c r="S1085">
        <v>270</v>
      </c>
      <c r="T1085">
        <v>3409</v>
      </c>
      <c r="U1085">
        <v>0</v>
      </c>
      <c r="V1085">
        <v>0</v>
      </c>
      <c r="W1085">
        <v>1204</v>
      </c>
      <c r="X1085">
        <f>NHS_AE_2024_2025[[#This Row],[A&amp;E attendances Type 1]]+
NHS_AE_2024_2025[[#This Row],[A&amp;E attendances Type 2]]+
NHS_AE_2024_2025[[#This Row],[A&amp;E attendances Other A&amp;E Department]]</f>
        <v>19428</v>
      </c>
      <c r="Y1085">
        <f t="shared" si="32"/>
        <v>6471</v>
      </c>
      <c r="Z1085">
        <f t="shared" si="33"/>
        <v>4613</v>
      </c>
    </row>
    <row r="1086" spans="1:26" x14ac:dyDescent="0.2">
      <c r="A1086" t="s">
        <v>443</v>
      </c>
      <c r="B1086" t="s">
        <v>444</v>
      </c>
      <c r="C1086" t="s">
        <v>174</v>
      </c>
      <c r="D1086" t="s">
        <v>50</v>
      </c>
      <c r="E1086" t="s">
        <v>175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143</v>
      </c>
      <c r="X1086">
        <f>NHS_AE_2024_2025[[#This Row],[A&amp;E attendances Type 1]]+
NHS_AE_2024_2025[[#This Row],[A&amp;E attendances Type 2]]+
NHS_AE_2024_2025[[#This Row],[A&amp;E attendances Other A&amp;E Department]]</f>
        <v>0</v>
      </c>
      <c r="Y1086">
        <f t="shared" si="32"/>
        <v>0</v>
      </c>
      <c r="Z1086">
        <f t="shared" si="33"/>
        <v>143</v>
      </c>
    </row>
    <row r="1087" spans="1:26" x14ac:dyDescent="0.2">
      <c r="A1087" t="s">
        <v>443</v>
      </c>
      <c r="B1087" t="s">
        <v>444</v>
      </c>
      <c r="C1087" t="s">
        <v>272</v>
      </c>
      <c r="D1087" t="s">
        <v>32</v>
      </c>
      <c r="E1087" t="s">
        <v>273</v>
      </c>
      <c r="F1087">
        <v>10516</v>
      </c>
      <c r="G1087">
        <v>0</v>
      </c>
      <c r="H1087">
        <v>2339</v>
      </c>
      <c r="I1087">
        <v>0</v>
      </c>
      <c r="J1087">
        <v>0</v>
      </c>
      <c r="K1087">
        <v>0</v>
      </c>
      <c r="L1087">
        <v>5674</v>
      </c>
      <c r="M1087">
        <v>0</v>
      </c>
      <c r="N1087">
        <v>153</v>
      </c>
      <c r="O1087">
        <v>0</v>
      </c>
      <c r="P1087">
        <v>0</v>
      </c>
      <c r="Q1087">
        <v>0</v>
      </c>
      <c r="R1087">
        <v>569</v>
      </c>
      <c r="S1087">
        <v>560</v>
      </c>
      <c r="T1087">
        <v>3202</v>
      </c>
      <c r="U1087">
        <v>0</v>
      </c>
      <c r="V1087">
        <v>143</v>
      </c>
      <c r="W1087">
        <v>2103</v>
      </c>
      <c r="X1087">
        <f>NHS_AE_2024_2025[[#This Row],[A&amp;E attendances Type 1]]+
NHS_AE_2024_2025[[#This Row],[A&amp;E attendances Type 2]]+
NHS_AE_2024_2025[[#This Row],[A&amp;E attendances Other A&amp;E Department]]</f>
        <v>12855</v>
      </c>
      <c r="Y1087">
        <f t="shared" si="32"/>
        <v>5827</v>
      </c>
      <c r="Z1087">
        <f t="shared" si="33"/>
        <v>5448</v>
      </c>
    </row>
    <row r="1088" spans="1:26" x14ac:dyDescent="0.2">
      <c r="A1088" t="s">
        <v>443</v>
      </c>
      <c r="B1088" t="s">
        <v>444</v>
      </c>
      <c r="C1088" t="s">
        <v>356</v>
      </c>
      <c r="D1088" t="s">
        <v>32</v>
      </c>
      <c r="E1088" t="s">
        <v>357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6</v>
      </c>
      <c r="W1088">
        <v>74</v>
      </c>
      <c r="X1088">
        <f>NHS_AE_2024_2025[[#This Row],[A&amp;E attendances Type 1]]+
NHS_AE_2024_2025[[#This Row],[A&amp;E attendances Type 2]]+
NHS_AE_2024_2025[[#This Row],[A&amp;E attendances Other A&amp;E Department]]</f>
        <v>0</v>
      </c>
      <c r="Y1088">
        <f t="shared" si="32"/>
        <v>0</v>
      </c>
      <c r="Z1088">
        <f t="shared" si="33"/>
        <v>80</v>
      </c>
    </row>
    <row r="1089" spans="1:26" x14ac:dyDescent="0.2">
      <c r="A1089" t="s">
        <v>443</v>
      </c>
      <c r="B1089" t="s">
        <v>444</v>
      </c>
      <c r="C1089" t="s">
        <v>276</v>
      </c>
      <c r="D1089" t="s">
        <v>37</v>
      </c>
      <c r="E1089" t="s">
        <v>277</v>
      </c>
      <c r="F1089">
        <v>22708</v>
      </c>
      <c r="G1089">
        <v>1526</v>
      </c>
      <c r="H1089">
        <v>5399</v>
      </c>
      <c r="I1089">
        <v>1291</v>
      </c>
      <c r="J1089">
        <v>0</v>
      </c>
      <c r="K1089">
        <v>1046</v>
      </c>
      <c r="L1089">
        <v>9555</v>
      </c>
      <c r="M1089">
        <v>18</v>
      </c>
      <c r="N1089">
        <v>581</v>
      </c>
      <c r="O1089">
        <v>467</v>
      </c>
      <c r="P1089">
        <v>0</v>
      </c>
      <c r="Q1089">
        <v>34</v>
      </c>
      <c r="R1089">
        <v>1666</v>
      </c>
      <c r="S1089">
        <v>1284</v>
      </c>
      <c r="T1089">
        <v>7985</v>
      </c>
      <c r="U1089">
        <v>38</v>
      </c>
      <c r="V1089">
        <v>29</v>
      </c>
      <c r="W1089">
        <v>1551</v>
      </c>
      <c r="X1089">
        <f>NHS_AE_2024_2025[[#This Row],[A&amp;E attendances Type 1]]+
NHS_AE_2024_2025[[#This Row],[A&amp;E attendances Type 2]]+
NHS_AE_2024_2025[[#This Row],[A&amp;E attendances Other A&amp;E Department]]</f>
        <v>29633</v>
      </c>
      <c r="Y1089">
        <f t="shared" si="32"/>
        <v>10154</v>
      </c>
      <c r="Z1089">
        <f t="shared" si="33"/>
        <v>9603</v>
      </c>
    </row>
    <row r="1090" spans="1:26" x14ac:dyDescent="0.2">
      <c r="A1090" t="s">
        <v>443</v>
      </c>
      <c r="B1090" t="s">
        <v>444</v>
      </c>
      <c r="C1090" t="s">
        <v>106</v>
      </c>
      <c r="D1090" t="s">
        <v>37</v>
      </c>
      <c r="E1090" t="s">
        <v>107</v>
      </c>
      <c r="F1090">
        <v>0</v>
      </c>
      <c r="G1090">
        <v>0</v>
      </c>
      <c r="H1090">
        <v>2092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f>NHS_AE_2024_2025[[#This Row],[A&amp;E attendances Type 1]]+
NHS_AE_2024_2025[[#This Row],[A&amp;E attendances Type 2]]+
NHS_AE_2024_2025[[#This Row],[A&amp;E attendances Other A&amp;E Department]]</f>
        <v>2092</v>
      </c>
      <c r="Y1090">
        <f t="shared" ref="Y1090:Y1153" si="34">L1090+M1090+N1090</f>
        <v>0</v>
      </c>
      <c r="Z1090">
        <f t="shared" ref="Z1090:Z1153" si="35">T1090+U1090+V1090+W1090</f>
        <v>0</v>
      </c>
    </row>
    <row r="1091" spans="1:26" x14ac:dyDescent="0.2">
      <c r="A1091" t="s">
        <v>443</v>
      </c>
      <c r="B1091" t="s">
        <v>444</v>
      </c>
      <c r="C1091" t="s">
        <v>92</v>
      </c>
      <c r="D1091" t="s">
        <v>26</v>
      </c>
      <c r="E1091" t="s">
        <v>93</v>
      </c>
      <c r="F1091">
        <v>0</v>
      </c>
      <c r="G1091">
        <v>0</v>
      </c>
      <c r="H1091">
        <v>2746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60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f>NHS_AE_2024_2025[[#This Row],[A&amp;E attendances Type 1]]+
NHS_AE_2024_2025[[#This Row],[A&amp;E attendances Type 2]]+
NHS_AE_2024_2025[[#This Row],[A&amp;E attendances Other A&amp;E Department]]</f>
        <v>2746</v>
      </c>
      <c r="Y1091">
        <f t="shared" si="34"/>
        <v>60</v>
      </c>
      <c r="Z1091">
        <f t="shared" si="35"/>
        <v>0</v>
      </c>
    </row>
    <row r="1092" spans="1:26" x14ac:dyDescent="0.2">
      <c r="A1092" t="s">
        <v>443</v>
      </c>
      <c r="B1092" t="s">
        <v>444</v>
      </c>
      <c r="C1092" t="s">
        <v>136</v>
      </c>
      <c r="D1092" t="s">
        <v>32</v>
      </c>
      <c r="E1092" t="s">
        <v>137</v>
      </c>
      <c r="F1092">
        <v>0</v>
      </c>
      <c r="G1092">
        <v>0</v>
      </c>
      <c r="H1092">
        <v>5477</v>
      </c>
      <c r="I1092">
        <v>0</v>
      </c>
      <c r="J1092">
        <v>0</v>
      </c>
      <c r="K1092">
        <v>567</v>
      </c>
      <c r="L1092">
        <v>0</v>
      </c>
      <c r="M1092">
        <v>0</v>
      </c>
      <c r="N1092">
        <v>6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f>NHS_AE_2024_2025[[#This Row],[A&amp;E attendances Type 1]]+
NHS_AE_2024_2025[[#This Row],[A&amp;E attendances Type 2]]+
NHS_AE_2024_2025[[#This Row],[A&amp;E attendances Other A&amp;E Department]]</f>
        <v>5477</v>
      </c>
      <c r="Y1092">
        <f t="shared" si="34"/>
        <v>6</v>
      </c>
      <c r="Z1092">
        <f t="shared" si="35"/>
        <v>0</v>
      </c>
    </row>
    <row r="1093" spans="1:26" x14ac:dyDescent="0.2">
      <c r="A1093" t="s">
        <v>443</v>
      </c>
      <c r="B1093" t="s">
        <v>444</v>
      </c>
      <c r="C1093" t="s">
        <v>138</v>
      </c>
      <c r="D1093" t="s">
        <v>32</v>
      </c>
      <c r="E1093" t="s">
        <v>139</v>
      </c>
      <c r="F1093">
        <v>0</v>
      </c>
      <c r="G1093">
        <v>0</v>
      </c>
      <c r="H1093">
        <v>180</v>
      </c>
      <c r="I1093">
        <v>0</v>
      </c>
      <c r="J1093">
        <v>0</v>
      </c>
      <c r="K1093">
        <v>2024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f>NHS_AE_2024_2025[[#This Row],[A&amp;E attendances Type 1]]+
NHS_AE_2024_2025[[#This Row],[A&amp;E attendances Type 2]]+
NHS_AE_2024_2025[[#This Row],[A&amp;E attendances Other A&amp;E Department]]</f>
        <v>180</v>
      </c>
      <c r="Y1093">
        <f t="shared" si="34"/>
        <v>1</v>
      </c>
      <c r="Z1093">
        <f t="shared" si="35"/>
        <v>0</v>
      </c>
    </row>
    <row r="1094" spans="1:26" x14ac:dyDescent="0.2">
      <c r="A1094" t="s">
        <v>443</v>
      </c>
      <c r="B1094" t="s">
        <v>444</v>
      </c>
      <c r="C1094" t="s">
        <v>140</v>
      </c>
      <c r="D1094" t="s">
        <v>32</v>
      </c>
      <c r="E1094" t="s">
        <v>141</v>
      </c>
      <c r="F1094">
        <v>0</v>
      </c>
      <c r="G1094">
        <v>0</v>
      </c>
      <c r="H1094">
        <v>87</v>
      </c>
      <c r="I1094">
        <v>0</v>
      </c>
      <c r="J1094">
        <v>0</v>
      </c>
      <c r="K1094">
        <v>346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f>NHS_AE_2024_2025[[#This Row],[A&amp;E attendances Type 1]]+
NHS_AE_2024_2025[[#This Row],[A&amp;E attendances Type 2]]+
NHS_AE_2024_2025[[#This Row],[A&amp;E attendances Other A&amp;E Department]]</f>
        <v>87</v>
      </c>
      <c r="Y1094">
        <f t="shared" si="34"/>
        <v>0</v>
      </c>
      <c r="Z1094">
        <f t="shared" si="35"/>
        <v>0</v>
      </c>
    </row>
    <row r="1095" spans="1:26" x14ac:dyDescent="0.2">
      <c r="A1095" t="s">
        <v>443</v>
      </c>
      <c r="B1095" t="s">
        <v>444</v>
      </c>
      <c r="C1095" t="s">
        <v>142</v>
      </c>
      <c r="D1095" t="s">
        <v>32</v>
      </c>
      <c r="E1095" t="s">
        <v>143</v>
      </c>
      <c r="F1095">
        <v>0</v>
      </c>
      <c r="G1095">
        <v>0</v>
      </c>
      <c r="H1095">
        <v>61</v>
      </c>
      <c r="I1095">
        <v>0</v>
      </c>
      <c r="J1095">
        <v>0</v>
      </c>
      <c r="K1095">
        <v>350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f>NHS_AE_2024_2025[[#This Row],[A&amp;E attendances Type 1]]+
NHS_AE_2024_2025[[#This Row],[A&amp;E attendances Type 2]]+
NHS_AE_2024_2025[[#This Row],[A&amp;E attendances Other A&amp;E Department]]</f>
        <v>61</v>
      </c>
      <c r="Y1095">
        <f t="shared" si="34"/>
        <v>0</v>
      </c>
      <c r="Z1095">
        <f t="shared" si="35"/>
        <v>0</v>
      </c>
    </row>
    <row r="1096" spans="1:26" x14ac:dyDescent="0.2">
      <c r="A1096" t="s">
        <v>443</v>
      </c>
      <c r="B1096" t="s">
        <v>444</v>
      </c>
      <c r="C1096" t="s">
        <v>414</v>
      </c>
      <c r="D1096" t="s">
        <v>32</v>
      </c>
      <c r="E1096" t="s">
        <v>415</v>
      </c>
      <c r="F1096">
        <v>0</v>
      </c>
      <c r="G1096">
        <v>0</v>
      </c>
      <c r="H1096">
        <v>802</v>
      </c>
      <c r="I1096">
        <v>0</v>
      </c>
      <c r="J1096">
        <v>0</v>
      </c>
      <c r="K1096">
        <v>1976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f>NHS_AE_2024_2025[[#This Row],[A&amp;E attendances Type 1]]+
NHS_AE_2024_2025[[#This Row],[A&amp;E attendances Type 2]]+
NHS_AE_2024_2025[[#This Row],[A&amp;E attendances Other A&amp;E Department]]</f>
        <v>802</v>
      </c>
      <c r="Y1096">
        <f t="shared" si="34"/>
        <v>0</v>
      </c>
      <c r="Z1096">
        <f t="shared" si="35"/>
        <v>0</v>
      </c>
    </row>
    <row r="1097" spans="1:26" x14ac:dyDescent="0.2">
      <c r="A1097" t="s">
        <v>443</v>
      </c>
      <c r="B1097" t="s">
        <v>444</v>
      </c>
      <c r="C1097" t="s">
        <v>144</v>
      </c>
      <c r="D1097" t="s">
        <v>32</v>
      </c>
      <c r="E1097" t="s">
        <v>145</v>
      </c>
      <c r="F1097">
        <v>0</v>
      </c>
      <c r="G1097">
        <v>0</v>
      </c>
      <c r="H1097">
        <v>67</v>
      </c>
      <c r="I1097">
        <v>0</v>
      </c>
      <c r="J1097">
        <v>0</v>
      </c>
      <c r="K1097">
        <v>354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f>NHS_AE_2024_2025[[#This Row],[A&amp;E attendances Type 1]]+
NHS_AE_2024_2025[[#This Row],[A&amp;E attendances Type 2]]+
NHS_AE_2024_2025[[#This Row],[A&amp;E attendances Other A&amp;E Department]]</f>
        <v>67</v>
      </c>
      <c r="Y1097">
        <f t="shared" si="34"/>
        <v>0</v>
      </c>
      <c r="Z1097">
        <f t="shared" si="35"/>
        <v>0</v>
      </c>
    </row>
    <row r="1098" spans="1:26" x14ac:dyDescent="0.2">
      <c r="A1098" t="s">
        <v>443</v>
      </c>
      <c r="B1098" t="s">
        <v>444</v>
      </c>
      <c r="C1098" t="s">
        <v>76</v>
      </c>
      <c r="D1098" t="s">
        <v>37</v>
      </c>
      <c r="E1098" t="s">
        <v>77</v>
      </c>
      <c r="F1098">
        <v>0</v>
      </c>
      <c r="G1098">
        <v>0</v>
      </c>
      <c r="H1098">
        <v>5459</v>
      </c>
      <c r="I1098">
        <v>0</v>
      </c>
      <c r="J1098">
        <v>0</v>
      </c>
      <c r="K1098">
        <v>286</v>
      </c>
      <c r="L1098">
        <v>0</v>
      </c>
      <c r="M1098">
        <v>0</v>
      </c>
      <c r="N1098">
        <v>54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f>NHS_AE_2024_2025[[#This Row],[A&amp;E attendances Type 1]]+
NHS_AE_2024_2025[[#This Row],[A&amp;E attendances Type 2]]+
NHS_AE_2024_2025[[#This Row],[A&amp;E attendances Other A&amp;E Department]]</f>
        <v>5459</v>
      </c>
      <c r="Y1098">
        <f t="shared" si="34"/>
        <v>54</v>
      </c>
      <c r="Z1098">
        <f t="shared" si="35"/>
        <v>0</v>
      </c>
    </row>
    <row r="1099" spans="1:26" x14ac:dyDescent="0.2">
      <c r="A1099" t="s">
        <v>443</v>
      </c>
      <c r="B1099" t="s">
        <v>444</v>
      </c>
      <c r="C1099" t="s">
        <v>232</v>
      </c>
      <c r="D1099" t="s">
        <v>29</v>
      </c>
      <c r="E1099" t="s">
        <v>233</v>
      </c>
      <c r="F1099">
        <v>7078</v>
      </c>
      <c r="G1099">
        <v>0</v>
      </c>
      <c r="H1099">
        <v>8165</v>
      </c>
      <c r="I1099">
        <v>0</v>
      </c>
      <c r="J1099">
        <v>0</v>
      </c>
      <c r="K1099">
        <v>0</v>
      </c>
      <c r="L1099">
        <v>3086</v>
      </c>
      <c r="M1099">
        <v>0</v>
      </c>
      <c r="N1099">
        <v>265</v>
      </c>
      <c r="O1099">
        <v>0</v>
      </c>
      <c r="P1099">
        <v>0</v>
      </c>
      <c r="Q1099">
        <v>0</v>
      </c>
      <c r="R1099">
        <v>251</v>
      </c>
      <c r="S1099">
        <v>223</v>
      </c>
      <c r="T1099">
        <v>2067</v>
      </c>
      <c r="U1099">
        <v>0</v>
      </c>
      <c r="V1099">
        <v>160</v>
      </c>
      <c r="W1099">
        <v>765</v>
      </c>
      <c r="X1099">
        <f>NHS_AE_2024_2025[[#This Row],[A&amp;E attendances Type 1]]+
NHS_AE_2024_2025[[#This Row],[A&amp;E attendances Type 2]]+
NHS_AE_2024_2025[[#This Row],[A&amp;E attendances Other A&amp;E Department]]</f>
        <v>15243</v>
      </c>
      <c r="Y1099">
        <f t="shared" si="34"/>
        <v>3351</v>
      </c>
      <c r="Z1099">
        <f t="shared" si="35"/>
        <v>2992</v>
      </c>
    </row>
    <row r="1100" spans="1:26" x14ac:dyDescent="0.2">
      <c r="A1100" t="s">
        <v>443</v>
      </c>
      <c r="B1100" t="s">
        <v>444</v>
      </c>
      <c r="C1100" t="s">
        <v>192</v>
      </c>
      <c r="D1100" t="s">
        <v>55</v>
      </c>
      <c r="E1100" t="s">
        <v>193</v>
      </c>
      <c r="F1100">
        <v>5165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626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881</v>
      </c>
      <c r="U1100">
        <v>0</v>
      </c>
      <c r="V1100">
        <v>0</v>
      </c>
      <c r="W1100">
        <v>299</v>
      </c>
      <c r="X1100">
        <f>NHS_AE_2024_2025[[#This Row],[A&amp;E attendances Type 1]]+
NHS_AE_2024_2025[[#This Row],[A&amp;E attendances Type 2]]+
NHS_AE_2024_2025[[#This Row],[A&amp;E attendances Other A&amp;E Department]]</f>
        <v>5165</v>
      </c>
      <c r="Y1100">
        <f t="shared" si="34"/>
        <v>626</v>
      </c>
      <c r="Z1100">
        <f t="shared" si="35"/>
        <v>1180</v>
      </c>
    </row>
    <row r="1101" spans="1:26" x14ac:dyDescent="0.2">
      <c r="A1101" t="s">
        <v>443</v>
      </c>
      <c r="B1101" t="s">
        <v>444</v>
      </c>
      <c r="C1101" t="s">
        <v>400</v>
      </c>
      <c r="D1101" t="s">
        <v>50</v>
      </c>
      <c r="E1101" t="s">
        <v>401</v>
      </c>
      <c r="F1101">
        <v>5111</v>
      </c>
      <c r="G1101">
        <v>0</v>
      </c>
      <c r="H1101">
        <v>1025</v>
      </c>
      <c r="I1101">
        <v>303</v>
      </c>
      <c r="J1101">
        <v>0</v>
      </c>
      <c r="K1101">
        <v>33</v>
      </c>
      <c r="L1101">
        <v>1591</v>
      </c>
      <c r="M1101">
        <v>0</v>
      </c>
      <c r="N1101">
        <v>0</v>
      </c>
      <c r="O1101">
        <v>65</v>
      </c>
      <c r="P1101">
        <v>0</v>
      </c>
      <c r="Q1101">
        <v>0</v>
      </c>
      <c r="R1101">
        <v>377</v>
      </c>
      <c r="S1101">
        <v>39</v>
      </c>
      <c r="T1101">
        <v>1130</v>
      </c>
      <c r="U1101">
        <v>0</v>
      </c>
      <c r="V1101">
        <v>0</v>
      </c>
      <c r="W1101">
        <v>312</v>
      </c>
      <c r="X1101">
        <f>NHS_AE_2024_2025[[#This Row],[A&amp;E attendances Type 1]]+
NHS_AE_2024_2025[[#This Row],[A&amp;E attendances Type 2]]+
NHS_AE_2024_2025[[#This Row],[A&amp;E attendances Other A&amp;E Department]]</f>
        <v>6136</v>
      </c>
      <c r="Y1101">
        <f t="shared" si="34"/>
        <v>1591</v>
      </c>
      <c r="Z1101">
        <f t="shared" si="35"/>
        <v>1442</v>
      </c>
    </row>
    <row r="1102" spans="1:26" x14ac:dyDescent="0.2">
      <c r="A1102" t="s">
        <v>443</v>
      </c>
      <c r="B1102" t="s">
        <v>444</v>
      </c>
      <c r="C1102" t="s">
        <v>194</v>
      </c>
      <c r="D1102" t="s">
        <v>50</v>
      </c>
      <c r="E1102" t="s">
        <v>195</v>
      </c>
      <c r="F1102">
        <v>4330</v>
      </c>
      <c r="G1102">
        <v>0</v>
      </c>
      <c r="H1102">
        <v>273</v>
      </c>
      <c r="I1102">
        <v>286</v>
      </c>
      <c r="J1102">
        <v>0</v>
      </c>
      <c r="K1102">
        <v>21</v>
      </c>
      <c r="L1102">
        <v>267</v>
      </c>
      <c r="M1102">
        <v>0</v>
      </c>
      <c r="N1102">
        <v>0</v>
      </c>
      <c r="O1102">
        <v>22</v>
      </c>
      <c r="P1102">
        <v>0</v>
      </c>
      <c r="Q1102">
        <v>0</v>
      </c>
      <c r="R1102">
        <v>4</v>
      </c>
      <c r="S1102">
        <v>1</v>
      </c>
      <c r="T1102">
        <v>851</v>
      </c>
      <c r="U1102">
        <v>0</v>
      </c>
      <c r="V1102">
        <v>0</v>
      </c>
      <c r="W1102">
        <v>75</v>
      </c>
      <c r="X1102">
        <f>NHS_AE_2024_2025[[#This Row],[A&amp;E attendances Type 1]]+
NHS_AE_2024_2025[[#This Row],[A&amp;E attendances Type 2]]+
NHS_AE_2024_2025[[#This Row],[A&amp;E attendances Other A&amp;E Department]]</f>
        <v>4603</v>
      </c>
      <c r="Y1102">
        <f t="shared" si="34"/>
        <v>267</v>
      </c>
      <c r="Z1102">
        <f t="shared" si="35"/>
        <v>926</v>
      </c>
    </row>
    <row r="1103" spans="1:26" x14ac:dyDescent="0.2">
      <c r="A1103" t="s">
        <v>443</v>
      </c>
      <c r="B1103" t="s">
        <v>444</v>
      </c>
      <c r="C1103" t="s">
        <v>242</v>
      </c>
      <c r="D1103" t="s">
        <v>70</v>
      </c>
      <c r="E1103" t="s">
        <v>243</v>
      </c>
      <c r="F1103">
        <v>8444</v>
      </c>
      <c r="G1103">
        <v>0</v>
      </c>
      <c r="H1103">
        <v>5142</v>
      </c>
      <c r="I1103">
        <v>521</v>
      </c>
      <c r="J1103">
        <v>0</v>
      </c>
      <c r="K1103">
        <v>153</v>
      </c>
      <c r="L1103">
        <v>3225</v>
      </c>
      <c r="M1103">
        <v>0</v>
      </c>
      <c r="N1103">
        <v>112</v>
      </c>
      <c r="O1103">
        <v>209</v>
      </c>
      <c r="P1103">
        <v>0</v>
      </c>
      <c r="Q1103">
        <v>0</v>
      </c>
      <c r="R1103">
        <v>371</v>
      </c>
      <c r="S1103">
        <v>0</v>
      </c>
      <c r="T1103">
        <v>2068</v>
      </c>
      <c r="U1103">
        <v>0</v>
      </c>
      <c r="V1103">
        <v>0</v>
      </c>
      <c r="W1103">
        <v>428</v>
      </c>
      <c r="X1103">
        <f>NHS_AE_2024_2025[[#This Row],[A&amp;E attendances Type 1]]+
NHS_AE_2024_2025[[#This Row],[A&amp;E attendances Type 2]]+
NHS_AE_2024_2025[[#This Row],[A&amp;E attendances Other A&amp;E Department]]</f>
        <v>13586</v>
      </c>
      <c r="Y1103">
        <f t="shared" si="34"/>
        <v>3337</v>
      </c>
      <c r="Z1103">
        <f t="shared" si="35"/>
        <v>2496</v>
      </c>
    </row>
    <row r="1104" spans="1:26" x14ac:dyDescent="0.2">
      <c r="A1104" t="s">
        <v>443</v>
      </c>
      <c r="B1104" t="s">
        <v>444</v>
      </c>
      <c r="C1104" t="s">
        <v>364</v>
      </c>
      <c r="D1104" t="s">
        <v>37</v>
      </c>
      <c r="E1104" t="s">
        <v>365</v>
      </c>
      <c r="F1104">
        <v>0</v>
      </c>
      <c r="G1104">
        <v>0</v>
      </c>
      <c r="H1104">
        <v>12493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152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f>NHS_AE_2024_2025[[#This Row],[A&amp;E attendances Type 1]]+
NHS_AE_2024_2025[[#This Row],[A&amp;E attendances Type 2]]+
NHS_AE_2024_2025[[#This Row],[A&amp;E attendances Other A&amp;E Department]]</f>
        <v>12493</v>
      </c>
      <c r="Y1104">
        <f t="shared" si="34"/>
        <v>152</v>
      </c>
      <c r="Z1104">
        <f t="shared" si="35"/>
        <v>0</v>
      </c>
    </row>
    <row r="1105" spans="1:26" x14ac:dyDescent="0.2">
      <c r="A1105" t="s">
        <v>443</v>
      </c>
      <c r="B1105" t="s">
        <v>444</v>
      </c>
      <c r="C1105" t="s">
        <v>298</v>
      </c>
      <c r="D1105" t="s">
        <v>32</v>
      </c>
      <c r="E1105" t="s">
        <v>299</v>
      </c>
      <c r="F1105">
        <v>7428</v>
      </c>
      <c r="G1105">
        <v>0</v>
      </c>
      <c r="H1105">
        <v>1528</v>
      </c>
      <c r="I1105">
        <v>221</v>
      </c>
      <c r="J1105">
        <v>0</v>
      </c>
      <c r="K1105">
        <v>62</v>
      </c>
      <c r="L1105">
        <v>3018</v>
      </c>
      <c r="M1105">
        <v>0</v>
      </c>
      <c r="N1105">
        <v>130</v>
      </c>
      <c r="O1105">
        <v>73</v>
      </c>
      <c r="P1105">
        <v>0</v>
      </c>
      <c r="Q1105">
        <v>3</v>
      </c>
      <c r="R1105">
        <v>823</v>
      </c>
      <c r="S1105">
        <v>112</v>
      </c>
      <c r="T1105">
        <v>2841</v>
      </c>
      <c r="U1105">
        <v>0</v>
      </c>
      <c r="V1105">
        <v>309</v>
      </c>
      <c r="W1105">
        <v>632</v>
      </c>
      <c r="X1105">
        <f>NHS_AE_2024_2025[[#This Row],[A&amp;E attendances Type 1]]+
NHS_AE_2024_2025[[#This Row],[A&amp;E attendances Type 2]]+
NHS_AE_2024_2025[[#This Row],[A&amp;E attendances Other A&amp;E Department]]</f>
        <v>8956</v>
      </c>
      <c r="Y1105">
        <f t="shared" si="34"/>
        <v>3148</v>
      </c>
      <c r="Z1105">
        <f t="shared" si="35"/>
        <v>3782</v>
      </c>
    </row>
    <row r="1106" spans="1:26" x14ac:dyDescent="0.2">
      <c r="A1106" t="s">
        <v>443</v>
      </c>
      <c r="B1106" t="s">
        <v>444</v>
      </c>
      <c r="C1106" t="s">
        <v>404</v>
      </c>
      <c r="D1106" t="s">
        <v>26</v>
      </c>
      <c r="E1106" t="s">
        <v>405</v>
      </c>
      <c r="F1106">
        <v>12929</v>
      </c>
      <c r="G1106">
        <v>0</v>
      </c>
      <c r="H1106">
        <v>4287</v>
      </c>
      <c r="I1106">
        <v>1160</v>
      </c>
      <c r="J1106">
        <v>0</v>
      </c>
      <c r="K1106">
        <v>74</v>
      </c>
      <c r="L1106">
        <v>4862</v>
      </c>
      <c r="M1106">
        <v>0</v>
      </c>
      <c r="N1106">
        <v>19</v>
      </c>
      <c r="O1106">
        <v>395</v>
      </c>
      <c r="P1106">
        <v>0</v>
      </c>
      <c r="Q1106">
        <v>2</v>
      </c>
      <c r="R1106">
        <v>745</v>
      </c>
      <c r="S1106">
        <v>15</v>
      </c>
      <c r="T1106">
        <v>4140</v>
      </c>
      <c r="U1106">
        <v>0</v>
      </c>
      <c r="V1106">
        <v>0</v>
      </c>
      <c r="W1106">
        <v>2228</v>
      </c>
      <c r="X1106">
        <f>NHS_AE_2024_2025[[#This Row],[A&amp;E attendances Type 1]]+
NHS_AE_2024_2025[[#This Row],[A&amp;E attendances Type 2]]+
NHS_AE_2024_2025[[#This Row],[A&amp;E attendances Other A&amp;E Department]]</f>
        <v>17216</v>
      </c>
      <c r="Y1106">
        <f t="shared" si="34"/>
        <v>4881</v>
      </c>
      <c r="Z1106">
        <f t="shared" si="35"/>
        <v>6368</v>
      </c>
    </row>
    <row r="1107" spans="1:26" x14ac:dyDescent="0.2">
      <c r="A1107" t="s">
        <v>443</v>
      </c>
      <c r="B1107" t="s">
        <v>444</v>
      </c>
      <c r="C1107" t="s">
        <v>306</v>
      </c>
      <c r="D1107" t="s">
        <v>29</v>
      </c>
      <c r="E1107" t="s">
        <v>307</v>
      </c>
      <c r="F1107">
        <v>9127</v>
      </c>
      <c r="G1107">
        <v>0</v>
      </c>
      <c r="H1107">
        <v>3435</v>
      </c>
      <c r="I1107">
        <v>457</v>
      </c>
      <c r="J1107">
        <v>0</v>
      </c>
      <c r="K1107">
        <v>0</v>
      </c>
      <c r="L1107">
        <v>2349</v>
      </c>
      <c r="M1107">
        <v>0</v>
      </c>
      <c r="N1107">
        <v>0</v>
      </c>
      <c r="O1107">
        <v>48</v>
      </c>
      <c r="P1107">
        <v>0</v>
      </c>
      <c r="Q1107">
        <v>0</v>
      </c>
      <c r="R1107">
        <v>541</v>
      </c>
      <c r="S1107">
        <v>663</v>
      </c>
      <c r="T1107">
        <v>2653</v>
      </c>
      <c r="U1107">
        <v>0</v>
      </c>
      <c r="V1107">
        <v>0</v>
      </c>
      <c r="W1107">
        <v>753</v>
      </c>
      <c r="X1107">
        <f>NHS_AE_2024_2025[[#This Row],[A&amp;E attendances Type 1]]+
NHS_AE_2024_2025[[#This Row],[A&amp;E attendances Type 2]]+
NHS_AE_2024_2025[[#This Row],[A&amp;E attendances Other A&amp;E Department]]</f>
        <v>12562</v>
      </c>
      <c r="Y1107">
        <f t="shared" si="34"/>
        <v>2349</v>
      </c>
      <c r="Z1107">
        <f t="shared" si="35"/>
        <v>3406</v>
      </c>
    </row>
    <row r="1108" spans="1:26" x14ac:dyDescent="0.2">
      <c r="A1108" t="s">
        <v>443</v>
      </c>
      <c r="B1108" t="s">
        <v>444</v>
      </c>
      <c r="C1108" t="s">
        <v>374</v>
      </c>
      <c r="D1108" t="s">
        <v>37</v>
      </c>
      <c r="E1108" t="s">
        <v>375</v>
      </c>
      <c r="F1108">
        <v>11348</v>
      </c>
      <c r="G1108">
        <v>0</v>
      </c>
      <c r="H1108">
        <v>3690</v>
      </c>
      <c r="I1108">
        <v>0</v>
      </c>
      <c r="J1108">
        <v>0</v>
      </c>
      <c r="K1108">
        <v>0</v>
      </c>
      <c r="L1108">
        <v>3745</v>
      </c>
      <c r="M1108">
        <v>0</v>
      </c>
      <c r="N1108">
        <v>34</v>
      </c>
      <c r="O1108">
        <v>0</v>
      </c>
      <c r="P1108">
        <v>0</v>
      </c>
      <c r="Q1108">
        <v>0</v>
      </c>
      <c r="R1108">
        <v>816</v>
      </c>
      <c r="S1108">
        <v>149</v>
      </c>
      <c r="T1108">
        <v>2933</v>
      </c>
      <c r="U1108">
        <v>0</v>
      </c>
      <c r="V1108">
        <v>0</v>
      </c>
      <c r="W1108">
        <v>441</v>
      </c>
      <c r="X1108">
        <f>NHS_AE_2024_2025[[#This Row],[A&amp;E attendances Type 1]]+
NHS_AE_2024_2025[[#This Row],[A&amp;E attendances Type 2]]+
NHS_AE_2024_2025[[#This Row],[A&amp;E attendances Other A&amp;E Department]]</f>
        <v>15038</v>
      </c>
      <c r="Y1108">
        <f t="shared" si="34"/>
        <v>3779</v>
      </c>
      <c r="Z1108">
        <f t="shared" si="35"/>
        <v>3374</v>
      </c>
    </row>
    <row r="1109" spans="1:26" x14ac:dyDescent="0.2">
      <c r="A1109" t="s">
        <v>443</v>
      </c>
      <c r="B1109" t="s">
        <v>444</v>
      </c>
      <c r="C1109" t="s">
        <v>258</v>
      </c>
      <c r="D1109" t="s">
        <v>50</v>
      </c>
      <c r="E1109" t="s">
        <v>259</v>
      </c>
      <c r="F1109">
        <v>6017</v>
      </c>
      <c r="G1109">
        <v>0</v>
      </c>
      <c r="H1109">
        <v>3687</v>
      </c>
      <c r="I1109">
        <v>59</v>
      </c>
      <c r="J1109">
        <v>0</v>
      </c>
      <c r="K1109">
        <v>2</v>
      </c>
      <c r="L1109">
        <v>2788</v>
      </c>
      <c r="M1109">
        <v>0</v>
      </c>
      <c r="N1109">
        <v>36</v>
      </c>
      <c r="O1109">
        <v>3</v>
      </c>
      <c r="P1109">
        <v>0</v>
      </c>
      <c r="Q1109">
        <v>1</v>
      </c>
      <c r="R1109">
        <v>988</v>
      </c>
      <c r="S1109">
        <v>3</v>
      </c>
      <c r="T1109">
        <v>1763</v>
      </c>
      <c r="U1109">
        <v>0</v>
      </c>
      <c r="V1109">
        <v>0</v>
      </c>
      <c r="W1109">
        <v>50</v>
      </c>
      <c r="X1109">
        <f>NHS_AE_2024_2025[[#This Row],[A&amp;E attendances Type 1]]+
NHS_AE_2024_2025[[#This Row],[A&amp;E attendances Type 2]]+
NHS_AE_2024_2025[[#This Row],[A&amp;E attendances Other A&amp;E Department]]</f>
        <v>9704</v>
      </c>
      <c r="Y1109">
        <f t="shared" si="34"/>
        <v>2824</v>
      </c>
      <c r="Z1109">
        <f t="shared" si="35"/>
        <v>1813</v>
      </c>
    </row>
    <row r="1110" spans="1:26" x14ac:dyDescent="0.2">
      <c r="A1110" t="s">
        <v>443</v>
      </c>
      <c r="B1110" t="s">
        <v>444</v>
      </c>
      <c r="C1110" t="s">
        <v>260</v>
      </c>
      <c r="D1110" t="s">
        <v>37</v>
      </c>
      <c r="E1110" t="s">
        <v>261</v>
      </c>
      <c r="F1110">
        <v>10039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3151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619</v>
      </c>
      <c r="S1110">
        <v>182</v>
      </c>
      <c r="T1110">
        <v>2938</v>
      </c>
      <c r="U1110">
        <v>0</v>
      </c>
      <c r="V1110">
        <v>0</v>
      </c>
      <c r="W1110">
        <v>543</v>
      </c>
      <c r="X1110">
        <f>NHS_AE_2024_2025[[#This Row],[A&amp;E attendances Type 1]]+
NHS_AE_2024_2025[[#This Row],[A&amp;E attendances Type 2]]+
NHS_AE_2024_2025[[#This Row],[A&amp;E attendances Other A&amp;E Department]]</f>
        <v>10039</v>
      </c>
      <c r="Y1110">
        <f t="shared" si="34"/>
        <v>3151</v>
      </c>
      <c r="Z1110">
        <f t="shared" si="35"/>
        <v>3481</v>
      </c>
    </row>
    <row r="1111" spans="1:26" x14ac:dyDescent="0.2">
      <c r="A1111" t="s">
        <v>443</v>
      </c>
      <c r="B1111" t="s">
        <v>444</v>
      </c>
      <c r="C1111" t="s">
        <v>376</v>
      </c>
      <c r="D1111" t="s">
        <v>55</v>
      </c>
      <c r="E1111" t="s">
        <v>377</v>
      </c>
      <c r="F1111">
        <v>9254</v>
      </c>
      <c r="G1111">
        <v>0</v>
      </c>
      <c r="H1111">
        <v>3424</v>
      </c>
      <c r="I1111">
        <v>192</v>
      </c>
      <c r="J1111">
        <v>0</v>
      </c>
      <c r="K1111">
        <v>691</v>
      </c>
      <c r="L1111">
        <v>2796</v>
      </c>
      <c r="M1111">
        <v>0</v>
      </c>
      <c r="N1111">
        <v>95</v>
      </c>
      <c r="O1111">
        <v>31</v>
      </c>
      <c r="P1111">
        <v>0</v>
      </c>
      <c r="Q1111">
        <v>44</v>
      </c>
      <c r="R1111">
        <v>536</v>
      </c>
      <c r="S1111">
        <v>351</v>
      </c>
      <c r="T1111">
        <v>3094</v>
      </c>
      <c r="U1111">
        <v>0</v>
      </c>
      <c r="V1111">
        <v>16</v>
      </c>
      <c r="W1111">
        <v>1019</v>
      </c>
      <c r="X1111">
        <f>NHS_AE_2024_2025[[#This Row],[A&amp;E attendances Type 1]]+
NHS_AE_2024_2025[[#This Row],[A&amp;E attendances Type 2]]+
NHS_AE_2024_2025[[#This Row],[A&amp;E attendances Other A&amp;E Department]]</f>
        <v>12678</v>
      </c>
      <c r="Y1111">
        <f t="shared" si="34"/>
        <v>2891</v>
      </c>
      <c r="Z1111">
        <f t="shared" si="35"/>
        <v>4129</v>
      </c>
    </row>
    <row r="1112" spans="1:26" x14ac:dyDescent="0.2">
      <c r="A1112" t="s">
        <v>443</v>
      </c>
      <c r="B1112" t="s">
        <v>444</v>
      </c>
      <c r="C1112" t="s">
        <v>212</v>
      </c>
      <c r="D1112" t="s">
        <v>50</v>
      </c>
      <c r="E1112" t="s">
        <v>213</v>
      </c>
      <c r="F1112">
        <v>4789</v>
      </c>
      <c r="G1112">
        <v>0</v>
      </c>
      <c r="H1112">
        <v>11526</v>
      </c>
      <c r="I1112">
        <v>0</v>
      </c>
      <c r="J1112">
        <v>0</v>
      </c>
      <c r="K1112">
        <v>0</v>
      </c>
      <c r="L1112">
        <v>2047</v>
      </c>
      <c r="M1112">
        <v>0</v>
      </c>
      <c r="N1112">
        <v>31</v>
      </c>
      <c r="O1112">
        <v>0</v>
      </c>
      <c r="P1112">
        <v>0</v>
      </c>
      <c r="Q1112">
        <v>0</v>
      </c>
      <c r="R1112">
        <v>106</v>
      </c>
      <c r="S1112">
        <v>0</v>
      </c>
      <c r="T1112">
        <v>1710</v>
      </c>
      <c r="U1112">
        <v>0</v>
      </c>
      <c r="V1112">
        <v>534</v>
      </c>
      <c r="W1112">
        <v>2255</v>
      </c>
      <c r="X1112">
        <f>NHS_AE_2024_2025[[#This Row],[A&amp;E attendances Type 1]]+
NHS_AE_2024_2025[[#This Row],[A&amp;E attendances Type 2]]+
NHS_AE_2024_2025[[#This Row],[A&amp;E attendances Other A&amp;E Department]]</f>
        <v>16315</v>
      </c>
      <c r="Y1112">
        <f t="shared" si="34"/>
        <v>2078</v>
      </c>
      <c r="Z1112">
        <f t="shared" si="35"/>
        <v>4499</v>
      </c>
    </row>
    <row r="1113" spans="1:26" x14ac:dyDescent="0.2">
      <c r="A1113" t="s">
        <v>443</v>
      </c>
      <c r="B1113" t="s">
        <v>444</v>
      </c>
      <c r="C1113" t="s">
        <v>264</v>
      </c>
      <c r="D1113" t="s">
        <v>50</v>
      </c>
      <c r="E1113" t="s">
        <v>265</v>
      </c>
      <c r="F1113">
        <v>9464</v>
      </c>
      <c r="G1113">
        <v>0</v>
      </c>
      <c r="H1113">
        <v>4425</v>
      </c>
      <c r="I1113">
        <v>0</v>
      </c>
      <c r="J1113">
        <v>0</v>
      </c>
      <c r="K1113">
        <v>0</v>
      </c>
      <c r="L1113">
        <v>4752</v>
      </c>
      <c r="M1113">
        <v>0</v>
      </c>
      <c r="N1113">
        <v>447</v>
      </c>
      <c r="O1113">
        <v>0</v>
      </c>
      <c r="P1113">
        <v>0</v>
      </c>
      <c r="Q1113">
        <v>0</v>
      </c>
      <c r="R1113">
        <v>963</v>
      </c>
      <c r="S1113">
        <v>214</v>
      </c>
      <c r="T1113">
        <v>3747</v>
      </c>
      <c r="U1113">
        <v>0</v>
      </c>
      <c r="V1113">
        <v>0</v>
      </c>
      <c r="W1113">
        <v>2026</v>
      </c>
      <c r="X1113">
        <f>NHS_AE_2024_2025[[#This Row],[A&amp;E attendances Type 1]]+
NHS_AE_2024_2025[[#This Row],[A&amp;E attendances Type 2]]+
NHS_AE_2024_2025[[#This Row],[A&amp;E attendances Other A&amp;E Department]]</f>
        <v>13889</v>
      </c>
      <c r="Y1113">
        <f t="shared" si="34"/>
        <v>5199</v>
      </c>
      <c r="Z1113">
        <f t="shared" si="35"/>
        <v>5773</v>
      </c>
    </row>
    <row r="1114" spans="1:26" x14ac:dyDescent="0.2">
      <c r="A1114" t="s">
        <v>443</v>
      </c>
      <c r="B1114" t="s">
        <v>444</v>
      </c>
      <c r="C1114" t="s">
        <v>350</v>
      </c>
      <c r="D1114" t="s">
        <v>55</v>
      </c>
      <c r="E1114" t="s">
        <v>351</v>
      </c>
      <c r="F1114">
        <v>6856</v>
      </c>
      <c r="G1114">
        <v>0</v>
      </c>
      <c r="H1114">
        <v>3106</v>
      </c>
      <c r="I1114">
        <v>251</v>
      </c>
      <c r="J1114">
        <v>0</v>
      </c>
      <c r="K1114">
        <v>98</v>
      </c>
      <c r="L1114">
        <v>3351</v>
      </c>
      <c r="M1114">
        <v>0</v>
      </c>
      <c r="N1114">
        <v>86</v>
      </c>
      <c r="O1114">
        <v>83</v>
      </c>
      <c r="P1114">
        <v>0</v>
      </c>
      <c r="Q1114">
        <v>1</v>
      </c>
      <c r="R1114">
        <v>849</v>
      </c>
      <c r="S1114">
        <v>511</v>
      </c>
      <c r="T1114">
        <v>1785</v>
      </c>
      <c r="U1114">
        <v>0</v>
      </c>
      <c r="V1114">
        <v>0</v>
      </c>
      <c r="W1114">
        <v>177</v>
      </c>
      <c r="X1114">
        <f>NHS_AE_2024_2025[[#This Row],[A&amp;E attendances Type 1]]+
NHS_AE_2024_2025[[#This Row],[A&amp;E attendances Type 2]]+
NHS_AE_2024_2025[[#This Row],[A&amp;E attendances Other A&amp;E Department]]</f>
        <v>9962</v>
      </c>
      <c r="Y1114">
        <f t="shared" si="34"/>
        <v>3437</v>
      </c>
      <c r="Z1114">
        <f t="shared" si="35"/>
        <v>1962</v>
      </c>
    </row>
    <row r="1115" spans="1:26" x14ac:dyDescent="0.2">
      <c r="A1115" t="s">
        <v>443</v>
      </c>
      <c r="B1115" t="s">
        <v>444</v>
      </c>
      <c r="C1115" t="s">
        <v>172</v>
      </c>
      <c r="D1115" t="s">
        <v>37</v>
      </c>
      <c r="E1115" t="s">
        <v>173</v>
      </c>
      <c r="F1115">
        <v>10715</v>
      </c>
      <c r="G1115">
        <v>0</v>
      </c>
      <c r="H1115">
        <v>2643</v>
      </c>
      <c r="I1115">
        <v>0</v>
      </c>
      <c r="J1115">
        <v>0</v>
      </c>
      <c r="K1115">
        <v>1241</v>
      </c>
      <c r="L1115">
        <v>3027</v>
      </c>
      <c r="M1115">
        <v>0</v>
      </c>
      <c r="N1115">
        <v>19</v>
      </c>
      <c r="O1115">
        <v>0</v>
      </c>
      <c r="P1115">
        <v>0</v>
      </c>
      <c r="Q1115">
        <v>0</v>
      </c>
      <c r="R1115">
        <v>274</v>
      </c>
      <c r="S1115">
        <v>14</v>
      </c>
      <c r="T1115">
        <v>3524</v>
      </c>
      <c r="U1115">
        <v>0</v>
      </c>
      <c r="V1115">
        <v>0</v>
      </c>
      <c r="W1115">
        <v>574</v>
      </c>
      <c r="X1115">
        <f>NHS_AE_2024_2025[[#This Row],[A&amp;E attendances Type 1]]+
NHS_AE_2024_2025[[#This Row],[A&amp;E attendances Type 2]]+
NHS_AE_2024_2025[[#This Row],[A&amp;E attendances Other A&amp;E Department]]</f>
        <v>13358</v>
      </c>
      <c r="Y1115">
        <f t="shared" si="34"/>
        <v>3046</v>
      </c>
      <c r="Z1115">
        <f t="shared" si="35"/>
        <v>4098</v>
      </c>
    </row>
    <row r="1116" spans="1:26" x14ac:dyDescent="0.2">
      <c r="A1116" t="s">
        <v>443</v>
      </c>
      <c r="B1116" t="s">
        <v>444</v>
      </c>
      <c r="C1116" t="s">
        <v>214</v>
      </c>
      <c r="D1116" t="s">
        <v>55</v>
      </c>
      <c r="E1116" t="s">
        <v>215</v>
      </c>
      <c r="F1116">
        <v>12244</v>
      </c>
      <c r="G1116">
        <v>0</v>
      </c>
      <c r="H1116">
        <v>3617</v>
      </c>
      <c r="I1116">
        <v>84</v>
      </c>
      <c r="J1116">
        <v>0</v>
      </c>
      <c r="K1116">
        <v>18</v>
      </c>
      <c r="L1116">
        <v>4395</v>
      </c>
      <c r="M1116">
        <v>0</v>
      </c>
      <c r="N1116">
        <v>180</v>
      </c>
      <c r="O1116">
        <v>15</v>
      </c>
      <c r="P1116">
        <v>0</v>
      </c>
      <c r="Q1116">
        <v>3</v>
      </c>
      <c r="R1116">
        <v>1058</v>
      </c>
      <c r="S1116">
        <v>219</v>
      </c>
      <c r="T1116">
        <v>3168</v>
      </c>
      <c r="U1116">
        <v>0</v>
      </c>
      <c r="V1116">
        <v>109</v>
      </c>
      <c r="W1116">
        <v>1257</v>
      </c>
      <c r="X1116">
        <f>NHS_AE_2024_2025[[#This Row],[A&amp;E attendances Type 1]]+
NHS_AE_2024_2025[[#This Row],[A&amp;E attendances Type 2]]+
NHS_AE_2024_2025[[#This Row],[A&amp;E attendances Other A&amp;E Department]]</f>
        <v>15861</v>
      </c>
      <c r="Y1116">
        <f t="shared" si="34"/>
        <v>4575</v>
      </c>
      <c r="Z1116">
        <f t="shared" si="35"/>
        <v>4534</v>
      </c>
    </row>
    <row r="1117" spans="1:26" x14ac:dyDescent="0.2">
      <c r="A1117" t="s">
        <v>443</v>
      </c>
      <c r="B1117" t="s">
        <v>444</v>
      </c>
      <c r="C1117" t="s">
        <v>182</v>
      </c>
      <c r="D1117" t="s">
        <v>29</v>
      </c>
      <c r="E1117" t="s">
        <v>183</v>
      </c>
      <c r="F1117">
        <v>0</v>
      </c>
      <c r="G1117">
        <v>0</v>
      </c>
      <c r="H1117">
        <v>11886</v>
      </c>
      <c r="I1117">
        <v>0</v>
      </c>
      <c r="J1117">
        <v>0</v>
      </c>
      <c r="K1117">
        <v>475</v>
      </c>
      <c r="L1117">
        <v>0</v>
      </c>
      <c r="M1117">
        <v>0</v>
      </c>
      <c r="N1117">
        <v>204</v>
      </c>
      <c r="O1117">
        <v>0</v>
      </c>
      <c r="P1117">
        <v>0</v>
      </c>
      <c r="Q1117">
        <v>11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f>NHS_AE_2024_2025[[#This Row],[A&amp;E attendances Type 1]]+
NHS_AE_2024_2025[[#This Row],[A&amp;E attendances Type 2]]+
NHS_AE_2024_2025[[#This Row],[A&amp;E attendances Other A&amp;E Department]]</f>
        <v>11886</v>
      </c>
      <c r="Y1117">
        <f t="shared" si="34"/>
        <v>204</v>
      </c>
      <c r="Z1117">
        <f t="shared" si="35"/>
        <v>0</v>
      </c>
    </row>
    <row r="1118" spans="1:26" x14ac:dyDescent="0.2">
      <c r="A1118" t="s">
        <v>443</v>
      </c>
      <c r="B1118" t="s">
        <v>444</v>
      </c>
      <c r="C1118" t="s">
        <v>360</v>
      </c>
      <c r="D1118" t="s">
        <v>50</v>
      </c>
      <c r="E1118" t="s">
        <v>361</v>
      </c>
      <c r="F1118">
        <v>0</v>
      </c>
      <c r="G1118">
        <v>0</v>
      </c>
      <c r="H1118">
        <v>1936</v>
      </c>
      <c r="I1118">
        <v>0</v>
      </c>
      <c r="J1118">
        <v>0</v>
      </c>
      <c r="K1118">
        <v>310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f>NHS_AE_2024_2025[[#This Row],[A&amp;E attendances Type 1]]+
NHS_AE_2024_2025[[#This Row],[A&amp;E attendances Type 2]]+
NHS_AE_2024_2025[[#This Row],[A&amp;E attendances Other A&amp;E Department]]</f>
        <v>1936</v>
      </c>
      <c r="Y1118">
        <f t="shared" si="34"/>
        <v>0</v>
      </c>
      <c r="Z1118">
        <f t="shared" si="35"/>
        <v>0</v>
      </c>
    </row>
    <row r="1119" spans="1:26" x14ac:dyDescent="0.2">
      <c r="A1119" t="s">
        <v>443</v>
      </c>
      <c r="B1119" t="s">
        <v>444</v>
      </c>
      <c r="C1119" t="s">
        <v>146</v>
      </c>
      <c r="D1119" t="s">
        <v>32</v>
      </c>
      <c r="E1119" t="s">
        <v>147</v>
      </c>
      <c r="F1119">
        <v>0</v>
      </c>
      <c r="G1119">
        <v>0</v>
      </c>
      <c r="H1119">
        <v>5272</v>
      </c>
      <c r="I1119">
        <v>0</v>
      </c>
      <c r="J1119">
        <v>0</v>
      </c>
      <c r="K1119">
        <v>275</v>
      </c>
      <c r="L1119">
        <v>0</v>
      </c>
      <c r="M1119">
        <v>0</v>
      </c>
      <c r="N1119">
        <v>161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f>NHS_AE_2024_2025[[#This Row],[A&amp;E attendances Type 1]]+
NHS_AE_2024_2025[[#This Row],[A&amp;E attendances Type 2]]+
NHS_AE_2024_2025[[#This Row],[A&amp;E attendances Other A&amp;E Department]]</f>
        <v>5272</v>
      </c>
      <c r="Y1119">
        <f t="shared" si="34"/>
        <v>161</v>
      </c>
      <c r="Z1119">
        <f t="shared" si="35"/>
        <v>0</v>
      </c>
    </row>
    <row r="1120" spans="1:26" x14ac:dyDescent="0.2">
      <c r="A1120" t="s">
        <v>443</v>
      </c>
      <c r="B1120" t="s">
        <v>444</v>
      </c>
      <c r="C1120" t="s">
        <v>120</v>
      </c>
      <c r="D1120" t="s">
        <v>50</v>
      </c>
      <c r="E1120" t="s">
        <v>121</v>
      </c>
      <c r="F1120">
        <v>11554</v>
      </c>
      <c r="G1120">
        <v>1366</v>
      </c>
      <c r="H1120">
        <v>6113</v>
      </c>
      <c r="I1120">
        <v>469</v>
      </c>
      <c r="J1120">
        <v>0</v>
      </c>
      <c r="K1120">
        <v>1409</v>
      </c>
      <c r="L1120">
        <v>4850</v>
      </c>
      <c r="M1120">
        <v>30</v>
      </c>
      <c r="N1120">
        <v>143</v>
      </c>
      <c r="O1120">
        <v>190</v>
      </c>
      <c r="P1120">
        <v>0</v>
      </c>
      <c r="Q1120">
        <v>31</v>
      </c>
      <c r="R1120">
        <v>439</v>
      </c>
      <c r="S1120">
        <v>3</v>
      </c>
      <c r="T1120">
        <v>4640</v>
      </c>
      <c r="U1120">
        <v>23</v>
      </c>
      <c r="V1120">
        <v>0</v>
      </c>
      <c r="W1120">
        <v>1156</v>
      </c>
      <c r="X1120">
        <f>NHS_AE_2024_2025[[#This Row],[A&amp;E attendances Type 1]]+
NHS_AE_2024_2025[[#This Row],[A&amp;E attendances Type 2]]+
NHS_AE_2024_2025[[#This Row],[A&amp;E attendances Other A&amp;E Department]]</f>
        <v>19033</v>
      </c>
      <c r="Y1120">
        <f t="shared" si="34"/>
        <v>5023</v>
      </c>
      <c r="Z1120">
        <f t="shared" si="35"/>
        <v>5819</v>
      </c>
    </row>
    <row r="1121" spans="1:26" x14ac:dyDescent="0.2">
      <c r="A1121" t="s">
        <v>443</v>
      </c>
      <c r="B1121" t="s">
        <v>444</v>
      </c>
      <c r="C1121" t="s">
        <v>186</v>
      </c>
      <c r="D1121" t="s">
        <v>26</v>
      </c>
      <c r="E1121" t="s">
        <v>187</v>
      </c>
      <c r="F1121">
        <v>13604</v>
      </c>
      <c r="G1121">
        <v>0</v>
      </c>
      <c r="H1121">
        <v>5037</v>
      </c>
      <c r="I1121">
        <v>0</v>
      </c>
      <c r="J1121">
        <v>0</v>
      </c>
      <c r="K1121">
        <v>0</v>
      </c>
      <c r="L1121">
        <v>4948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897</v>
      </c>
      <c r="S1121">
        <v>127</v>
      </c>
      <c r="T1121">
        <v>4263</v>
      </c>
      <c r="U1121">
        <v>5</v>
      </c>
      <c r="V1121">
        <v>0</v>
      </c>
      <c r="W1121">
        <v>2403</v>
      </c>
      <c r="X1121">
        <f>NHS_AE_2024_2025[[#This Row],[A&amp;E attendances Type 1]]+
NHS_AE_2024_2025[[#This Row],[A&amp;E attendances Type 2]]+
NHS_AE_2024_2025[[#This Row],[A&amp;E attendances Other A&amp;E Department]]</f>
        <v>18641</v>
      </c>
      <c r="Y1121">
        <f t="shared" si="34"/>
        <v>4948</v>
      </c>
      <c r="Z1121">
        <f t="shared" si="35"/>
        <v>6671</v>
      </c>
    </row>
    <row r="1122" spans="1:26" x14ac:dyDescent="0.2">
      <c r="A1122" t="s">
        <v>443</v>
      </c>
      <c r="B1122" t="s">
        <v>444</v>
      </c>
      <c r="C1122" t="s">
        <v>286</v>
      </c>
      <c r="D1122" t="s">
        <v>37</v>
      </c>
      <c r="E1122" t="s">
        <v>287</v>
      </c>
      <c r="F1122">
        <v>4595</v>
      </c>
      <c r="G1122">
        <v>0</v>
      </c>
      <c r="H1122">
        <v>1502</v>
      </c>
      <c r="I1122">
        <v>26</v>
      </c>
      <c r="J1122">
        <v>0</v>
      </c>
      <c r="K1122">
        <v>22</v>
      </c>
      <c r="L1122">
        <v>2063</v>
      </c>
      <c r="M1122">
        <v>0</v>
      </c>
      <c r="N1122">
        <v>0</v>
      </c>
      <c r="O1122">
        <v>18</v>
      </c>
      <c r="P1122">
        <v>0</v>
      </c>
      <c r="Q1122">
        <v>0</v>
      </c>
      <c r="R1122">
        <v>246</v>
      </c>
      <c r="S1122">
        <v>63</v>
      </c>
      <c r="T1122">
        <v>1083</v>
      </c>
      <c r="U1122">
        <v>0</v>
      </c>
      <c r="V1122">
        <v>0</v>
      </c>
      <c r="W1122">
        <v>280</v>
      </c>
      <c r="X1122">
        <f>NHS_AE_2024_2025[[#This Row],[A&amp;E attendances Type 1]]+
NHS_AE_2024_2025[[#This Row],[A&amp;E attendances Type 2]]+
NHS_AE_2024_2025[[#This Row],[A&amp;E attendances Other A&amp;E Department]]</f>
        <v>6097</v>
      </c>
      <c r="Y1122">
        <f t="shared" si="34"/>
        <v>2063</v>
      </c>
      <c r="Z1122">
        <f t="shared" si="35"/>
        <v>1363</v>
      </c>
    </row>
    <row r="1123" spans="1:26" x14ac:dyDescent="0.2">
      <c r="A1123" t="s">
        <v>443</v>
      </c>
      <c r="B1123" t="s">
        <v>444</v>
      </c>
      <c r="C1123" t="s">
        <v>288</v>
      </c>
      <c r="D1123" t="s">
        <v>29</v>
      </c>
      <c r="E1123" t="s">
        <v>289</v>
      </c>
      <c r="F1123">
        <v>13350</v>
      </c>
      <c r="G1123">
        <v>0</v>
      </c>
      <c r="H1123">
        <v>15205</v>
      </c>
      <c r="I1123">
        <v>0</v>
      </c>
      <c r="J1123">
        <v>0</v>
      </c>
      <c r="K1123">
        <v>0</v>
      </c>
      <c r="L1123">
        <v>5877</v>
      </c>
      <c r="M1123">
        <v>0</v>
      </c>
      <c r="N1123">
        <v>110</v>
      </c>
      <c r="O1123">
        <v>0</v>
      </c>
      <c r="P1123">
        <v>0</v>
      </c>
      <c r="Q1123">
        <v>0</v>
      </c>
      <c r="R1123">
        <v>589</v>
      </c>
      <c r="S1123">
        <v>315</v>
      </c>
      <c r="T1123">
        <v>6909</v>
      </c>
      <c r="U1123">
        <v>0</v>
      </c>
      <c r="V1123">
        <v>0</v>
      </c>
      <c r="W1123">
        <v>420</v>
      </c>
      <c r="X1123">
        <f>NHS_AE_2024_2025[[#This Row],[A&amp;E attendances Type 1]]+
NHS_AE_2024_2025[[#This Row],[A&amp;E attendances Type 2]]+
NHS_AE_2024_2025[[#This Row],[A&amp;E attendances Other A&amp;E Department]]</f>
        <v>28555</v>
      </c>
      <c r="Y1123">
        <f t="shared" si="34"/>
        <v>5987</v>
      </c>
      <c r="Z1123">
        <f t="shared" si="35"/>
        <v>7329</v>
      </c>
    </row>
    <row r="1124" spans="1:26" x14ac:dyDescent="0.2">
      <c r="A1124" t="s">
        <v>443</v>
      </c>
      <c r="B1124" t="s">
        <v>444</v>
      </c>
      <c r="C1124" t="s">
        <v>396</v>
      </c>
      <c r="D1124" t="s">
        <v>29</v>
      </c>
      <c r="E1124" t="s">
        <v>397</v>
      </c>
      <c r="F1124">
        <v>6079</v>
      </c>
      <c r="G1124">
        <v>0</v>
      </c>
      <c r="H1124">
        <v>6799</v>
      </c>
      <c r="I1124">
        <v>0</v>
      </c>
      <c r="J1124">
        <v>0</v>
      </c>
      <c r="K1124">
        <v>0</v>
      </c>
      <c r="L1124">
        <v>3513</v>
      </c>
      <c r="M1124">
        <v>0</v>
      </c>
      <c r="N1124">
        <v>142</v>
      </c>
      <c r="O1124">
        <v>0</v>
      </c>
      <c r="P1124">
        <v>0</v>
      </c>
      <c r="Q1124">
        <v>0</v>
      </c>
      <c r="R1124">
        <v>325</v>
      </c>
      <c r="S1124">
        <v>17</v>
      </c>
      <c r="T1124">
        <v>2778</v>
      </c>
      <c r="U1124">
        <v>0</v>
      </c>
      <c r="V1124">
        <v>0</v>
      </c>
      <c r="W1124">
        <v>228</v>
      </c>
      <c r="X1124">
        <f>NHS_AE_2024_2025[[#This Row],[A&amp;E attendances Type 1]]+
NHS_AE_2024_2025[[#This Row],[A&amp;E attendances Type 2]]+
NHS_AE_2024_2025[[#This Row],[A&amp;E attendances Other A&amp;E Department]]</f>
        <v>12878</v>
      </c>
      <c r="Y1124">
        <f t="shared" si="34"/>
        <v>3655</v>
      </c>
      <c r="Z1124">
        <f t="shared" si="35"/>
        <v>3006</v>
      </c>
    </row>
    <row r="1125" spans="1:26" x14ac:dyDescent="0.2">
      <c r="A1125" t="s">
        <v>443</v>
      </c>
      <c r="B1125" t="s">
        <v>444</v>
      </c>
      <c r="C1125" t="s">
        <v>236</v>
      </c>
      <c r="D1125" t="s">
        <v>32</v>
      </c>
      <c r="E1125" t="s">
        <v>237</v>
      </c>
      <c r="F1125">
        <v>9187</v>
      </c>
      <c r="G1125">
        <v>0</v>
      </c>
      <c r="H1125">
        <v>4065</v>
      </c>
      <c r="I1125">
        <v>15</v>
      </c>
      <c r="J1125">
        <v>0</v>
      </c>
      <c r="K1125">
        <v>149</v>
      </c>
      <c r="L1125">
        <v>2499</v>
      </c>
      <c r="M1125">
        <v>0</v>
      </c>
      <c r="N1125">
        <v>179</v>
      </c>
      <c r="O1125">
        <v>1</v>
      </c>
      <c r="P1125">
        <v>0</v>
      </c>
      <c r="Q1125">
        <v>0</v>
      </c>
      <c r="R1125">
        <v>696</v>
      </c>
      <c r="S1125">
        <v>30</v>
      </c>
      <c r="T1125">
        <v>3998</v>
      </c>
      <c r="U1125">
        <v>0</v>
      </c>
      <c r="V1125">
        <v>0</v>
      </c>
      <c r="W1125">
        <v>704</v>
      </c>
      <c r="X1125">
        <f>NHS_AE_2024_2025[[#This Row],[A&amp;E attendances Type 1]]+
NHS_AE_2024_2025[[#This Row],[A&amp;E attendances Type 2]]+
NHS_AE_2024_2025[[#This Row],[A&amp;E attendances Other A&amp;E Department]]</f>
        <v>13252</v>
      </c>
      <c r="Y1125">
        <f t="shared" si="34"/>
        <v>2678</v>
      </c>
      <c r="Z1125">
        <f t="shared" si="35"/>
        <v>4702</v>
      </c>
    </row>
    <row r="1126" spans="1:26" x14ac:dyDescent="0.2">
      <c r="A1126" t="s">
        <v>443</v>
      </c>
      <c r="B1126" t="s">
        <v>444</v>
      </c>
      <c r="C1126" t="s">
        <v>238</v>
      </c>
      <c r="D1126" t="s">
        <v>50</v>
      </c>
      <c r="E1126" t="s">
        <v>239</v>
      </c>
      <c r="F1126">
        <v>10808</v>
      </c>
      <c r="G1126">
        <v>399</v>
      </c>
      <c r="H1126">
        <v>7039</v>
      </c>
      <c r="I1126">
        <v>0</v>
      </c>
      <c r="J1126">
        <v>0</v>
      </c>
      <c r="K1126">
        <v>0</v>
      </c>
      <c r="L1126">
        <v>6002</v>
      </c>
      <c r="M1126">
        <v>0</v>
      </c>
      <c r="N1126">
        <v>279</v>
      </c>
      <c r="O1126">
        <v>0</v>
      </c>
      <c r="P1126">
        <v>0</v>
      </c>
      <c r="Q1126">
        <v>0</v>
      </c>
      <c r="R1126">
        <v>806</v>
      </c>
      <c r="S1126">
        <v>583</v>
      </c>
      <c r="T1126">
        <v>4493</v>
      </c>
      <c r="U1126">
        <v>0</v>
      </c>
      <c r="V1126">
        <v>0</v>
      </c>
      <c r="W1126">
        <v>1579</v>
      </c>
      <c r="X1126">
        <f>NHS_AE_2024_2025[[#This Row],[A&amp;E attendances Type 1]]+
NHS_AE_2024_2025[[#This Row],[A&amp;E attendances Type 2]]+
NHS_AE_2024_2025[[#This Row],[A&amp;E attendances Other A&amp;E Department]]</f>
        <v>18246</v>
      </c>
      <c r="Y1126">
        <f t="shared" si="34"/>
        <v>6281</v>
      </c>
      <c r="Z1126">
        <f t="shared" si="35"/>
        <v>6072</v>
      </c>
    </row>
    <row r="1127" spans="1:26" x14ac:dyDescent="0.2">
      <c r="A1127" t="s">
        <v>443</v>
      </c>
      <c r="B1127" t="s">
        <v>444</v>
      </c>
      <c r="C1127" t="s">
        <v>152</v>
      </c>
      <c r="D1127" t="s">
        <v>26</v>
      </c>
      <c r="E1127" t="s">
        <v>153</v>
      </c>
      <c r="F1127">
        <v>6708</v>
      </c>
      <c r="G1127">
        <v>0</v>
      </c>
      <c r="H1127">
        <v>13834</v>
      </c>
      <c r="I1127">
        <v>0</v>
      </c>
      <c r="J1127">
        <v>0</v>
      </c>
      <c r="K1127">
        <v>0</v>
      </c>
      <c r="L1127">
        <v>3878</v>
      </c>
      <c r="M1127">
        <v>0</v>
      </c>
      <c r="N1127">
        <v>862</v>
      </c>
      <c r="O1127">
        <v>0</v>
      </c>
      <c r="P1127">
        <v>0</v>
      </c>
      <c r="Q1127">
        <v>0</v>
      </c>
      <c r="R1127">
        <v>579</v>
      </c>
      <c r="S1127">
        <v>510</v>
      </c>
      <c r="T1127">
        <v>2287</v>
      </c>
      <c r="U1127">
        <v>0</v>
      </c>
      <c r="V1127">
        <v>48</v>
      </c>
      <c r="W1127">
        <v>1475</v>
      </c>
      <c r="X1127">
        <f>NHS_AE_2024_2025[[#This Row],[A&amp;E attendances Type 1]]+
NHS_AE_2024_2025[[#This Row],[A&amp;E attendances Type 2]]+
NHS_AE_2024_2025[[#This Row],[A&amp;E attendances Other A&amp;E Department]]</f>
        <v>20542</v>
      </c>
      <c r="Y1127">
        <f t="shared" si="34"/>
        <v>4740</v>
      </c>
      <c r="Z1127">
        <f t="shared" si="35"/>
        <v>3810</v>
      </c>
    </row>
    <row r="1128" spans="1:26" x14ac:dyDescent="0.2">
      <c r="A1128" t="s">
        <v>443</v>
      </c>
      <c r="B1128" t="s">
        <v>444</v>
      </c>
      <c r="C1128" t="s">
        <v>366</v>
      </c>
      <c r="D1128" t="s">
        <v>29</v>
      </c>
      <c r="E1128" t="s">
        <v>367</v>
      </c>
      <c r="F1128">
        <v>12880</v>
      </c>
      <c r="G1128">
        <v>2370</v>
      </c>
      <c r="H1128">
        <v>13516</v>
      </c>
      <c r="I1128">
        <v>0</v>
      </c>
      <c r="J1128">
        <v>0</v>
      </c>
      <c r="K1128">
        <v>0</v>
      </c>
      <c r="L1128">
        <v>5125</v>
      </c>
      <c r="M1128">
        <v>365</v>
      </c>
      <c r="N1128">
        <v>159</v>
      </c>
      <c r="O1128">
        <v>0</v>
      </c>
      <c r="P1128">
        <v>0</v>
      </c>
      <c r="Q1128">
        <v>0</v>
      </c>
      <c r="R1128">
        <v>717</v>
      </c>
      <c r="S1128">
        <v>633</v>
      </c>
      <c r="T1128">
        <v>7649</v>
      </c>
      <c r="U1128">
        <v>0</v>
      </c>
      <c r="V1128">
        <v>0</v>
      </c>
      <c r="W1128">
        <v>449</v>
      </c>
      <c r="X1128">
        <f>NHS_AE_2024_2025[[#This Row],[A&amp;E attendances Type 1]]+
NHS_AE_2024_2025[[#This Row],[A&amp;E attendances Type 2]]+
NHS_AE_2024_2025[[#This Row],[A&amp;E attendances Other A&amp;E Department]]</f>
        <v>28766</v>
      </c>
      <c r="Y1128">
        <f t="shared" si="34"/>
        <v>5649</v>
      </c>
      <c r="Z1128">
        <f t="shared" si="35"/>
        <v>8098</v>
      </c>
    </row>
    <row r="1129" spans="1:26" x14ac:dyDescent="0.2">
      <c r="A1129" t="s">
        <v>443</v>
      </c>
      <c r="B1129" t="s">
        <v>444</v>
      </c>
      <c r="C1129" t="s">
        <v>122</v>
      </c>
      <c r="D1129" t="s">
        <v>50</v>
      </c>
      <c r="E1129" t="s">
        <v>123</v>
      </c>
      <c r="F1129">
        <v>8700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2791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402</v>
      </c>
      <c r="S1129">
        <v>0</v>
      </c>
      <c r="T1129">
        <v>3094</v>
      </c>
      <c r="U1129">
        <v>0</v>
      </c>
      <c r="V1129">
        <v>0</v>
      </c>
      <c r="W1129">
        <v>604</v>
      </c>
      <c r="X1129">
        <f>NHS_AE_2024_2025[[#This Row],[A&amp;E attendances Type 1]]+
NHS_AE_2024_2025[[#This Row],[A&amp;E attendances Type 2]]+
NHS_AE_2024_2025[[#This Row],[A&amp;E attendances Other A&amp;E Department]]</f>
        <v>8700</v>
      </c>
      <c r="Y1129">
        <f t="shared" si="34"/>
        <v>2791</v>
      </c>
      <c r="Z1129">
        <f t="shared" si="35"/>
        <v>3698</v>
      </c>
    </row>
    <row r="1130" spans="1:26" x14ac:dyDescent="0.2">
      <c r="A1130" t="s">
        <v>443</v>
      </c>
      <c r="B1130" t="s">
        <v>444</v>
      </c>
      <c r="C1130" t="s">
        <v>244</v>
      </c>
      <c r="D1130" t="s">
        <v>70</v>
      </c>
      <c r="E1130" t="s">
        <v>245</v>
      </c>
      <c r="F1130">
        <v>14267</v>
      </c>
      <c r="G1130">
        <v>0</v>
      </c>
      <c r="H1130">
        <v>4913</v>
      </c>
      <c r="I1130">
        <v>282</v>
      </c>
      <c r="J1130">
        <v>0</v>
      </c>
      <c r="K1130">
        <v>486</v>
      </c>
      <c r="L1130">
        <v>5004</v>
      </c>
      <c r="M1130">
        <v>0</v>
      </c>
      <c r="N1130">
        <v>211</v>
      </c>
      <c r="O1130">
        <v>76</v>
      </c>
      <c r="P1130">
        <v>0</v>
      </c>
      <c r="Q1130">
        <v>16</v>
      </c>
      <c r="R1130">
        <v>478</v>
      </c>
      <c r="S1130">
        <v>709</v>
      </c>
      <c r="T1130">
        <v>3669</v>
      </c>
      <c r="U1130">
        <v>0</v>
      </c>
      <c r="V1130">
        <v>71</v>
      </c>
      <c r="W1130">
        <v>1540</v>
      </c>
      <c r="X1130">
        <f>NHS_AE_2024_2025[[#This Row],[A&amp;E attendances Type 1]]+
NHS_AE_2024_2025[[#This Row],[A&amp;E attendances Type 2]]+
NHS_AE_2024_2025[[#This Row],[A&amp;E attendances Other A&amp;E Department]]</f>
        <v>19180</v>
      </c>
      <c r="Y1130">
        <f t="shared" si="34"/>
        <v>5215</v>
      </c>
      <c r="Z1130">
        <f t="shared" si="35"/>
        <v>5280</v>
      </c>
    </row>
    <row r="1131" spans="1:26" x14ac:dyDescent="0.2">
      <c r="A1131" t="s">
        <v>443</v>
      </c>
      <c r="B1131" t="s">
        <v>444</v>
      </c>
      <c r="C1131" t="s">
        <v>416</v>
      </c>
      <c r="D1131" t="s">
        <v>70</v>
      </c>
      <c r="E1131" t="s">
        <v>417</v>
      </c>
      <c r="F1131">
        <v>7823</v>
      </c>
      <c r="G1131">
        <v>0</v>
      </c>
      <c r="H1131">
        <v>733</v>
      </c>
      <c r="I1131">
        <v>51</v>
      </c>
      <c r="J1131">
        <v>0</v>
      </c>
      <c r="K1131">
        <v>0</v>
      </c>
      <c r="L1131">
        <v>2344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440</v>
      </c>
      <c r="S1131">
        <v>290</v>
      </c>
      <c r="T1131">
        <v>2111</v>
      </c>
      <c r="U1131">
        <v>0</v>
      </c>
      <c r="V1131">
        <v>0</v>
      </c>
      <c r="W1131">
        <v>606</v>
      </c>
      <c r="X1131">
        <f>NHS_AE_2024_2025[[#This Row],[A&amp;E attendances Type 1]]+
NHS_AE_2024_2025[[#This Row],[A&amp;E attendances Type 2]]+
NHS_AE_2024_2025[[#This Row],[A&amp;E attendances Other A&amp;E Department]]</f>
        <v>8556</v>
      </c>
      <c r="Y1131">
        <f t="shared" si="34"/>
        <v>2344</v>
      </c>
      <c r="Z1131">
        <f t="shared" si="35"/>
        <v>2717</v>
      </c>
    </row>
    <row r="1132" spans="1:26" x14ac:dyDescent="0.2">
      <c r="A1132" t="s">
        <v>443</v>
      </c>
      <c r="B1132" t="s">
        <v>444</v>
      </c>
      <c r="C1132" t="s">
        <v>246</v>
      </c>
      <c r="D1132" t="s">
        <v>70</v>
      </c>
      <c r="E1132" t="s">
        <v>247</v>
      </c>
      <c r="F1132">
        <v>10480</v>
      </c>
      <c r="G1132">
        <v>0</v>
      </c>
      <c r="H1132">
        <v>6358</v>
      </c>
      <c r="I1132">
        <v>279</v>
      </c>
      <c r="J1132">
        <v>0</v>
      </c>
      <c r="K1132">
        <v>296</v>
      </c>
      <c r="L1132">
        <v>5065</v>
      </c>
      <c r="M1132">
        <v>0</v>
      </c>
      <c r="N1132">
        <v>63</v>
      </c>
      <c r="O1132">
        <v>106</v>
      </c>
      <c r="P1132">
        <v>0</v>
      </c>
      <c r="Q1132">
        <v>9</v>
      </c>
      <c r="R1132">
        <v>568</v>
      </c>
      <c r="S1132">
        <v>534</v>
      </c>
      <c r="T1132">
        <v>2791</v>
      </c>
      <c r="U1132">
        <v>0</v>
      </c>
      <c r="V1132">
        <v>34</v>
      </c>
      <c r="W1132">
        <v>426</v>
      </c>
      <c r="X1132">
        <f>NHS_AE_2024_2025[[#This Row],[A&amp;E attendances Type 1]]+
NHS_AE_2024_2025[[#This Row],[A&amp;E attendances Type 2]]+
NHS_AE_2024_2025[[#This Row],[A&amp;E attendances Other A&amp;E Department]]</f>
        <v>16838</v>
      </c>
      <c r="Y1132">
        <f t="shared" si="34"/>
        <v>5128</v>
      </c>
      <c r="Z1132">
        <f t="shared" si="35"/>
        <v>3251</v>
      </c>
    </row>
    <row r="1133" spans="1:26" x14ac:dyDescent="0.2">
      <c r="A1133" t="s">
        <v>443</v>
      </c>
      <c r="B1133" t="s">
        <v>444</v>
      </c>
      <c r="C1133" t="s">
        <v>200</v>
      </c>
      <c r="D1133" t="s">
        <v>32</v>
      </c>
      <c r="E1133" t="s">
        <v>201</v>
      </c>
      <c r="F1133">
        <v>13507</v>
      </c>
      <c r="G1133">
        <v>508</v>
      </c>
      <c r="H1133">
        <v>8531</v>
      </c>
      <c r="I1133">
        <v>595</v>
      </c>
      <c r="J1133">
        <v>0</v>
      </c>
      <c r="K1133">
        <v>520</v>
      </c>
      <c r="L1133">
        <v>6483</v>
      </c>
      <c r="M1133">
        <v>0</v>
      </c>
      <c r="N1133">
        <v>110</v>
      </c>
      <c r="O1133">
        <v>222</v>
      </c>
      <c r="P1133">
        <v>0</v>
      </c>
      <c r="Q1133">
        <v>6</v>
      </c>
      <c r="R1133">
        <v>974</v>
      </c>
      <c r="S1133">
        <v>903</v>
      </c>
      <c r="T1133">
        <v>5207</v>
      </c>
      <c r="U1133">
        <v>0</v>
      </c>
      <c r="V1133">
        <v>0</v>
      </c>
      <c r="W1133">
        <v>3395</v>
      </c>
      <c r="X1133">
        <f>NHS_AE_2024_2025[[#This Row],[A&amp;E attendances Type 1]]+
NHS_AE_2024_2025[[#This Row],[A&amp;E attendances Type 2]]+
NHS_AE_2024_2025[[#This Row],[A&amp;E attendances Other A&amp;E Department]]</f>
        <v>22546</v>
      </c>
      <c r="Y1133">
        <f t="shared" si="34"/>
        <v>6593</v>
      </c>
      <c r="Z1133">
        <f t="shared" si="35"/>
        <v>8602</v>
      </c>
    </row>
    <row r="1134" spans="1:26" x14ac:dyDescent="0.2">
      <c r="A1134" t="s">
        <v>443</v>
      </c>
      <c r="B1134" t="s">
        <v>444</v>
      </c>
      <c r="C1134" t="s">
        <v>312</v>
      </c>
      <c r="D1134" t="s">
        <v>32</v>
      </c>
      <c r="E1134" t="s">
        <v>313</v>
      </c>
      <c r="F1134">
        <v>11762</v>
      </c>
      <c r="G1134">
        <v>841</v>
      </c>
      <c r="H1134">
        <v>6231</v>
      </c>
      <c r="I1134">
        <v>0</v>
      </c>
      <c r="J1134">
        <v>0</v>
      </c>
      <c r="K1134">
        <v>0</v>
      </c>
      <c r="L1134">
        <v>5856</v>
      </c>
      <c r="M1134">
        <v>207</v>
      </c>
      <c r="N1134">
        <v>330</v>
      </c>
      <c r="O1134">
        <v>0</v>
      </c>
      <c r="P1134">
        <v>0</v>
      </c>
      <c r="Q1134">
        <v>0</v>
      </c>
      <c r="R1134">
        <v>102</v>
      </c>
      <c r="S1134">
        <v>15</v>
      </c>
      <c r="T1134">
        <v>1771</v>
      </c>
      <c r="U1134">
        <v>55</v>
      </c>
      <c r="V1134">
        <v>97</v>
      </c>
      <c r="W1134">
        <v>561</v>
      </c>
      <c r="X1134">
        <f>NHS_AE_2024_2025[[#This Row],[A&amp;E attendances Type 1]]+
NHS_AE_2024_2025[[#This Row],[A&amp;E attendances Type 2]]+
NHS_AE_2024_2025[[#This Row],[A&amp;E attendances Other A&amp;E Department]]</f>
        <v>18834</v>
      </c>
      <c r="Y1134">
        <f t="shared" si="34"/>
        <v>6393</v>
      </c>
      <c r="Z1134">
        <f t="shared" si="35"/>
        <v>2484</v>
      </c>
    </row>
    <row r="1135" spans="1:26" x14ac:dyDescent="0.2">
      <c r="A1135" t="s">
        <v>443</v>
      </c>
      <c r="B1135" t="s">
        <v>444</v>
      </c>
      <c r="C1135" t="s">
        <v>372</v>
      </c>
      <c r="D1135" t="s">
        <v>29</v>
      </c>
      <c r="E1135" t="s">
        <v>373</v>
      </c>
      <c r="F1135">
        <v>9387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2604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241</v>
      </c>
      <c r="S1135">
        <v>341</v>
      </c>
      <c r="T1135">
        <v>1091</v>
      </c>
      <c r="U1135">
        <v>0</v>
      </c>
      <c r="V1135">
        <v>0</v>
      </c>
      <c r="W1135">
        <v>70</v>
      </c>
      <c r="X1135">
        <f>NHS_AE_2024_2025[[#This Row],[A&amp;E attendances Type 1]]+
NHS_AE_2024_2025[[#This Row],[A&amp;E attendances Type 2]]+
NHS_AE_2024_2025[[#This Row],[A&amp;E attendances Other A&amp;E Department]]</f>
        <v>9387</v>
      </c>
      <c r="Y1135">
        <f t="shared" si="34"/>
        <v>2604</v>
      </c>
      <c r="Z1135">
        <f t="shared" si="35"/>
        <v>1161</v>
      </c>
    </row>
    <row r="1136" spans="1:26" x14ac:dyDescent="0.2">
      <c r="A1136" t="s">
        <v>443</v>
      </c>
      <c r="B1136" t="s">
        <v>444</v>
      </c>
      <c r="C1136" t="s">
        <v>390</v>
      </c>
      <c r="D1136" t="s">
        <v>26</v>
      </c>
      <c r="E1136" t="s">
        <v>391</v>
      </c>
      <c r="F1136">
        <v>5525</v>
      </c>
      <c r="G1136">
        <v>0</v>
      </c>
      <c r="H1136">
        <v>5782</v>
      </c>
      <c r="I1136">
        <v>0</v>
      </c>
      <c r="J1136">
        <v>0</v>
      </c>
      <c r="K1136">
        <v>2</v>
      </c>
      <c r="L1136">
        <v>2309</v>
      </c>
      <c r="M1136">
        <v>0</v>
      </c>
      <c r="N1136">
        <v>280</v>
      </c>
      <c r="O1136">
        <v>0</v>
      </c>
      <c r="P1136">
        <v>0</v>
      </c>
      <c r="Q1136">
        <v>1</v>
      </c>
      <c r="R1136">
        <v>630</v>
      </c>
      <c r="S1136">
        <v>0</v>
      </c>
      <c r="T1136">
        <v>2454</v>
      </c>
      <c r="U1136">
        <v>0</v>
      </c>
      <c r="V1136">
        <v>0</v>
      </c>
      <c r="W1136">
        <v>1395</v>
      </c>
      <c r="X1136">
        <f>NHS_AE_2024_2025[[#This Row],[A&amp;E attendances Type 1]]+
NHS_AE_2024_2025[[#This Row],[A&amp;E attendances Type 2]]+
NHS_AE_2024_2025[[#This Row],[A&amp;E attendances Other A&amp;E Department]]</f>
        <v>11307</v>
      </c>
      <c r="Y1136">
        <f t="shared" si="34"/>
        <v>2589</v>
      </c>
      <c r="Z1136">
        <f t="shared" si="35"/>
        <v>3849</v>
      </c>
    </row>
    <row r="1137" spans="1:26" x14ac:dyDescent="0.2">
      <c r="A1137" t="s">
        <v>443</v>
      </c>
      <c r="B1137" t="s">
        <v>444</v>
      </c>
      <c r="C1137" t="s">
        <v>158</v>
      </c>
      <c r="D1137" t="s">
        <v>32</v>
      </c>
      <c r="E1137" t="s">
        <v>159</v>
      </c>
      <c r="F1137">
        <v>9105</v>
      </c>
      <c r="G1137">
        <v>0</v>
      </c>
      <c r="H1137">
        <v>4423</v>
      </c>
      <c r="I1137">
        <v>2</v>
      </c>
      <c r="J1137">
        <v>0</v>
      </c>
      <c r="K1137">
        <v>707</v>
      </c>
      <c r="L1137">
        <v>2739</v>
      </c>
      <c r="M1137">
        <v>0</v>
      </c>
      <c r="N1137">
        <v>120</v>
      </c>
      <c r="O1137">
        <v>2</v>
      </c>
      <c r="P1137">
        <v>0</v>
      </c>
      <c r="Q1137">
        <v>0</v>
      </c>
      <c r="R1137">
        <v>2094</v>
      </c>
      <c r="S1137">
        <v>90</v>
      </c>
      <c r="T1137">
        <v>3592</v>
      </c>
      <c r="U1137">
        <v>0</v>
      </c>
      <c r="V1137">
        <v>0</v>
      </c>
      <c r="W1137">
        <v>2169</v>
      </c>
      <c r="X1137">
        <f>NHS_AE_2024_2025[[#This Row],[A&amp;E attendances Type 1]]+
NHS_AE_2024_2025[[#This Row],[A&amp;E attendances Type 2]]+
NHS_AE_2024_2025[[#This Row],[A&amp;E attendances Other A&amp;E Department]]</f>
        <v>13528</v>
      </c>
      <c r="Y1137">
        <f t="shared" si="34"/>
        <v>2859</v>
      </c>
      <c r="Z1137">
        <f t="shared" si="35"/>
        <v>5761</v>
      </c>
    </row>
    <row r="1138" spans="1:26" x14ac:dyDescent="0.2">
      <c r="A1138" t="s">
        <v>443</v>
      </c>
      <c r="B1138" t="s">
        <v>444</v>
      </c>
      <c r="C1138" t="s">
        <v>254</v>
      </c>
      <c r="D1138" t="s">
        <v>50</v>
      </c>
      <c r="E1138" t="s">
        <v>255</v>
      </c>
      <c r="F1138">
        <v>9375</v>
      </c>
      <c r="G1138">
        <v>0</v>
      </c>
      <c r="H1138">
        <v>2102</v>
      </c>
      <c r="I1138">
        <v>371</v>
      </c>
      <c r="J1138">
        <v>0</v>
      </c>
      <c r="K1138">
        <v>33</v>
      </c>
      <c r="L1138">
        <v>3960</v>
      </c>
      <c r="M1138">
        <v>0</v>
      </c>
      <c r="N1138">
        <v>44</v>
      </c>
      <c r="O1138">
        <v>112</v>
      </c>
      <c r="P1138">
        <v>0</v>
      </c>
      <c r="Q1138">
        <v>2</v>
      </c>
      <c r="R1138">
        <v>745</v>
      </c>
      <c r="S1138">
        <v>364</v>
      </c>
      <c r="T1138">
        <v>2531</v>
      </c>
      <c r="U1138">
        <v>0</v>
      </c>
      <c r="V1138">
        <v>0</v>
      </c>
      <c r="W1138">
        <v>830</v>
      </c>
      <c r="X1138">
        <f>NHS_AE_2024_2025[[#This Row],[A&amp;E attendances Type 1]]+
NHS_AE_2024_2025[[#This Row],[A&amp;E attendances Type 2]]+
NHS_AE_2024_2025[[#This Row],[A&amp;E attendances Other A&amp;E Department]]</f>
        <v>11477</v>
      </c>
      <c r="Y1138">
        <f t="shared" si="34"/>
        <v>4004</v>
      </c>
      <c r="Z1138">
        <f t="shared" si="35"/>
        <v>3361</v>
      </c>
    </row>
    <row r="1139" spans="1:26" x14ac:dyDescent="0.2">
      <c r="A1139" t="s">
        <v>443</v>
      </c>
      <c r="B1139" t="s">
        <v>444</v>
      </c>
      <c r="C1139" t="s">
        <v>160</v>
      </c>
      <c r="D1139" t="s">
        <v>32</v>
      </c>
      <c r="E1139" t="s">
        <v>161</v>
      </c>
      <c r="F1139">
        <v>9884</v>
      </c>
      <c r="G1139">
        <v>0</v>
      </c>
      <c r="H1139">
        <v>8727</v>
      </c>
      <c r="I1139">
        <v>341</v>
      </c>
      <c r="J1139">
        <v>0</v>
      </c>
      <c r="K1139">
        <v>0</v>
      </c>
      <c r="L1139">
        <v>3377</v>
      </c>
      <c r="M1139">
        <v>0</v>
      </c>
      <c r="N1139">
        <v>56</v>
      </c>
      <c r="O1139">
        <v>0</v>
      </c>
      <c r="P1139">
        <v>0</v>
      </c>
      <c r="Q1139">
        <v>0</v>
      </c>
      <c r="R1139">
        <v>1428</v>
      </c>
      <c r="S1139">
        <v>0</v>
      </c>
      <c r="T1139">
        <v>2109</v>
      </c>
      <c r="U1139">
        <v>0</v>
      </c>
      <c r="V1139">
        <v>0</v>
      </c>
      <c r="W1139">
        <v>210</v>
      </c>
      <c r="X1139">
        <f>NHS_AE_2024_2025[[#This Row],[A&amp;E attendances Type 1]]+
NHS_AE_2024_2025[[#This Row],[A&amp;E attendances Type 2]]+
NHS_AE_2024_2025[[#This Row],[A&amp;E attendances Other A&amp;E Department]]</f>
        <v>18611</v>
      </c>
      <c r="Y1139">
        <f t="shared" si="34"/>
        <v>3433</v>
      </c>
      <c r="Z1139">
        <f t="shared" si="35"/>
        <v>2319</v>
      </c>
    </row>
    <row r="1140" spans="1:26" x14ac:dyDescent="0.2">
      <c r="A1140" t="s">
        <v>443</v>
      </c>
      <c r="B1140" t="s">
        <v>444</v>
      </c>
      <c r="C1140" t="s">
        <v>320</v>
      </c>
      <c r="D1140" t="s">
        <v>26</v>
      </c>
      <c r="E1140" t="s">
        <v>321</v>
      </c>
      <c r="F1140">
        <v>4932</v>
      </c>
      <c r="G1140">
        <v>382</v>
      </c>
      <c r="H1140">
        <v>1806</v>
      </c>
      <c r="I1140">
        <v>140</v>
      </c>
      <c r="J1140">
        <v>0</v>
      </c>
      <c r="K1140">
        <v>0</v>
      </c>
      <c r="L1140">
        <v>1902</v>
      </c>
      <c r="M1140">
        <v>0</v>
      </c>
      <c r="N1140">
        <v>0</v>
      </c>
      <c r="O1140">
        <v>56</v>
      </c>
      <c r="P1140">
        <v>0</v>
      </c>
      <c r="Q1140">
        <v>0</v>
      </c>
      <c r="R1140">
        <v>356</v>
      </c>
      <c r="S1140">
        <v>6</v>
      </c>
      <c r="T1140">
        <v>1369</v>
      </c>
      <c r="U1140">
        <v>0</v>
      </c>
      <c r="V1140">
        <v>0</v>
      </c>
      <c r="W1140">
        <v>969</v>
      </c>
      <c r="X1140">
        <f>NHS_AE_2024_2025[[#This Row],[A&amp;E attendances Type 1]]+
NHS_AE_2024_2025[[#This Row],[A&amp;E attendances Type 2]]+
NHS_AE_2024_2025[[#This Row],[A&amp;E attendances Other A&amp;E Department]]</f>
        <v>7120</v>
      </c>
      <c r="Y1140">
        <f t="shared" si="34"/>
        <v>1902</v>
      </c>
      <c r="Z1140">
        <f t="shared" si="35"/>
        <v>2338</v>
      </c>
    </row>
    <row r="1141" spans="1:26" x14ac:dyDescent="0.2">
      <c r="A1141" t="s">
        <v>443</v>
      </c>
      <c r="B1141" t="s">
        <v>444</v>
      </c>
      <c r="C1141" t="s">
        <v>328</v>
      </c>
      <c r="D1141" t="s">
        <v>70</v>
      </c>
      <c r="E1141" t="s">
        <v>329</v>
      </c>
      <c r="F1141">
        <v>8469</v>
      </c>
      <c r="G1141">
        <v>0</v>
      </c>
      <c r="H1141">
        <v>1851</v>
      </c>
      <c r="I1141">
        <v>0</v>
      </c>
      <c r="J1141">
        <v>0</v>
      </c>
      <c r="K1141">
        <v>676</v>
      </c>
      <c r="L1141">
        <v>4066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451</v>
      </c>
      <c r="S1141">
        <v>121</v>
      </c>
      <c r="T1141">
        <v>2151</v>
      </c>
      <c r="U1141">
        <v>0</v>
      </c>
      <c r="V1141">
        <v>0</v>
      </c>
      <c r="W1141">
        <v>469</v>
      </c>
      <c r="X1141">
        <f>NHS_AE_2024_2025[[#This Row],[A&amp;E attendances Type 1]]+
NHS_AE_2024_2025[[#This Row],[A&amp;E attendances Type 2]]+
NHS_AE_2024_2025[[#This Row],[A&amp;E attendances Other A&amp;E Department]]</f>
        <v>10320</v>
      </c>
      <c r="Y1141">
        <f t="shared" si="34"/>
        <v>4066</v>
      </c>
      <c r="Z1141">
        <f t="shared" si="35"/>
        <v>2620</v>
      </c>
    </row>
    <row r="1142" spans="1:26" x14ac:dyDescent="0.2">
      <c r="A1142" t="s">
        <v>443</v>
      </c>
      <c r="B1142" t="s">
        <v>444</v>
      </c>
      <c r="C1142" t="s">
        <v>206</v>
      </c>
      <c r="D1142" t="s">
        <v>32</v>
      </c>
      <c r="E1142" t="s">
        <v>207</v>
      </c>
      <c r="F1142">
        <v>34297</v>
      </c>
      <c r="G1142">
        <v>377</v>
      </c>
      <c r="H1142">
        <v>1666</v>
      </c>
      <c r="I1142">
        <v>18</v>
      </c>
      <c r="J1142">
        <v>0</v>
      </c>
      <c r="K1142">
        <v>254</v>
      </c>
      <c r="L1142">
        <v>13679</v>
      </c>
      <c r="M1142">
        <v>0</v>
      </c>
      <c r="N1142">
        <v>67</v>
      </c>
      <c r="O1142">
        <v>9</v>
      </c>
      <c r="P1142">
        <v>0</v>
      </c>
      <c r="Q1142">
        <v>9</v>
      </c>
      <c r="R1142">
        <v>2891</v>
      </c>
      <c r="S1142">
        <v>1665</v>
      </c>
      <c r="T1142">
        <v>11732</v>
      </c>
      <c r="U1142">
        <v>0</v>
      </c>
      <c r="V1142">
        <v>0</v>
      </c>
      <c r="W1142">
        <v>6270</v>
      </c>
      <c r="X1142">
        <f>NHS_AE_2024_2025[[#This Row],[A&amp;E attendances Type 1]]+
NHS_AE_2024_2025[[#This Row],[A&amp;E attendances Type 2]]+
NHS_AE_2024_2025[[#This Row],[A&amp;E attendances Other A&amp;E Department]]</f>
        <v>36340</v>
      </c>
      <c r="Y1142">
        <f t="shared" si="34"/>
        <v>13746</v>
      </c>
      <c r="Z1142">
        <f t="shared" si="35"/>
        <v>18002</v>
      </c>
    </row>
    <row r="1143" spans="1:26" x14ac:dyDescent="0.2">
      <c r="A1143" t="s">
        <v>443</v>
      </c>
      <c r="B1143" t="s">
        <v>444</v>
      </c>
      <c r="C1143" t="s">
        <v>88</v>
      </c>
      <c r="D1143" t="s">
        <v>29</v>
      </c>
      <c r="E1143" t="s">
        <v>89</v>
      </c>
      <c r="F1143">
        <v>13213</v>
      </c>
      <c r="G1143">
        <v>0</v>
      </c>
      <c r="H1143">
        <v>0</v>
      </c>
      <c r="I1143">
        <v>304</v>
      </c>
      <c r="J1143">
        <v>0</v>
      </c>
      <c r="K1143">
        <v>0</v>
      </c>
      <c r="L1143">
        <v>3515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349</v>
      </c>
      <c r="S1143">
        <v>54</v>
      </c>
      <c r="T1143">
        <v>1442</v>
      </c>
      <c r="U1143">
        <v>0</v>
      </c>
      <c r="V1143">
        <v>0</v>
      </c>
      <c r="W1143">
        <v>265</v>
      </c>
      <c r="X1143">
        <f>NHS_AE_2024_2025[[#This Row],[A&amp;E attendances Type 1]]+
NHS_AE_2024_2025[[#This Row],[A&amp;E attendances Type 2]]+
NHS_AE_2024_2025[[#This Row],[A&amp;E attendances Other A&amp;E Department]]</f>
        <v>13213</v>
      </c>
      <c r="Y1143">
        <f t="shared" si="34"/>
        <v>3515</v>
      </c>
      <c r="Z1143">
        <f t="shared" si="35"/>
        <v>1707</v>
      </c>
    </row>
    <row r="1144" spans="1:26" x14ac:dyDescent="0.2">
      <c r="A1144" t="s">
        <v>443</v>
      </c>
      <c r="B1144" t="s">
        <v>444</v>
      </c>
      <c r="C1144" t="s">
        <v>392</v>
      </c>
      <c r="D1144" t="s">
        <v>50</v>
      </c>
      <c r="E1144" t="s">
        <v>393</v>
      </c>
      <c r="F1144">
        <v>12099</v>
      </c>
      <c r="G1144">
        <v>1737</v>
      </c>
      <c r="H1144">
        <v>4909</v>
      </c>
      <c r="I1144">
        <v>0</v>
      </c>
      <c r="J1144">
        <v>0</v>
      </c>
      <c r="K1144">
        <v>818</v>
      </c>
      <c r="L1144">
        <v>4706</v>
      </c>
      <c r="M1144">
        <v>85</v>
      </c>
      <c r="N1144">
        <v>0</v>
      </c>
      <c r="O1144">
        <v>0</v>
      </c>
      <c r="P1144">
        <v>0</v>
      </c>
      <c r="Q1144">
        <v>0</v>
      </c>
      <c r="R1144">
        <v>465</v>
      </c>
      <c r="S1144">
        <v>37</v>
      </c>
      <c r="T1144">
        <v>3584</v>
      </c>
      <c r="U1144">
        <v>20</v>
      </c>
      <c r="V1144">
        <v>0</v>
      </c>
      <c r="W1144">
        <v>2934</v>
      </c>
      <c r="X1144">
        <f>NHS_AE_2024_2025[[#This Row],[A&amp;E attendances Type 1]]+
NHS_AE_2024_2025[[#This Row],[A&amp;E attendances Type 2]]+
NHS_AE_2024_2025[[#This Row],[A&amp;E attendances Other A&amp;E Department]]</f>
        <v>18745</v>
      </c>
      <c r="Y1144">
        <f t="shared" si="34"/>
        <v>4791</v>
      </c>
      <c r="Z1144">
        <f t="shared" si="35"/>
        <v>6538</v>
      </c>
    </row>
    <row r="1145" spans="1:26" x14ac:dyDescent="0.2">
      <c r="A1145" t="s">
        <v>443</v>
      </c>
      <c r="B1145" t="s">
        <v>444</v>
      </c>
      <c r="C1145" t="s">
        <v>334</v>
      </c>
      <c r="D1145" t="s">
        <v>26</v>
      </c>
      <c r="E1145" t="s">
        <v>335</v>
      </c>
      <c r="F1145">
        <v>12612</v>
      </c>
      <c r="G1145">
        <v>0</v>
      </c>
      <c r="H1145">
        <v>0</v>
      </c>
      <c r="I1145">
        <v>229</v>
      </c>
      <c r="J1145">
        <v>0</v>
      </c>
      <c r="K1145">
        <v>0</v>
      </c>
      <c r="L1145">
        <v>4685</v>
      </c>
      <c r="M1145">
        <v>0</v>
      </c>
      <c r="N1145">
        <v>0</v>
      </c>
      <c r="O1145">
        <v>59</v>
      </c>
      <c r="P1145">
        <v>0</v>
      </c>
      <c r="Q1145">
        <v>0</v>
      </c>
      <c r="R1145">
        <v>445</v>
      </c>
      <c r="S1145">
        <v>456</v>
      </c>
      <c r="T1145">
        <v>2805</v>
      </c>
      <c r="U1145">
        <v>0</v>
      </c>
      <c r="V1145">
        <v>0</v>
      </c>
      <c r="W1145">
        <v>2041</v>
      </c>
      <c r="X1145">
        <f>NHS_AE_2024_2025[[#This Row],[A&amp;E attendances Type 1]]+
NHS_AE_2024_2025[[#This Row],[A&amp;E attendances Type 2]]+
NHS_AE_2024_2025[[#This Row],[A&amp;E attendances Other A&amp;E Department]]</f>
        <v>12612</v>
      </c>
      <c r="Y1145">
        <f t="shared" si="34"/>
        <v>4685</v>
      </c>
      <c r="Z1145">
        <f t="shared" si="35"/>
        <v>4846</v>
      </c>
    </row>
    <row r="1146" spans="1:26" x14ac:dyDescent="0.2">
      <c r="A1146" t="s">
        <v>443</v>
      </c>
      <c r="B1146" t="s">
        <v>444</v>
      </c>
      <c r="C1146" t="s">
        <v>338</v>
      </c>
      <c r="D1146" t="s">
        <v>50</v>
      </c>
      <c r="E1146" t="s">
        <v>339</v>
      </c>
      <c r="F1146">
        <v>7444</v>
      </c>
      <c r="G1146">
        <v>0</v>
      </c>
      <c r="H1146">
        <v>9263</v>
      </c>
      <c r="I1146">
        <v>0</v>
      </c>
      <c r="J1146">
        <v>0</v>
      </c>
      <c r="K1146">
        <v>1704</v>
      </c>
      <c r="L1146">
        <v>3760</v>
      </c>
      <c r="M1146">
        <v>0</v>
      </c>
      <c r="N1146">
        <v>435</v>
      </c>
      <c r="O1146">
        <v>0</v>
      </c>
      <c r="P1146">
        <v>0</v>
      </c>
      <c r="Q1146">
        <v>54</v>
      </c>
      <c r="R1146">
        <v>226</v>
      </c>
      <c r="S1146">
        <v>4</v>
      </c>
      <c r="T1146">
        <v>2576</v>
      </c>
      <c r="U1146">
        <v>0</v>
      </c>
      <c r="V1146">
        <v>170</v>
      </c>
      <c r="W1146">
        <v>2189</v>
      </c>
      <c r="X1146">
        <f>NHS_AE_2024_2025[[#This Row],[A&amp;E attendances Type 1]]+
NHS_AE_2024_2025[[#This Row],[A&amp;E attendances Type 2]]+
NHS_AE_2024_2025[[#This Row],[A&amp;E attendances Other A&amp;E Department]]</f>
        <v>16707</v>
      </c>
      <c r="Y1146">
        <f t="shared" si="34"/>
        <v>4195</v>
      </c>
      <c r="Z1146">
        <f t="shared" si="35"/>
        <v>4935</v>
      </c>
    </row>
    <row r="1147" spans="1:26" x14ac:dyDescent="0.2">
      <c r="A1147" t="s">
        <v>443</v>
      </c>
      <c r="B1147" t="s">
        <v>444</v>
      </c>
      <c r="C1147" t="s">
        <v>166</v>
      </c>
      <c r="D1147" t="s">
        <v>50</v>
      </c>
      <c r="E1147" t="s">
        <v>167</v>
      </c>
      <c r="F1147">
        <v>0</v>
      </c>
      <c r="G1147">
        <v>0</v>
      </c>
      <c r="H1147">
        <v>1182</v>
      </c>
      <c r="I1147">
        <v>0</v>
      </c>
      <c r="J1147">
        <v>0</v>
      </c>
      <c r="K1147">
        <v>53</v>
      </c>
      <c r="L1147">
        <v>0</v>
      </c>
      <c r="M1147">
        <v>0</v>
      </c>
      <c r="N1147">
        <v>32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f>NHS_AE_2024_2025[[#This Row],[A&amp;E attendances Type 1]]+
NHS_AE_2024_2025[[#This Row],[A&amp;E attendances Type 2]]+
NHS_AE_2024_2025[[#This Row],[A&amp;E attendances Other A&amp;E Department]]</f>
        <v>1182</v>
      </c>
      <c r="Y1147">
        <f t="shared" si="34"/>
        <v>32</v>
      </c>
      <c r="Z1147">
        <f t="shared" si="35"/>
        <v>0</v>
      </c>
    </row>
    <row r="1148" spans="1:26" x14ac:dyDescent="0.2">
      <c r="A1148" t="s">
        <v>443</v>
      </c>
      <c r="B1148" t="s">
        <v>444</v>
      </c>
      <c r="C1148" t="s">
        <v>210</v>
      </c>
      <c r="D1148" t="s">
        <v>26</v>
      </c>
      <c r="E1148" t="s">
        <v>211</v>
      </c>
      <c r="F1148">
        <v>8986</v>
      </c>
      <c r="G1148">
        <v>0</v>
      </c>
      <c r="H1148">
        <v>0</v>
      </c>
      <c r="I1148">
        <v>37</v>
      </c>
      <c r="J1148">
        <v>0</v>
      </c>
      <c r="K1148">
        <v>0</v>
      </c>
      <c r="L1148">
        <v>2757</v>
      </c>
      <c r="M1148">
        <v>0</v>
      </c>
      <c r="N1148">
        <v>0</v>
      </c>
      <c r="O1148">
        <v>12</v>
      </c>
      <c r="P1148">
        <v>0</v>
      </c>
      <c r="Q1148">
        <v>0</v>
      </c>
      <c r="R1148">
        <v>616</v>
      </c>
      <c r="S1148">
        <v>125</v>
      </c>
      <c r="T1148">
        <v>2479</v>
      </c>
      <c r="U1148">
        <v>0</v>
      </c>
      <c r="V1148">
        <v>0</v>
      </c>
      <c r="W1148">
        <v>2060</v>
      </c>
      <c r="X1148">
        <f>NHS_AE_2024_2025[[#This Row],[A&amp;E attendances Type 1]]+
NHS_AE_2024_2025[[#This Row],[A&amp;E attendances Type 2]]+
NHS_AE_2024_2025[[#This Row],[A&amp;E attendances Other A&amp;E Department]]</f>
        <v>8986</v>
      </c>
      <c r="Y1148">
        <f t="shared" si="34"/>
        <v>2757</v>
      </c>
      <c r="Z1148">
        <f t="shared" si="35"/>
        <v>4539</v>
      </c>
    </row>
    <row r="1149" spans="1:26" x14ac:dyDescent="0.2">
      <c r="A1149" t="s">
        <v>443</v>
      </c>
      <c r="B1149" t="s">
        <v>444</v>
      </c>
      <c r="C1149" t="s">
        <v>342</v>
      </c>
      <c r="D1149" t="s">
        <v>37</v>
      </c>
      <c r="E1149" t="s">
        <v>343</v>
      </c>
      <c r="F1149">
        <v>13166</v>
      </c>
      <c r="G1149">
        <v>0</v>
      </c>
      <c r="H1149">
        <v>12860</v>
      </c>
      <c r="I1149">
        <v>0</v>
      </c>
      <c r="J1149">
        <v>0</v>
      </c>
      <c r="K1149">
        <v>0</v>
      </c>
      <c r="L1149">
        <v>5962</v>
      </c>
      <c r="M1149">
        <v>0</v>
      </c>
      <c r="N1149">
        <v>207</v>
      </c>
      <c r="O1149">
        <v>0</v>
      </c>
      <c r="P1149">
        <v>0</v>
      </c>
      <c r="Q1149">
        <v>0</v>
      </c>
      <c r="R1149">
        <v>600</v>
      </c>
      <c r="S1149">
        <v>1085</v>
      </c>
      <c r="T1149">
        <v>3097</v>
      </c>
      <c r="U1149">
        <v>0</v>
      </c>
      <c r="V1149">
        <v>605</v>
      </c>
      <c r="W1149">
        <v>497</v>
      </c>
      <c r="X1149">
        <f>NHS_AE_2024_2025[[#This Row],[A&amp;E attendances Type 1]]+
NHS_AE_2024_2025[[#This Row],[A&amp;E attendances Type 2]]+
NHS_AE_2024_2025[[#This Row],[A&amp;E attendances Other A&amp;E Department]]</f>
        <v>26026</v>
      </c>
      <c r="Y1149">
        <f t="shared" si="34"/>
        <v>6169</v>
      </c>
      <c r="Z1149">
        <f t="shared" si="35"/>
        <v>4199</v>
      </c>
    </row>
    <row r="1150" spans="1:26" x14ac:dyDescent="0.2">
      <c r="A1150" t="s">
        <v>443</v>
      </c>
      <c r="B1150" t="s">
        <v>444</v>
      </c>
      <c r="C1150" t="s">
        <v>126</v>
      </c>
      <c r="D1150" t="s">
        <v>70</v>
      </c>
      <c r="E1150" t="s">
        <v>127</v>
      </c>
      <c r="F1150">
        <v>8151</v>
      </c>
      <c r="G1150">
        <v>0</v>
      </c>
      <c r="H1150">
        <v>7940</v>
      </c>
      <c r="I1150">
        <v>0</v>
      </c>
      <c r="J1150">
        <v>0</v>
      </c>
      <c r="K1150">
        <v>863</v>
      </c>
      <c r="L1150">
        <v>2532</v>
      </c>
      <c r="M1150">
        <v>0</v>
      </c>
      <c r="N1150">
        <v>257</v>
      </c>
      <c r="O1150">
        <v>0</v>
      </c>
      <c r="P1150">
        <v>0</v>
      </c>
      <c r="Q1150">
        <v>0</v>
      </c>
      <c r="R1150">
        <v>689</v>
      </c>
      <c r="S1150">
        <v>18</v>
      </c>
      <c r="T1150">
        <v>4106</v>
      </c>
      <c r="U1150">
        <v>0</v>
      </c>
      <c r="V1150">
        <v>0</v>
      </c>
      <c r="W1150">
        <v>667</v>
      </c>
      <c r="X1150">
        <f>NHS_AE_2024_2025[[#This Row],[A&amp;E attendances Type 1]]+
NHS_AE_2024_2025[[#This Row],[A&amp;E attendances Type 2]]+
NHS_AE_2024_2025[[#This Row],[A&amp;E attendances Other A&amp;E Department]]</f>
        <v>16091</v>
      </c>
      <c r="Y1150">
        <f t="shared" si="34"/>
        <v>2789</v>
      </c>
      <c r="Z1150">
        <f t="shared" si="35"/>
        <v>4773</v>
      </c>
    </row>
    <row r="1151" spans="1:26" x14ac:dyDescent="0.2">
      <c r="A1151" t="s">
        <v>443</v>
      </c>
      <c r="B1151" t="s">
        <v>444</v>
      </c>
      <c r="C1151" t="s">
        <v>170</v>
      </c>
      <c r="D1151" t="s">
        <v>32</v>
      </c>
      <c r="E1151" t="s">
        <v>171</v>
      </c>
      <c r="F1151">
        <v>15769</v>
      </c>
      <c r="G1151">
        <v>2095</v>
      </c>
      <c r="H1151">
        <v>340</v>
      </c>
      <c r="I1151">
        <v>550</v>
      </c>
      <c r="J1151">
        <v>0</v>
      </c>
      <c r="K1151">
        <v>0</v>
      </c>
      <c r="L1151">
        <v>7080</v>
      </c>
      <c r="M1151">
        <v>87</v>
      </c>
      <c r="N1151">
        <v>5</v>
      </c>
      <c r="O1151">
        <v>249</v>
      </c>
      <c r="P1151">
        <v>0</v>
      </c>
      <c r="Q1151">
        <v>0</v>
      </c>
      <c r="R1151">
        <v>782</v>
      </c>
      <c r="S1151">
        <v>329</v>
      </c>
      <c r="T1151">
        <v>4230</v>
      </c>
      <c r="U1151">
        <v>0</v>
      </c>
      <c r="V1151">
        <v>0</v>
      </c>
      <c r="W1151">
        <v>4085</v>
      </c>
      <c r="X1151">
        <f>NHS_AE_2024_2025[[#This Row],[A&amp;E attendances Type 1]]+
NHS_AE_2024_2025[[#This Row],[A&amp;E attendances Type 2]]+
NHS_AE_2024_2025[[#This Row],[A&amp;E attendances Other A&amp;E Department]]</f>
        <v>18204</v>
      </c>
      <c r="Y1151">
        <f t="shared" si="34"/>
        <v>7172</v>
      </c>
      <c r="Z1151">
        <f t="shared" si="35"/>
        <v>8315</v>
      </c>
    </row>
    <row r="1152" spans="1:26" x14ac:dyDescent="0.2">
      <c r="A1152" t="s">
        <v>443</v>
      </c>
      <c r="B1152" t="s">
        <v>444</v>
      </c>
      <c r="C1152" t="s">
        <v>354</v>
      </c>
      <c r="D1152" t="s">
        <v>50</v>
      </c>
      <c r="E1152" t="s">
        <v>355</v>
      </c>
      <c r="F1152">
        <v>12782</v>
      </c>
      <c r="G1152">
        <v>0</v>
      </c>
      <c r="H1152">
        <v>4462</v>
      </c>
      <c r="I1152">
        <v>0</v>
      </c>
      <c r="J1152">
        <v>0</v>
      </c>
      <c r="K1152">
        <v>7125</v>
      </c>
      <c r="L1152">
        <v>5594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2052</v>
      </c>
      <c r="S1152">
        <v>50</v>
      </c>
      <c r="T1152">
        <v>4322</v>
      </c>
      <c r="U1152">
        <v>0</v>
      </c>
      <c r="V1152">
        <v>0</v>
      </c>
      <c r="W1152">
        <v>777</v>
      </c>
      <c r="X1152">
        <f>NHS_AE_2024_2025[[#This Row],[A&amp;E attendances Type 1]]+
NHS_AE_2024_2025[[#This Row],[A&amp;E attendances Type 2]]+
NHS_AE_2024_2025[[#This Row],[A&amp;E attendances Other A&amp;E Department]]</f>
        <v>17244</v>
      </c>
      <c r="Y1152">
        <f t="shared" si="34"/>
        <v>5594</v>
      </c>
      <c r="Z1152">
        <f t="shared" si="35"/>
        <v>5099</v>
      </c>
    </row>
    <row r="1153" spans="1:26" x14ac:dyDescent="0.2">
      <c r="A1153" t="s">
        <v>443</v>
      </c>
      <c r="B1153" t="s">
        <v>444</v>
      </c>
      <c r="C1153" t="s">
        <v>69</v>
      </c>
      <c r="D1153" t="s">
        <v>70</v>
      </c>
      <c r="E1153" t="s">
        <v>71</v>
      </c>
      <c r="F1153">
        <v>0</v>
      </c>
      <c r="G1153">
        <v>0</v>
      </c>
      <c r="H1153">
        <v>2464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135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f>NHS_AE_2024_2025[[#This Row],[A&amp;E attendances Type 1]]+
NHS_AE_2024_2025[[#This Row],[A&amp;E attendances Type 2]]+
NHS_AE_2024_2025[[#This Row],[A&amp;E attendances Other A&amp;E Department]]</f>
        <v>2464</v>
      </c>
      <c r="Y1153">
        <f t="shared" si="34"/>
        <v>135</v>
      </c>
      <c r="Z1153">
        <f t="shared" si="35"/>
        <v>0</v>
      </c>
    </row>
    <row r="1154" spans="1:26" x14ac:dyDescent="0.2">
      <c r="A1154" t="s">
        <v>443</v>
      </c>
      <c r="B1154" t="s">
        <v>444</v>
      </c>
      <c r="C1154" t="s">
        <v>429</v>
      </c>
      <c r="D1154" t="s">
        <v>50</v>
      </c>
      <c r="E1154" t="s">
        <v>430</v>
      </c>
      <c r="F1154">
        <v>0</v>
      </c>
      <c r="G1154">
        <v>0</v>
      </c>
      <c r="H1154">
        <v>1767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54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f>NHS_AE_2024_2025[[#This Row],[A&amp;E attendances Type 1]]+
NHS_AE_2024_2025[[#This Row],[A&amp;E attendances Type 2]]+
NHS_AE_2024_2025[[#This Row],[A&amp;E attendances Other A&amp;E Department]]</f>
        <v>1767</v>
      </c>
      <c r="Y1154">
        <f t="shared" ref="Y1154:Y1217" si="36">L1154+M1154+N1154</f>
        <v>54</v>
      </c>
      <c r="Z1154">
        <f t="shared" ref="Z1154:Z1217" si="37">T1154+U1154+V1154+W1154</f>
        <v>0</v>
      </c>
    </row>
    <row r="1155" spans="1:26" x14ac:dyDescent="0.2">
      <c r="A1155" t="s">
        <v>443</v>
      </c>
      <c r="B1155" t="s">
        <v>444</v>
      </c>
      <c r="C1155" t="s">
        <v>148</v>
      </c>
      <c r="D1155" t="s">
        <v>32</v>
      </c>
      <c r="E1155" t="s">
        <v>149</v>
      </c>
      <c r="F1155">
        <v>0</v>
      </c>
      <c r="G1155">
        <v>0</v>
      </c>
      <c r="H1155">
        <v>3623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6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f>NHS_AE_2024_2025[[#This Row],[A&amp;E attendances Type 1]]+
NHS_AE_2024_2025[[#This Row],[A&amp;E attendances Type 2]]+
NHS_AE_2024_2025[[#This Row],[A&amp;E attendances Other A&amp;E Department]]</f>
        <v>3623</v>
      </c>
      <c r="Y1155">
        <f t="shared" si="36"/>
        <v>6</v>
      </c>
      <c r="Z1155">
        <f t="shared" si="37"/>
        <v>0</v>
      </c>
    </row>
    <row r="1156" spans="1:26" x14ac:dyDescent="0.2">
      <c r="A1156" t="s">
        <v>443</v>
      </c>
      <c r="B1156" t="s">
        <v>444</v>
      </c>
      <c r="C1156" t="s">
        <v>224</v>
      </c>
      <c r="D1156" t="s">
        <v>29</v>
      </c>
      <c r="E1156" t="s">
        <v>225</v>
      </c>
      <c r="F1156">
        <v>25172</v>
      </c>
      <c r="G1156">
        <v>1078</v>
      </c>
      <c r="H1156">
        <v>17776</v>
      </c>
      <c r="I1156">
        <v>0</v>
      </c>
      <c r="J1156">
        <v>0</v>
      </c>
      <c r="K1156">
        <v>0</v>
      </c>
      <c r="L1156">
        <v>11241</v>
      </c>
      <c r="M1156">
        <v>14</v>
      </c>
      <c r="N1156">
        <v>1954</v>
      </c>
      <c r="O1156">
        <v>0</v>
      </c>
      <c r="P1156">
        <v>0</v>
      </c>
      <c r="Q1156">
        <v>0</v>
      </c>
      <c r="R1156">
        <v>1246</v>
      </c>
      <c r="S1156">
        <v>861</v>
      </c>
      <c r="T1156">
        <v>4757</v>
      </c>
      <c r="U1156">
        <v>0</v>
      </c>
      <c r="V1156">
        <v>0</v>
      </c>
      <c r="W1156">
        <v>1016</v>
      </c>
      <c r="X1156">
        <f>NHS_AE_2024_2025[[#This Row],[A&amp;E attendances Type 1]]+
NHS_AE_2024_2025[[#This Row],[A&amp;E attendances Type 2]]+
NHS_AE_2024_2025[[#This Row],[A&amp;E attendances Other A&amp;E Department]]</f>
        <v>44026</v>
      </c>
      <c r="Y1156">
        <f t="shared" si="36"/>
        <v>13209</v>
      </c>
      <c r="Z1156">
        <f t="shared" si="37"/>
        <v>5773</v>
      </c>
    </row>
    <row r="1157" spans="1:26" x14ac:dyDescent="0.2">
      <c r="A1157" t="s">
        <v>443</v>
      </c>
      <c r="B1157" t="s">
        <v>444</v>
      </c>
      <c r="C1157" t="s">
        <v>230</v>
      </c>
      <c r="D1157" t="s">
        <v>29</v>
      </c>
      <c r="E1157" t="s">
        <v>231</v>
      </c>
      <c r="F1157">
        <v>18231</v>
      </c>
      <c r="G1157">
        <v>0</v>
      </c>
      <c r="H1157">
        <v>8482</v>
      </c>
      <c r="I1157">
        <v>0</v>
      </c>
      <c r="J1157">
        <v>0</v>
      </c>
      <c r="K1157">
        <v>0</v>
      </c>
      <c r="L1157">
        <v>6919</v>
      </c>
      <c r="M1157">
        <v>0</v>
      </c>
      <c r="N1157">
        <v>157</v>
      </c>
      <c r="O1157">
        <v>0</v>
      </c>
      <c r="P1157">
        <v>0</v>
      </c>
      <c r="Q1157">
        <v>0</v>
      </c>
      <c r="R1157">
        <v>952</v>
      </c>
      <c r="S1157">
        <v>544</v>
      </c>
      <c r="T1157">
        <v>3961</v>
      </c>
      <c r="U1157">
        <v>0</v>
      </c>
      <c r="V1157">
        <v>0</v>
      </c>
      <c r="W1157">
        <v>533</v>
      </c>
      <c r="X1157">
        <f>NHS_AE_2024_2025[[#This Row],[A&amp;E attendances Type 1]]+
NHS_AE_2024_2025[[#This Row],[A&amp;E attendances Type 2]]+
NHS_AE_2024_2025[[#This Row],[A&amp;E attendances Other A&amp;E Department]]</f>
        <v>26713</v>
      </c>
      <c r="Y1157">
        <f t="shared" si="36"/>
        <v>7076</v>
      </c>
      <c r="Z1157">
        <f t="shared" si="37"/>
        <v>4494</v>
      </c>
    </row>
    <row r="1158" spans="1:26" x14ac:dyDescent="0.2">
      <c r="A1158" t="s">
        <v>443</v>
      </c>
      <c r="B1158" t="s">
        <v>444</v>
      </c>
      <c r="C1158" t="s">
        <v>290</v>
      </c>
      <c r="D1158" t="s">
        <v>29</v>
      </c>
      <c r="E1158" t="s">
        <v>291</v>
      </c>
      <c r="F1158">
        <v>7849</v>
      </c>
      <c r="G1158">
        <v>584</v>
      </c>
      <c r="H1158">
        <v>7323</v>
      </c>
      <c r="I1158">
        <v>188</v>
      </c>
      <c r="J1158">
        <v>1</v>
      </c>
      <c r="K1158">
        <v>253</v>
      </c>
      <c r="L1158">
        <v>4280</v>
      </c>
      <c r="M1158">
        <v>7</v>
      </c>
      <c r="N1158">
        <v>720</v>
      </c>
      <c r="O1158">
        <v>85</v>
      </c>
      <c r="P1158">
        <v>0</v>
      </c>
      <c r="Q1158">
        <v>27</v>
      </c>
      <c r="R1158">
        <v>313</v>
      </c>
      <c r="S1158">
        <v>788</v>
      </c>
      <c r="T1158">
        <v>1613</v>
      </c>
      <c r="U1158">
        <v>0</v>
      </c>
      <c r="V1158">
        <v>0</v>
      </c>
      <c r="W1158">
        <v>148</v>
      </c>
      <c r="X1158">
        <f>NHS_AE_2024_2025[[#This Row],[A&amp;E attendances Type 1]]+
NHS_AE_2024_2025[[#This Row],[A&amp;E attendances Type 2]]+
NHS_AE_2024_2025[[#This Row],[A&amp;E attendances Other A&amp;E Department]]</f>
        <v>15756</v>
      </c>
      <c r="Y1158">
        <f t="shared" si="36"/>
        <v>5007</v>
      </c>
      <c r="Z1158">
        <f t="shared" si="37"/>
        <v>1761</v>
      </c>
    </row>
    <row r="1159" spans="1:26" x14ac:dyDescent="0.2">
      <c r="A1159" t="s">
        <v>443</v>
      </c>
      <c r="B1159" t="s">
        <v>444</v>
      </c>
      <c r="C1159" t="s">
        <v>150</v>
      </c>
      <c r="D1159" t="s">
        <v>55</v>
      </c>
      <c r="E1159" t="s">
        <v>151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804</v>
      </c>
      <c r="X1159">
        <f>NHS_AE_2024_2025[[#This Row],[A&amp;E attendances Type 1]]+
NHS_AE_2024_2025[[#This Row],[A&amp;E attendances Type 2]]+
NHS_AE_2024_2025[[#This Row],[A&amp;E attendances Other A&amp;E Department]]</f>
        <v>0</v>
      </c>
      <c r="Y1159">
        <f t="shared" si="36"/>
        <v>0</v>
      </c>
      <c r="Z1159">
        <f t="shared" si="37"/>
        <v>804</v>
      </c>
    </row>
    <row r="1160" spans="1:26" x14ac:dyDescent="0.2">
      <c r="A1160" t="s">
        <v>443</v>
      </c>
      <c r="B1160" t="s">
        <v>444</v>
      </c>
      <c r="C1160" t="s">
        <v>362</v>
      </c>
      <c r="D1160" t="s">
        <v>26</v>
      </c>
      <c r="E1160" t="s">
        <v>363</v>
      </c>
      <c r="F1160">
        <v>8656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3172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583</v>
      </c>
      <c r="S1160">
        <v>5</v>
      </c>
      <c r="T1160">
        <v>2608</v>
      </c>
      <c r="U1160">
        <v>0</v>
      </c>
      <c r="V1160">
        <v>7</v>
      </c>
      <c r="W1160">
        <v>1654</v>
      </c>
      <c r="X1160">
        <f>NHS_AE_2024_2025[[#This Row],[A&amp;E attendances Type 1]]+
NHS_AE_2024_2025[[#This Row],[A&amp;E attendances Type 2]]+
NHS_AE_2024_2025[[#This Row],[A&amp;E attendances Other A&amp;E Department]]</f>
        <v>8656</v>
      </c>
      <c r="Y1160">
        <f t="shared" si="36"/>
        <v>3172</v>
      </c>
      <c r="Z1160">
        <f t="shared" si="37"/>
        <v>4269</v>
      </c>
    </row>
    <row r="1161" spans="1:26" x14ac:dyDescent="0.2">
      <c r="A1161" t="s">
        <v>443</v>
      </c>
      <c r="B1161" t="s">
        <v>444</v>
      </c>
      <c r="C1161" t="s">
        <v>296</v>
      </c>
      <c r="D1161" t="s">
        <v>70</v>
      </c>
      <c r="E1161" t="s">
        <v>297</v>
      </c>
      <c r="F1161">
        <v>15305</v>
      </c>
      <c r="G1161">
        <v>0</v>
      </c>
      <c r="H1161">
        <v>11976</v>
      </c>
      <c r="I1161">
        <v>514</v>
      </c>
      <c r="J1161">
        <v>0</v>
      </c>
      <c r="K1161">
        <v>296</v>
      </c>
      <c r="L1161">
        <v>7198</v>
      </c>
      <c r="M1161">
        <v>0</v>
      </c>
      <c r="N1161">
        <v>168</v>
      </c>
      <c r="O1161">
        <v>0</v>
      </c>
      <c r="P1161">
        <v>0</v>
      </c>
      <c r="Q1161">
        <v>0</v>
      </c>
      <c r="R1161">
        <v>1124</v>
      </c>
      <c r="S1161">
        <v>259</v>
      </c>
      <c r="T1161">
        <v>6243</v>
      </c>
      <c r="U1161">
        <v>0</v>
      </c>
      <c r="V1161">
        <v>387</v>
      </c>
      <c r="W1161">
        <v>1111</v>
      </c>
      <c r="X1161">
        <f>NHS_AE_2024_2025[[#This Row],[A&amp;E attendances Type 1]]+
NHS_AE_2024_2025[[#This Row],[A&amp;E attendances Type 2]]+
NHS_AE_2024_2025[[#This Row],[A&amp;E attendances Other A&amp;E Department]]</f>
        <v>27281</v>
      </c>
      <c r="Y1161">
        <f t="shared" si="36"/>
        <v>7366</v>
      </c>
      <c r="Z1161">
        <f t="shared" si="37"/>
        <v>7741</v>
      </c>
    </row>
    <row r="1162" spans="1:26" x14ac:dyDescent="0.2">
      <c r="A1162" t="s">
        <v>443</v>
      </c>
      <c r="B1162" t="s">
        <v>444</v>
      </c>
      <c r="C1162" t="s">
        <v>384</v>
      </c>
      <c r="D1162" t="s">
        <v>55</v>
      </c>
      <c r="E1162" t="s">
        <v>385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177</v>
      </c>
      <c r="X1162">
        <f>NHS_AE_2024_2025[[#This Row],[A&amp;E attendances Type 1]]+
NHS_AE_2024_2025[[#This Row],[A&amp;E attendances Type 2]]+
NHS_AE_2024_2025[[#This Row],[A&amp;E attendances Other A&amp;E Department]]</f>
        <v>0</v>
      </c>
      <c r="Y1162">
        <f t="shared" si="36"/>
        <v>0</v>
      </c>
      <c r="Z1162">
        <f t="shared" si="37"/>
        <v>177</v>
      </c>
    </row>
    <row r="1163" spans="1:26" x14ac:dyDescent="0.2">
      <c r="A1163" t="s">
        <v>443</v>
      </c>
      <c r="B1163" t="s">
        <v>444</v>
      </c>
      <c r="C1163" t="s">
        <v>382</v>
      </c>
      <c r="D1163" t="s">
        <v>26</v>
      </c>
      <c r="E1163" t="s">
        <v>383</v>
      </c>
      <c r="F1163">
        <v>13431</v>
      </c>
      <c r="G1163">
        <v>0</v>
      </c>
      <c r="H1163">
        <v>10214</v>
      </c>
      <c r="I1163">
        <v>0</v>
      </c>
      <c r="J1163">
        <v>0</v>
      </c>
      <c r="K1163">
        <v>0</v>
      </c>
      <c r="L1163">
        <v>5448</v>
      </c>
      <c r="M1163">
        <v>0</v>
      </c>
      <c r="N1163">
        <v>170</v>
      </c>
      <c r="O1163">
        <v>0</v>
      </c>
      <c r="P1163">
        <v>0</v>
      </c>
      <c r="Q1163">
        <v>0</v>
      </c>
      <c r="R1163">
        <v>357</v>
      </c>
      <c r="S1163">
        <v>8</v>
      </c>
      <c r="T1163">
        <v>3370</v>
      </c>
      <c r="U1163">
        <v>0</v>
      </c>
      <c r="V1163">
        <v>0</v>
      </c>
      <c r="W1163">
        <v>2047</v>
      </c>
      <c r="X1163">
        <f>NHS_AE_2024_2025[[#This Row],[A&amp;E attendances Type 1]]+
NHS_AE_2024_2025[[#This Row],[A&amp;E attendances Type 2]]+
NHS_AE_2024_2025[[#This Row],[A&amp;E attendances Other A&amp;E Department]]</f>
        <v>23645</v>
      </c>
      <c r="Y1163">
        <f t="shared" si="36"/>
        <v>5618</v>
      </c>
      <c r="Z1163">
        <f t="shared" si="37"/>
        <v>5417</v>
      </c>
    </row>
    <row r="1164" spans="1:26" x14ac:dyDescent="0.2">
      <c r="A1164" t="s">
        <v>443</v>
      </c>
      <c r="B1164" t="s">
        <v>444</v>
      </c>
      <c r="C1164" t="s">
        <v>368</v>
      </c>
      <c r="D1164" t="s">
        <v>50</v>
      </c>
      <c r="E1164" t="s">
        <v>369</v>
      </c>
      <c r="F1164">
        <v>9397</v>
      </c>
      <c r="G1164">
        <v>1226</v>
      </c>
      <c r="H1164">
        <v>7165</v>
      </c>
      <c r="I1164">
        <v>327</v>
      </c>
      <c r="J1164">
        <v>1</v>
      </c>
      <c r="K1164">
        <v>971</v>
      </c>
      <c r="L1164">
        <v>4689</v>
      </c>
      <c r="M1164">
        <v>0</v>
      </c>
      <c r="N1164">
        <v>110</v>
      </c>
      <c r="O1164">
        <v>143</v>
      </c>
      <c r="P1164">
        <v>0</v>
      </c>
      <c r="Q1164">
        <v>11</v>
      </c>
      <c r="R1164">
        <v>1076</v>
      </c>
      <c r="S1164">
        <v>16</v>
      </c>
      <c r="T1164">
        <v>3669</v>
      </c>
      <c r="U1164">
        <v>0</v>
      </c>
      <c r="V1164">
        <v>0</v>
      </c>
      <c r="W1164">
        <v>3146</v>
      </c>
      <c r="X1164">
        <f>NHS_AE_2024_2025[[#This Row],[A&amp;E attendances Type 1]]+
NHS_AE_2024_2025[[#This Row],[A&amp;E attendances Type 2]]+
NHS_AE_2024_2025[[#This Row],[A&amp;E attendances Other A&amp;E Department]]</f>
        <v>17788</v>
      </c>
      <c r="Y1164">
        <f t="shared" si="36"/>
        <v>4799</v>
      </c>
      <c r="Z1164">
        <f t="shared" si="37"/>
        <v>6815</v>
      </c>
    </row>
    <row r="1165" spans="1:26" x14ac:dyDescent="0.2">
      <c r="A1165" t="s">
        <v>443</v>
      </c>
      <c r="B1165" t="s">
        <v>444</v>
      </c>
      <c r="C1165" t="s">
        <v>302</v>
      </c>
      <c r="D1165" t="s">
        <v>29</v>
      </c>
      <c r="E1165" t="s">
        <v>303</v>
      </c>
      <c r="F1165">
        <v>10650</v>
      </c>
      <c r="G1165">
        <v>809</v>
      </c>
      <c r="H1165">
        <v>6828</v>
      </c>
      <c r="I1165">
        <v>0</v>
      </c>
      <c r="J1165">
        <v>0</v>
      </c>
      <c r="K1165">
        <v>0</v>
      </c>
      <c r="L1165">
        <v>4436</v>
      </c>
      <c r="M1165">
        <v>0</v>
      </c>
      <c r="N1165">
        <v>338</v>
      </c>
      <c r="O1165">
        <v>0</v>
      </c>
      <c r="P1165">
        <v>0</v>
      </c>
      <c r="Q1165">
        <v>0</v>
      </c>
      <c r="R1165">
        <v>96</v>
      </c>
      <c r="S1165">
        <v>66</v>
      </c>
      <c r="T1165">
        <v>2370</v>
      </c>
      <c r="U1165">
        <v>0</v>
      </c>
      <c r="V1165">
        <v>0</v>
      </c>
      <c r="W1165">
        <v>261</v>
      </c>
      <c r="X1165">
        <f>NHS_AE_2024_2025[[#This Row],[A&amp;E attendances Type 1]]+
NHS_AE_2024_2025[[#This Row],[A&amp;E attendances Type 2]]+
NHS_AE_2024_2025[[#This Row],[A&amp;E attendances Other A&amp;E Department]]</f>
        <v>18287</v>
      </c>
      <c r="Y1165">
        <f t="shared" si="36"/>
        <v>4774</v>
      </c>
      <c r="Z1165">
        <f t="shared" si="37"/>
        <v>2631</v>
      </c>
    </row>
    <row r="1166" spans="1:26" x14ac:dyDescent="0.2">
      <c r="A1166" t="s">
        <v>443</v>
      </c>
      <c r="B1166" t="s">
        <v>444</v>
      </c>
      <c r="C1166" t="s">
        <v>314</v>
      </c>
      <c r="D1166" t="s">
        <v>32</v>
      </c>
      <c r="E1166" t="s">
        <v>315</v>
      </c>
      <c r="F1166">
        <v>6856</v>
      </c>
      <c r="G1166">
        <v>0</v>
      </c>
      <c r="H1166">
        <v>1837</v>
      </c>
      <c r="I1166">
        <v>0</v>
      </c>
      <c r="J1166">
        <v>0</v>
      </c>
      <c r="K1166">
        <v>0</v>
      </c>
      <c r="L1166">
        <v>2191</v>
      </c>
      <c r="M1166">
        <v>0</v>
      </c>
      <c r="N1166">
        <v>17</v>
      </c>
      <c r="O1166">
        <v>0</v>
      </c>
      <c r="P1166">
        <v>0</v>
      </c>
      <c r="Q1166">
        <v>0</v>
      </c>
      <c r="R1166">
        <v>522</v>
      </c>
      <c r="S1166">
        <v>133</v>
      </c>
      <c r="T1166">
        <v>973</v>
      </c>
      <c r="U1166">
        <v>0</v>
      </c>
      <c r="V1166">
        <v>0</v>
      </c>
      <c r="W1166">
        <v>16</v>
      </c>
      <c r="X1166">
        <f>NHS_AE_2024_2025[[#This Row],[A&amp;E attendances Type 1]]+
NHS_AE_2024_2025[[#This Row],[A&amp;E attendances Type 2]]+
NHS_AE_2024_2025[[#This Row],[A&amp;E attendances Other A&amp;E Department]]</f>
        <v>8693</v>
      </c>
      <c r="Y1166">
        <f t="shared" si="36"/>
        <v>2208</v>
      </c>
      <c r="Z1166">
        <f t="shared" si="37"/>
        <v>989</v>
      </c>
    </row>
    <row r="1167" spans="1:26" x14ac:dyDescent="0.2">
      <c r="A1167" t="s">
        <v>443</v>
      </c>
      <c r="B1167" t="s">
        <v>444</v>
      </c>
      <c r="C1167" t="s">
        <v>418</v>
      </c>
      <c r="D1167" t="s">
        <v>55</v>
      </c>
      <c r="E1167" t="s">
        <v>419</v>
      </c>
      <c r="F1167">
        <v>25778</v>
      </c>
      <c r="G1167">
        <v>0</v>
      </c>
      <c r="H1167">
        <v>9312</v>
      </c>
      <c r="I1167">
        <v>0</v>
      </c>
      <c r="J1167">
        <v>0</v>
      </c>
      <c r="K1167">
        <v>0</v>
      </c>
      <c r="L1167">
        <v>11400</v>
      </c>
      <c r="M1167">
        <v>0</v>
      </c>
      <c r="N1167">
        <v>388</v>
      </c>
      <c r="O1167">
        <v>0</v>
      </c>
      <c r="P1167">
        <v>0</v>
      </c>
      <c r="Q1167">
        <v>0</v>
      </c>
      <c r="R1167">
        <v>1749</v>
      </c>
      <c r="S1167">
        <v>791</v>
      </c>
      <c r="T1167">
        <v>6952</v>
      </c>
      <c r="U1167">
        <v>0</v>
      </c>
      <c r="V1167">
        <v>365</v>
      </c>
      <c r="W1167">
        <v>1790</v>
      </c>
      <c r="X1167">
        <f>NHS_AE_2024_2025[[#This Row],[A&amp;E attendances Type 1]]+
NHS_AE_2024_2025[[#This Row],[A&amp;E attendances Type 2]]+
NHS_AE_2024_2025[[#This Row],[A&amp;E attendances Other A&amp;E Department]]</f>
        <v>35090</v>
      </c>
      <c r="Y1167">
        <f t="shared" si="36"/>
        <v>11788</v>
      </c>
      <c r="Z1167">
        <f t="shared" si="37"/>
        <v>9107</v>
      </c>
    </row>
    <row r="1168" spans="1:26" x14ac:dyDescent="0.2">
      <c r="A1168" t="s">
        <v>443</v>
      </c>
      <c r="B1168" t="s">
        <v>444</v>
      </c>
      <c r="C1168" t="s">
        <v>318</v>
      </c>
      <c r="D1168" t="s">
        <v>55</v>
      </c>
      <c r="E1168" t="s">
        <v>319</v>
      </c>
      <c r="F1168">
        <v>8799</v>
      </c>
      <c r="G1168">
        <v>0</v>
      </c>
      <c r="H1168">
        <v>2567</v>
      </c>
      <c r="I1168">
        <v>436</v>
      </c>
      <c r="J1168">
        <v>0</v>
      </c>
      <c r="K1168">
        <v>242</v>
      </c>
      <c r="L1168">
        <v>4269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836</v>
      </c>
      <c r="S1168">
        <v>126</v>
      </c>
      <c r="T1168">
        <v>1832</v>
      </c>
      <c r="U1168">
        <v>0</v>
      </c>
      <c r="V1168">
        <v>0</v>
      </c>
      <c r="W1168">
        <v>366</v>
      </c>
      <c r="X1168">
        <f>NHS_AE_2024_2025[[#This Row],[A&amp;E attendances Type 1]]+
NHS_AE_2024_2025[[#This Row],[A&amp;E attendances Type 2]]+
NHS_AE_2024_2025[[#This Row],[A&amp;E attendances Other A&amp;E Department]]</f>
        <v>11366</v>
      </c>
      <c r="Y1168">
        <f t="shared" si="36"/>
        <v>4269</v>
      </c>
      <c r="Z1168">
        <f t="shared" si="37"/>
        <v>2198</v>
      </c>
    </row>
    <row r="1169" spans="1:26" x14ac:dyDescent="0.2">
      <c r="A1169" t="s">
        <v>443</v>
      </c>
      <c r="B1169" t="s">
        <v>444</v>
      </c>
      <c r="C1169" t="s">
        <v>322</v>
      </c>
      <c r="D1169" t="s">
        <v>50</v>
      </c>
      <c r="E1169" t="s">
        <v>323</v>
      </c>
      <c r="F1169">
        <v>13840</v>
      </c>
      <c r="G1169">
        <v>0</v>
      </c>
      <c r="H1169">
        <v>4123</v>
      </c>
      <c r="I1169">
        <v>0</v>
      </c>
      <c r="J1169">
        <v>0</v>
      </c>
      <c r="K1169">
        <v>0</v>
      </c>
      <c r="L1169">
        <v>5411</v>
      </c>
      <c r="M1169">
        <v>0</v>
      </c>
      <c r="N1169">
        <v>10</v>
      </c>
      <c r="O1169">
        <v>0</v>
      </c>
      <c r="P1169">
        <v>0</v>
      </c>
      <c r="Q1169">
        <v>0</v>
      </c>
      <c r="R1169">
        <v>1036</v>
      </c>
      <c r="S1169">
        <v>236</v>
      </c>
      <c r="T1169">
        <v>3839</v>
      </c>
      <c r="U1169">
        <v>0</v>
      </c>
      <c r="V1169">
        <v>392</v>
      </c>
      <c r="W1169">
        <v>1063</v>
      </c>
      <c r="X1169">
        <f>NHS_AE_2024_2025[[#This Row],[A&amp;E attendances Type 1]]+
NHS_AE_2024_2025[[#This Row],[A&amp;E attendances Type 2]]+
NHS_AE_2024_2025[[#This Row],[A&amp;E attendances Other A&amp;E Department]]</f>
        <v>17963</v>
      </c>
      <c r="Y1169">
        <f t="shared" si="36"/>
        <v>5421</v>
      </c>
      <c r="Z1169">
        <f t="shared" si="37"/>
        <v>5294</v>
      </c>
    </row>
    <row r="1170" spans="1:26" x14ac:dyDescent="0.2">
      <c r="A1170" t="s">
        <v>443</v>
      </c>
      <c r="B1170" t="s">
        <v>444</v>
      </c>
      <c r="C1170" t="s">
        <v>326</v>
      </c>
      <c r="D1170" t="s">
        <v>29</v>
      </c>
      <c r="E1170" t="s">
        <v>327</v>
      </c>
      <c r="F1170">
        <v>19890</v>
      </c>
      <c r="G1170">
        <v>0</v>
      </c>
      <c r="H1170">
        <v>6153</v>
      </c>
      <c r="I1170">
        <v>630</v>
      </c>
      <c r="J1170">
        <v>0</v>
      </c>
      <c r="K1170">
        <v>0</v>
      </c>
      <c r="L1170">
        <v>5427</v>
      </c>
      <c r="M1170">
        <v>0</v>
      </c>
      <c r="N1170">
        <v>149</v>
      </c>
      <c r="O1170">
        <v>0</v>
      </c>
      <c r="P1170">
        <v>0</v>
      </c>
      <c r="Q1170">
        <v>0</v>
      </c>
      <c r="R1170">
        <v>581</v>
      </c>
      <c r="S1170">
        <v>42</v>
      </c>
      <c r="T1170">
        <v>2814</v>
      </c>
      <c r="U1170">
        <v>0</v>
      </c>
      <c r="V1170">
        <v>0</v>
      </c>
      <c r="W1170">
        <v>370</v>
      </c>
      <c r="X1170">
        <f>NHS_AE_2024_2025[[#This Row],[A&amp;E attendances Type 1]]+
NHS_AE_2024_2025[[#This Row],[A&amp;E attendances Type 2]]+
NHS_AE_2024_2025[[#This Row],[A&amp;E attendances Other A&amp;E Department]]</f>
        <v>26043</v>
      </c>
      <c r="Y1170">
        <f t="shared" si="36"/>
        <v>5576</v>
      </c>
      <c r="Z1170">
        <f t="shared" si="37"/>
        <v>3184</v>
      </c>
    </row>
    <row r="1171" spans="1:26" x14ac:dyDescent="0.2">
      <c r="A1171" t="s">
        <v>443</v>
      </c>
      <c r="B1171" t="s">
        <v>444</v>
      </c>
      <c r="C1171" t="s">
        <v>330</v>
      </c>
      <c r="D1171" t="s">
        <v>50</v>
      </c>
      <c r="E1171" t="s">
        <v>331</v>
      </c>
      <c r="F1171">
        <v>17341</v>
      </c>
      <c r="G1171">
        <v>765</v>
      </c>
      <c r="H1171">
        <v>11634</v>
      </c>
      <c r="I1171">
        <v>31</v>
      </c>
      <c r="J1171">
        <v>0</v>
      </c>
      <c r="K1171">
        <v>32</v>
      </c>
      <c r="L1171">
        <v>6911</v>
      </c>
      <c r="M1171">
        <v>0</v>
      </c>
      <c r="N1171">
        <v>109</v>
      </c>
      <c r="O1171">
        <v>12</v>
      </c>
      <c r="P1171">
        <v>0</v>
      </c>
      <c r="Q1171">
        <v>0</v>
      </c>
      <c r="R1171">
        <v>1527</v>
      </c>
      <c r="S1171">
        <v>324</v>
      </c>
      <c r="T1171">
        <v>3595</v>
      </c>
      <c r="U1171">
        <v>0</v>
      </c>
      <c r="V1171">
        <v>0</v>
      </c>
      <c r="W1171">
        <v>1242</v>
      </c>
      <c r="X1171">
        <f>NHS_AE_2024_2025[[#This Row],[A&amp;E attendances Type 1]]+
NHS_AE_2024_2025[[#This Row],[A&amp;E attendances Type 2]]+
NHS_AE_2024_2025[[#This Row],[A&amp;E attendances Other A&amp;E Department]]</f>
        <v>29740</v>
      </c>
      <c r="Y1171">
        <f t="shared" si="36"/>
        <v>7020</v>
      </c>
      <c r="Z1171">
        <f t="shared" si="37"/>
        <v>4837</v>
      </c>
    </row>
    <row r="1172" spans="1:26" x14ac:dyDescent="0.2">
      <c r="A1172" t="s">
        <v>443</v>
      </c>
      <c r="B1172" t="s">
        <v>444</v>
      </c>
      <c r="C1172" t="s">
        <v>336</v>
      </c>
      <c r="D1172" t="s">
        <v>50</v>
      </c>
      <c r="E1172" t="s">
        <v>337</v>
      </c>
      <c r="F1172">
        <v>9996</v>
      </c>
      <c r="G1172">
        <v>0</v>
      </c>
      <c r="H1172">
        <v>12776</v>
      </c>
      <c r="I1172">
        <v>0</v>
      </c>
      <c r="J1172">
        <v>0</v>
      </c>
      <c r="K1172">
        <v>0</v>
      </c>
      <c r="L1172">
        <v>2777</v>
      </c>
      <c r="M1172">
        <v>0</v>
      </c>
      <c r="N1172">
        <v>12</v>
      </c>
      <c r="O1172">
        <v>0</v>
      </c>
      <c r="P1172">
        <v>0</v>
      </c>
      <c r="Q1172">
        <v>0</v>
      </c>
      <c r="R1172">
        <v>52</v>
      </c>
      <c r="S1172">
        <v>0</v>
      </c>
      <c r="T1172">
        <v>3962</v>
      </c>
      <c r="U1172">
        <v>0</v>
      </c>
      <c r="V1172">
        <v>39</v>
      </c>
      <c r="W1172">
        <v>420</v>
      </c>
      <c r="X1172">
        <f>NHS_AE_2024_2025[[#This Row],[A&amp;E attendances Type 1]]+
NHS_AE_2024_2025[[#This Row],[A&amp;E attendances Type 2]]+
NHS_AE_2024_2025[[#This Row],[A&amp;E attendances Other A&amp;E Department]]</f>
        <v>22772</v>
      </c>
      <c r="Y1172">
        <f t="shared" si="36"/>
        <v>2789</v>
      </c>
      <c r="Z1172">
        <f t="shared" si="37"/>
        <v>4421</v>
      </c>
    </row>
    <row r="1173" spans="1:26" x14ac:dyDescent="0.2">
      <c r="A1173" t="s">
        <v>443</v>
      </c>
      <c r="B1173" t="s">
        <v>444</v>
      </c>
      <c r="C1173" t="s">
        <v>208</v>
      </c>
      <c r="D1173" t="s">
        <v>32</v>
      </c>
      <c r="E1173" t="s">
        <v>209</v>
      </c>
      <c r="F1173">
        <v>21344</v>
      </c>
      <c r="G1173">
        <v>0</v>
      </c>
      <c r="H1173">
        <v>10061</v>
      </c>
      <c r="I1173">
        <v>408</v>
      </c>
      <c r="J1173">
        <v>0</v>
      </c>
      <c r="K1173">
        <v>31</v>
      </c>
      <c r="L1173">
        <v>9283</v>
      </c>
      <c r="M1173">
        <v>0</v>
      </c>
      <c r="N1173">
        <v>1</v>
      </c>
      <c r="O1173">
        <v>168</v>
      </c>
      <c r="P1173">
        <v>0</v>
      </c>
      <c r="Q1173">
        <v>0</v>
      </c>
      <c r="R1173">
        <v>888</v>
      </c>
      <c r="S1173">
        <v>993</v>
      </c>
      <c r="T1173">
        <v>4145</v>
      </c>
      <c r="U1173">
        <v>0</v>
      </c>
      <c r="V1173">
        <v>1</v>
      </c>
      <c r="W1173">
        <v>2616</v>
      </c>
      <c r="X1173">
        <f>NHS_AE_2024_2025[[#This Row],[A&amp;E attendances Type 1]]+
NHS_AE_2024_2025[[#This Row],[A&amp;E attendances Type 2]]+
NHS_AE_2024_2025[[#This Row],[A&amp;E attendances Other A&amp;E Department]]</f>
        <v>31405</v>
      </c>
      <c r="Y1173">
        <f t="shared" si="36"/>
        <v>9284</v>
      </c>
      <c r="Z1173">
        <f t="shared" si="37"/>
        <v>6762</v>
      </c>
    </row>
    <row r="1174" spans="1:26" x14ac:dyDescent="0.2">
      <c r="A1174" t="s">
        <v>443</v>
      </c>
      <c r="B1174" t="s">
        <v>444</v>
      </c>
      <c r="C1174" t="s">
        <v>424</v>
      </c>
      <c r="D1174" t="s">
        <v>37</v>
      </c>
      <c r="E1174" t="s">
        <v>425</v>
      </c>
      <c r="F1174">
        <v>11911</v>
      </c>
      <c r="G1174">
        <v>1955</v>
      </c>
      <c r="H1174">
        <v>2104</v>
      </c>
      <c r="I1174">
        <v>1488</v>
      </c>
      <c r="J1174">
        <v>0</v>
      </c>
      <c r="K1174">
        <v>112</v>
      </c>
      <c r="L1174">
        <v>3391</v>
      </c>
      <c r="M1174">
        <v>0</v>
      </c>
      <c r="N1174">
        <v>1</v>
      </c>
      <c r="O1174">
        <v>348</v>
      </c>
      <c r="P1174">
        <v>0</v>
      </c>
      <c r="Q1174">
        <v>0</v>
      </c>
      <c r="R1174">
        <v>587</v>
      </c>
      <c r="S1174">
        <v>0</v>
      </c>
      <c r="T1174">
        <v>4416</v>
      </c>
      <c r="U1174">
        <v>154</v>
      </c>
      <c r="V1174">
        <v>14</v>
      </c>
      <c r="W1174">
        <v>4703</v>
      </c>
      <c r="X1174">
        <f>NHS_AE_2024_2025[[#This Row],[A&amp;E attendances Type 1]]+
NHS_AE_2024_2025[[#This Row],[A&amp;E attendances Type 2]]+
NHS_AE_2024_2025[[#This Row],[A&amp;E attendances Other A&amp;E Department]]</f>
        <v>15970</v>
      </c>
      <c r="Y1174">
        <f t="shared" si="36"/>
        <v>3392</v>
      </c>
      <c r="Z1174">
        <f t="shared" si="37"/>
        <v>9287</v>
      </c>
    </row>
    <row r="1175" spans="1:26" x14ac:dyDescent="0.2">
      <c r="A1175" t="s">
        <v>443</v>
      </c>
      <c r="B1175" t="s">
        <v>444</v>
      </c>
      <c r="C1175" t="s">
        <v>344</v>
      </c>
      <c r="D1175" t="s">
        <v>32</v>
      </c>
      <c r="E1175" t="s">
        <v>345</v>
      </c>
      <c r="F1175">
        <v>10123</v>
      </c>
      <c r="G1175">
        <v>0</v>
      </c>
      <c r="H1175">
        <v>10310</v>
      </c>
      <c r="I1175">
        <v>0</v>
      </c>
      <c r="J1175">
        <v>0</v>
      </c>
      <c r="K1175">
        <v>0</v>
      </c>
      <c r="L1175">
        <v>6944</v>
      </c>
      <c r="M1175">
        <v>0</v>
      </c>
      <c r="N1175">
        <v>1063</v>
      </c>
      <c r="O1175">
        <v>0</v>
      </c>
      <c r="P1175">
        <v>0</v>
      </c>
      <c r="Q1175">
        <v>0</v>
      </c>
      <c r="R1175">
        <v>1011</v>
      </c>
      <c r="S1175">
        <v>993</v>
      </c>
      <c r="T1175">
        <v>4191</v>
      </c>
      <c r="U1175">
        <v>0</v>
      </c>
      <c r="V1175">
        <v>0</v>
      </c>
      <c r="W1175">
        <v>1289</v>
      </c>
      <c r="X1175">
        <f>NHS_AE_2024_2025[[#This Row],[A&amp;E attendances Type 1]]+
NHS_AE_2024_2025[[#This Row],[A&amp;E attendances Type 2]]+
NHS_AE_2024_2025[[#This Row],[A&amp;E attendances Other A&amp;E Department]]</f>
        <v>20433</v>
      </c>
      <c r="Y1175">
        <f t="shared" si="36"/>
        <v>8007</v>
      </c>
      <c r="Z1175">
        <f t="shared" si="37"/>
        <v>5480</v>
      </c>
    </row>
    <row r="1176" spans="1:26" x14ac:dyDescent="0.2">
      <c r="A1176" t="s">
        <v>443</v>
      </c>
      <c r="B1176" t="s">
        <v>444</v>
      </c>
      <c r="C1176" t="s">
        <v>266</v>
      </c>
      <c r="D1176" t="s">
        <v>32</v>
      </c>
      <c r="E1176" t="s">
        <v>267</v>
      </c>
      <c r="F1176">
        <v>21025</v>
      </c>
      <c r="G1176">
        <v>2004</v>
      </c>
      <c r="H1176">
        <v>0</v>
      </c>
      <c r="I1176">
        <v>0</v>
      </c>
      <c r="J1176">
        <v>0</v>
      </c>
      <c r="K1176">
        <v>0</v>
      </c>
      <c r="L1176">
        <v>8652</v>
      </c>
      <c r="M1176">
        <v>104</v>
      </c>
      <c r="N1176">
        <v>0</v>
      </c>
      <c r="O1176">
        <v>0</v>
      </c>
      <c r="P1176">
        <v>0</v>
      </c>
      <c r="Q1176">
        <v>0</v>
      </c>
      <c r="R1176">
        <v>1656</v>
      </c>
      <c r="S1176">
        <v>895</v>
      </c>
      <c r="T1176">
        <v>6068</v>
      </c>
      <c r="U1176">
        <v>3</v>
      </c>
      <c r="V1176">
        <v>0</v>
      </c>
      <c r="W1176">
        <v>3438</v>
      </c>
      <c r="X1176">
        <f>NHS_AE_2024_2025[[#This Row],[A&amp;E attendances Type 1]]+
NHS_AE_2024_2025[[#This Row],[A&amp;E attendances Type 2]]+
NHS_AE_2024_2025[[#This Row],[A&amp;E attendances Other A&amp;E Department]]</f>
        <v>23029</v>
      </c>
      <c r="Y1176">
        <f t="shared" si="36"/>
        <v>8756</v>
      </c>
      <c r="Z1176">
        <f t="shared" si="37"/>
        <v>9509</v>
      </c>
    </row>
    <row r="1177" spans="1:26" x14ac:dyDescent="0.2">
      <c r="A1177" t="s">
        <v>443</v>
      </c>
      <c r="B1177" t="s">
        <v>444</v>
      </c>
      <c r="C1177" t="s">
        <v>268</v>
      </c>
      <c r="D1177" t="s">
        <v>37</v>
      </c>
      <c r="E1177" t="s">
        <v>269</v>
      </c>
      <c r="F1177">
        <v>18284</v>
      </c>
      <c r="G1177">
        <v>0</v>
      </c>
      <c r="H1177">
        <v>2293</v>
      </c>
      <c r="I1177">
        <v>719</v>
      </c>
      <c r="J1177">
        <v>0</v>
      </c>
      <c r="K1177">
        <v>169</v>
      </c>
      <c r="L1177">
        <v>3577</v>
      </c>
      <c r="M1177">
        <v>0</v>
      </c>
      <c r="N1177">
        <v>36</v>
      </c>
      <c r="O1177">
        <v>90</v>
      </c>
      <c r="P1177">
        <v>0</v>
      </c>
      <c r="Q1177">
        <v>0</v>
      </c>
      <c r="R1177">
        <v>1088</v>
      </c>
      <c r="S1177">
        <v>35</v>
      </c>
      <c r="T1177">
        <v>5094</v>
      </c>
      <c r="U1177">
        <v>0</v>
      </c>
      <c r="V1177">
        <v>0</v>
      </c>
      <c r="W1177">
        <v>916</v>
      </c>
      <c r="X1177">
        <f>NHS_AE_2024_2025[[#This Row],[A&amp;E attendances Type 1]]+
NHS_AE_2024_2025[[#This Row],[A&amp;E attendances Type 2]]+
NHS_AE_2024_2025[[#This Row],[A&amp;E attendances Other A&amp;E Department]]</f>
        <v>20577</v>
      </c>
      <c r="Y1177">
        <f t="shared" si="36"/>
        <v>3613</v>
      </c>
      <c r="Z1177">
        <f t="shared" si="37"/>
        <v>6010</v>
      </c>
    </row>
    <row r="1178" spans="1:26" x14ac:dyDescent="0.2">
      <c r="A1178" t="s">
        <v>443</v>
      </c>
      <c r="B1178" t="s">
        <v>444</v>
      </c>
      <c r="C1178" t="s">
        <v>346</v>
      </c>
      <c r="D1178" t="s">
        <v>70</v>
      </c>
      <c r="E1178" t="s">
        <v>347</v>
      </c>
      <c r="F1178">
        <v>9438</v>
      </c>
      <c r="G1178">
        <v>0</v>
      </c>
      <c r="H1178">
        <v>7188</v>
      </c>
      <c r="I1178">
        <v>0</v>
      </c>
      <c r="J1178">
        <v>0</v>
      </c>
      <c r="K1178">
        <v>0</v>
      </c>
      <c r="L1178">
        <v>4975</v>
      </c>
      <c r="M1178">
        <v>0</v>
      </c>
      <c r="N1178">
        <v>57</v>
      </c>
      <c r="O1178">
        <v>0</v>
      </c>
      <c r="P1178">
        <v>0</v>
      </c>
      <c r="Q1178">
        <v>0</v>
      </c>
      <c r="R1178">
        <v>165</v>
      </c>
      <c r="S1178">
        <v>10</v>
      </c>
      <c r="T1178">
        <v>3255</v>
      </c>
      <c r="U1178">
        <v>0</v>
      </c>
      <c r="V1178">
        <v>102</v>
      </c>
      <c r="W1178">
        <v>301</v>
      </c>
      <c r="X1178">
        <f>NHS_AE_2024_2025[[#This Row],[A&amp;E attendances Type 1]]+
NHS_AE_2024_2025[[#This Row],[A&amp;E attendances Type 2]]+
NHS_AE_2024_2025[[#This Row],[A&amp;E attendances Other A&amp;E Department]]</f>
        <v>16626</v>
      </c>
      <c r="Y1178">
        <f t="shared" si="36"/>
        <v>5032</v>
      </c>
      <c r="Z1178">
        <f t="shared" si="37"/>
        <v>3658</v>
      </c>
    </row>
    <row r="1179" spans="1:26" x14ac:dyDescent="0.2">
      <c r="A1179" t="s">
        <v>443</v>
      </c>
      <c r="B1179" t="s">
        <v>444</v>
      </c>
      <c r="C1179" t="s">
        <v>348</v>
      </c>
      <c r="D1179" t="s">
        <v>55</v>
      </c>
      <c r="E1179" t="s">
        <v>349</v>
      </c>
      <c r="F1179">
        <v>8420</v>
      </c>
      <c r="G1179">
        <v>0</v>
      </c>
      <c r="H1179">
        <v>1103</v>
      </c>
      <c r="I1179">
        <v>145</v>
      </c>
      <c r="J1179">
        <v>0</v>
      </c>
      <c r="K1179">
        <v>31</v>
      </c>
      <c r="L1179">
        <v>3579</v>
      </c>
      <c r="M1179">
        <v>0</v>
      </c>
      <c r="N1179">
        <v>40</v>
      </c>
      <c r="O1179">
        <v>63</v>
      </c>
      <c r="P1179">
        <v>0</v>
      </c>
      <c r="Q1179">
        <v>2</v>
      </c>
      <c r="R1179">
        <v>828</v>
      </c>
      <c r="S1179">
        <v>260</v>
      </c>
      <c r="T1179">
        <v>2675</v>
      </c>
      <c r="U1179">
        <v>0</v>
      </c>
      <c r="V1179">
        <v>78</v>
      </c>
      <c r="W1179">
        <v>730</v>
      </c>
      <c r="X1179">
        <f>NHS_AE_2024_2025[[#This Row],[A&amp;E attendances Type 1]]+
NHS_AE_2024_2025[[#This Row],[A&amp;E attendances Type 2]]+
NHS_AE_2024_2025[[#This Row],[A&amp;E attendances Other A&amp;E Department]]</f>
        <v>9523</v>
      </c>
      <c r="Y1179">
        <f t="shared" si="36"/>
        <v>3619</v>
      </c>
      <c r="Z1179">
        <f t="shared" si="37"/>
        <v>3483</v>
      </c>
    </row>
    <row r="1180" spans="1:26" x14ac:dyDescent="0.2">
      <c r="A1180" t="s">
        <v>443</v>
      </c>
      <c r="B1180" t="s">
        <v>444</v>
      </c>
      <c r="C1180" t="s">
        <v>398</v>
      </c>
      <c r="D1180" t="s">
        <v>55</v>
      </c>
      <c r="E1180" t="s">
        <v>399</v>
      </c>
      <c r="F1180">
        <v>7920</v>
      </c>
      <c r="G1180">
        <v>0</v>
      </c>
      <c r="H1180">
        <v>2631</v>
      </c>
      <c r="I1180">
        <v>15</v>
      </c>
      <c r="J1180">
        <v>0</v>
      </c>
      <c r="K1180">
        <v>153</v>
      </c>
      <c r="L1180">
        <v>4540</v>
      </c>
      <c r="M1180">
        <v>0</v>
      </c>
      <c r="N1180">
        <v>4</v>
      </c>
      <c r="O1180">
        <v>8</v>
      </c>
      <c r="P1180">
        <v>0</v>
      </c>
      <c r="Q1180">
        <v>0</v>
      </c>
      <c r="R1180">
        <v>611</v>
      </c>
      <c r="S1180">
        <v>648</v>
      </c>
      <c r="T1180">
        <v>2067</v>
      </c>
      <c r="U1180">
        <v>0</v>
      </c>
      <c r="V1180">
        <v>0</v>
      </c>
      <c r="W1180">
        <v>1824</v>
      </c>
      <c r="X1180">
        <f>NHS_AE_2024_2025[[#This Row],[A&amp;E attendances Type 1]]+
NHS_AE_2024_2025[[#This Row],[A&amp;E attendances Type 2]]+
NHS_AE_2024_2025[[#This Row],[A&amp;E attendances Other A&amp;E Department]]</f>
        <v>10551</v>
      </c>
      <c r="Y1180">
        <f t="shared" si="36"/>
        <v>4544</v>
      </c>
      <c r="Z1180">
        <f t="shared" si="37"/>
        <v>3891</v>
      </c>
    </row>
    <row r="1181" spans="1:26" x14ac:dyDescent="0.2">
      <c r="A1181" t="s">
        <v>443</v>
      </c>
      <c r="B1181" t="s">
        <v>444</v>
      </c>
      <c r="C1181" t="s">
        <v>380</v>
      </c>
      <c r="D1181" t="s">
        <v>55</v>
      </c>
      <c r="E1181" t="s">
        <v>381</v>
      </c>
      <c r="F1181">
        <v>17086</v>
      </c>
      <c r="G1181">
        <v>0</v>
      </c>
      <c r="H1181">
        <v>7411</v>
      </c>
      <c r="I1181">
        <v>434</v>
      </c>
      <c r="J1181">
        <v>0</v>
      </c>
      <c r="K1181">
        <v>0</v>
      </c>
      <c r="L1181">
        <v>6076</v>
      </c>
      <c r="M1181">
        <v>0</v>
      </c>
      <c r="N1181">
        <v>213</v>
      </c>
      <c r="O1181">
        <v>74</v>
      </c>
      <c r="P1181">
        <v>0</v>
      </c>
      <c r="Q1181">
        <v>0</v>
      </c>
      <c r="R1181">
        <v>660</v>
      </c>
      <c r="S1181">
        <v>385</v>
      </c>
      <c r="T1181">
        <v>7272</v>
      </c>
      <c r="U1181">
        <v>0</v>
      </c>
      <c r="V1181">
        <v>0</v>
      </c>
      <c r="W1181">
        <v>623</v>
      </c>
      <c r="X1181">
        <f>NHS_AE_2024_2025[[#This Row],[A&amp;E attendances Type 1]]+
NHS_AE_2024_2025[[#This Row],[A&amp;E attendances Type 2]]+
NHS_AE_2024_2025[[#This Row],[A&amp;E attendances Other A&amp;E Department]]</f>
        <v>24497</v>
      </c>
      <c r="Y1181">
        <f t="shared" si="36"/>
        <v>6289</v>
      </c>
      <c r="Z1181">
        <f t="shared" si="37"/>
        <v>7895</v>
      </c>
    </row>
    <row r="1182" spans="1:26" x14ac:dyDescent="0.2">
      <c r="A1182" t="s">
        <v>443</v>
      </c>
      <c r="B1182" t="s">
        <v>444</v>
      </c>
      <c r="C1182" t="s">
        <v>300</v>
      </c>
      <c r="D1182" t="s">
        <v>37</v>
      </c>
      <c r="E1182" t="s">
        <v>301</v>
      </c>
      <c r="F1182">
        <v>11913</v>
      </c>
      <c r="G1182">
        <v>1320</v>
      </c>
      <c r="H1182">
        <v>0</v>
      </c>
      <c r="I1182">
        <v>138</v>
      </c>
      <c r="J1182">
        <v>0</v>
      </c>
      <c r="K1182">
        <v>0</v>
      </c>
      <c r="L1182">
        <v>3503</v>
      </c>
      <c r="M1182">
        <v>98</v>
      </c>
      <c r="N1182">
        <v>0</v>
      </c>
      <c r="O1182">
        <v>42</v>
      </c>
      <c r="P1182">
        <v>0</v>
      </c>
      <c r="Q1182">
        <v>0</v>
      </c>
      <c r="R1182">
        <v>198</v>
      </c>
      <c r="S1182">
        <v>7</v>
      </c>
      <c r="T1182">
        <v>3782</v>
      </c>
      <c r="U1182">
        <v>5</v>
      </c>
      <c r="V1182">
        <v>0</v>
      </c>
      <c r="W1182">
        <v>1569</v>
      </c>
      <c r="X1182">
        <f>NHS_AE_2024_2025[[#This Row],[A&amp;E attendances Type 1]]+
NHS_AE_2024_2025[[#This Row],[A&amp;E attendances Type 2]]+
NHS_AE_2024_2025[[#This Row],[A&amp;E attendances Other A&amp;E Department]]</f>
        <v>13233</v>
      </c>
      <c r="Y1182">
        <f t="shared" si="36"/>
        <v>3601</v>
      </c>
      <c r="Z1182">
        <f t="shared" si="37"/>
        <v>5356</v>
      </c>
    </row>
    <row r="1183" spans="1:26" x14ac:dyDescent="0.2">
      <c r="A1183" t="s">
        <v>443</v>
      </c>
      <c r="B1183" t="s">
        <v>444</v>
      </c>
      <c r="C1183" t="s">
        <v>420</v>
      </c>
      <c r="D1183" t="s">
        <v>37</v>
      </c>
      <c r="E1183" t="s">
        <v>421</v>
      </c>
      <c r="F1183">
        <v>10175</v>
      </c>
      <c r="G1183">
        <v>800</v>
      </c>
      <c r="H1183">
        <v>3179</v>
      </c>
      <c r="I1183">
        <v>1276</v>
      </c>
      <c r="J1183">
        <v>0</v>
      </c>
      <c r="K1183">
        <v>738</v>
      </c>
      <c r="L1183">
        <v>4790</v>
      </c>
      <c r="M1183">
        <v>8</v>
      </c>
      <c r="N1183">
        <v>31</v>
      </c>
      <c r="O1183">
        <v>648</v>
      </c>
      <c r="P1183">
        <v>0</v>
      </c>
      <c r="Q1183">
        <v>11</v>
      </c>
      <c r="R1183">
        <v>1544</v>
      </c>
      <c r="S1183">
        <v>36</v>
      </c>
      <c r="T1183">
        <v>3554</v>
      </c>
      <c r="U1183">
        <v>0</v>
      </c>
      <c r="V1183">
        <v>0</v>
      </c>
      <c r="W1183">
        <v>2488</v>
      </c>
      <c r="X1183">
        <f>NHS_AE_2024_2025[[#This Row],[A&amp;E attendances Type 1]]+
NHS_AE_2024_2025[[#This Row],[A&amp;E attendances Type 2]]+
NHS_AE_2024_2025[[#This Row],[A&amp;E attendances Other A&amp;E Department]]</f>
        <v>14154</v>
      </c>
      <c r="Y1183">
        <f t="shared" si="36"/>
        <v>4829</v>
      </c>
      <c r="Z1183">
        <f t="shared" si="37"/>
        <v>6042</v>
      </c>
    </row>
    <row r="1184" spans="1:26" x14ac:dyDescent="0.2">
      <c r="A1184" t="s">
        <v>443</v>
      </c>
      <c r="B1184" t="s">
        <v>444</v>
      </c>
      <c r="C1184" t="s">
        <v>370</v>
      </c>
      <c r="D1184" t="s">
        <v>29</v>
      </c>
      <c r="E1184" t="s">
        <v>371</v>
      </c>
      <c r="F1184">
        <v>14381</v>
      </c>
      <c r="G1184">
        <v>0</v>
      </c>
      <c r="H1184">
        <v>10887</v>
      </c>
      <c r="I1184">
        <v>0</v>
      </c>
      <c r="J1184">
        <v>0</v>
      </c>
      <c r="K1184">
        <v>0</v>
      </c>
      <c r="L1184">
        <v>6683</v>
      </c>
      <c r="M1184">
        <v>0</v>
      </c>
      <c r="N1184">
        <v>1293</v>
      </c>
      <c r="O1184">
        <v>0</v>
      </c>
      <c r="P1184">
        <v>0</v>
      </c>
      <c r="Q1184">
        <v>0</v>
      </c>
      <c r="R1184">
        <v>1024</v>
      </c>
      <c r="S1184">
        <v>522</v>
      </c>
      <c r="T1184">
        <v>4045</v>
      </c>
      <c r="U1184">
        <v>0</v>
      </c>
      <c r="V1184">
        <v>0</v>
      </c>
      <c r="W1184">
        <v>1456</v>
      </c>
      <c r="X1184">
        <f>NHS_AE_2024_2025[[#This Row],[A&amp;E attendances Type 1]]+
NHS_AE_2024_2025[[#This Row],[A&amp;E attendances Type 2]]+
NHS_AE_2024_2025[[#This Row],[A&amp;E attendances Other A&amp;E Department]]</f>
        <v>25268</v>
      </c>
      <c r="Y1184">
        <f t="shared" si="36"/>
        <v>7976</v>
      </c>
      <c r="Z1184">
        <f t="shared" si="37"/>
        <v>5501</v>
      </c>
    </row>
    <row r="1185" spans="1:26" x14ac:dyDescent="0.2">
      <c r="A1185" t="s">
        <v>443</v>
      </c>
      <c r="B1185" t="s">
        <v>444</v>
      </c>
      <c r="C1185" t="s">
        <v>250</v>
      </c>
      <c r="D1185" t="s">
        <v>32</v>
      </c>
      <c r="E1185" t="s">
        <v>251</v>
      </c>
      <c r="F1185">
        <v>11291</v>
      </c>
      <c r="G1185">
        <v>0</v>
      </c>
      <c r="H1185">
        <v>5697</v>
      </c>
      <c r="I1185">
        <v>315</v>
      </c>
      <c r="J1185">
        <v>0</v>
      </c>
      <c r="K1185">
        <v>133</v>
      </c>
      <c r="L1185">
        <v>4559</v>
      </c>
      <c r="M1185">
        <v>0</v>
      </c>
      <c r="N1185">
        <v>224</v>
      </c>
      <c r="O1185">
        <v>152</v>
      </c>
      <c r="P1185">
        <v>0</v>
      </c>
      <c r="Q1185">
        <v>3</v>
      </c>
      <c r="R1185">
        <v>639</v>
      </c>
      <c r="S1185">
        <v>148</v>
      </c>
      <c r="T1185">
        <v>3769</v>
      </c>
      <c r="U1185">
        <v>0</v>
      </c>
      <c r="V1185">
        <v>0</v>
      </c>
      <c r="W1185">
        <v>277</v>
      </c>
      <c r="X1185">
        <f>NHS_AE_2024_2025[[#This Row],[A&amp;E attendances Type 1]]+
NHS_AE_2024_2025[[#This Row],[A&amp;E attendances Type 2]]+
NHS_AE_2024_2025[[#This Row],[A&amp;E attendances Other A&amp;E Department]]</f>
        <v>16988</v>
      </c>
      <c r="Y1185">
        <f t="shared" si="36"/>
        <v>4783</v>
      </c>
      <c r="Z1185">
        <f t="shared" si="37"/>
        <v>4046</v>
      </c>
    </row>
    <row r="1186" spans="1:26" x14ac:dyDescent="0.2">
      <c r="A1186" t="s">
        <v>443</v>
      </c>
      <c r="B1186" t="s">
        <v>444</v>
      </c>
      <c r="C1186" t="s">
        <v>316</v>
      </c>
      <c r="D1186" t="s">
        <v>70</v>
      </c>
      <c r="E1186" t="s">
        <v>317</v>
      </c>
      <c r="F1186">
        <v>12293</v>
      </c>
      <c r="G1186">
        <v>0</v>
      </c>
      <c r="H1186">
        <v>8747</v>
      </c>
      <c r="I1186">
        <v>2</v>
      </c>
      <c r="J1186">
        <v>0</v>
      </c>
      <c r="K1186">
        <v>0</v>
      </c>
      <c r="L1186">
        <v>3569</v>
      </c>
      <c r="M1186">
        <v>0</v>
      </c>
      <c r="N1186">
        <v>7</v>
      </c>
      <c r="O1186">
        <v>0</v>
      </c>
      <c r="P1186">
        <v>0</v>
      </c>
      <c r="Q1186">
        <v>0</v>
      </c>
      <c r="R1186">
        <v>763</v>
      </c>
      <c r="S1186">
        <v>118</v>
      </c>
      <c r="T1186">
        <v>2599</v>
      </c>
      <c r="U1186">
        <v>0</v>
      </c>
      <c r="V1186">
        <v>0</v>
      </c>
      <c r="W1186">
        <v>1603</v>
      </c>
      <c r="X1186">
        <f>NHS_AE_2024_2025[[#This Row],[A&amp;E attendances Type 1]]+
NHS_AE_2024_2025[[#This Row],[A&amp;E attendances Type 2]]+
NHS_AE_2024_2025[[#This Row],[A&amp;E attendances Other A&amp;E Department]]</f>
        <v>21040</v>
      </c>
      <c r="Y1186">
        <f t="shared" si="36"/>
        <v>3576</v>
      </c>
      <c r="Z1186">
        <f t="shared" si="37"/>
        <v>4202</v>
      </c>
    </row>
    <row r="1187" spans="1:26" x14ac:dyDescent="0.2">
      <c r="A1187" t="s">
        <v>443</v>
      </c>
      <c r="B1187" t="s">
        <v>444</v>
      </c>
      <c r="C1187" t="s">
        <v>252</v>
      </c>
      <c r="D1187" t="s">
        <v>37</v>
      </c>
      <c r="E1187" t="s">
        <v>253</v>
      </c>
      <c r="F1187">
        <v>12578</v>
      </c>
      <c r="G1187">
        <v>149</v>
      </c>
      <c r="H1187">
        <v>625</v>
      </c>
      <c r="I1187">
        <v>0</v>
      </c>
      <c r="J1187">
        <v>0</v>
      </c>
      <c r="K1187">
        <v>92</v>
      </c>
      <c r="L1187">
        <v>4915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460</v>
      </c>
      <c r="S1187">
        <v>17</v>
      </c>
      <c r="T1187">
        <v>4311</v>
      </c>
      <c r="U1187">
        <v>14</v>
      </c>
      <c r="V1187">
        <v>29</v>
      </c>
      <c r="W1187">
        <v>1220</v>
      </c>
      <c r="X1187">
        <f>NHS_AE_2024_2025[[#This Row],[A&amp;E attendances Type 1]]+
NHS_AE_2024_2025[[#This Row],[A&amp;E attendances Type 2]]+
NHS_AE_2024_2025[[#This Row],[A&amp;E attendances Other A&amp;E Department]]</f>
        <v>13352</v>
      </c>
      <c r="Y1187">
        <f t="shared" si="36"/>
        <v>4915</v>
      </c>
      <c r="Z1187">
        <f t="shared" si="37"/>
        <v>5574</v>
      </c>
    </row>
    <row r="1188" spans="1:26" x14ac:dyDescent="0.2">
      <c r="A1188" t="s">
        <v>443</v>
      </c>
      <c r="B1188" t="s">
        <v>444</v>
      </c>
      <c r="C1188" t="s">
        <v>340</v>
      </c>
      <c r="D1188" t="s">
        <v>29</v>
      </c>
      <c r="E1188" t="s">
        <v>341</v>
      </c>
      <c r="F1188">
        <v>11361</v>
      </c>
      <c r="G1188">
        <v>338</v>
      </c>
      <c r="H1188">
        <v>1519</v>
      </c>
      <c r="I1188">
        <v>332</v>
      </c>
      <c r="J1188">
        <v>0</v>
      </c>
      <c r="K1188">
        <v>14</v>
      </c>
      <c r="L1188">
        <v>3150</v>
      </c>
      <c r="M1188">
        <v>0</v>
      </c>
      <c r="N1188">
        <v>89</v>
      </c>
      <c r="O1188">
        <v>49</v>
      </c>
      <c r="P1188">
        <v>0</v>
      </c>
      <c r="Q1188">
        <v>1</v>
      </c>
      <c r="R1188">
        <v>340</v>
      </c>
      <c r="S1188">
        <v>640</v>
      </c>
      <c r="T1188">
        <v>1929</v>
      </c>
      <c r="U1188">
        <v>4</v>
      </c>
      <c r="V1188">
        <v>0</v>
      </c>
      <c r="W1188">
        <v>146</v>
      </c>
      <c r="X1188">
        <f>NHS_AE_2024_2025[[#This Row],[A&amp;E attendances Type 1]]+
NHS_AE_2024_2025[[#This Row],[A&amp;E attendances Type 2]]+
NHS_AE_2024_2025[[#This Row],[A&amp;E attendances Other A&amp;E Department]]</f>
        <v>13218</v>
      </c>
      <c r="Y1188">
        <f t="shared" si="36"/>
        <v>3239</v>
      </c>
      <c r="Z1188">
        <f t="shared" si="37"/>
        <v>2079</v>
      </c>
    </row>
    <row r="1189" spans="1:26" x14ac:dyDescent="0.2">
      <c r="A1189" t="s">
        <v>443</v>
      </c>
      <c r="B1189" t="s">
        <v>444</v>
      </c>
      <c r="C1189" t="s">
        <v>378</v>
      </c>
      <c r="D1189" t="s">
        <v>37</v>
      </c>
      <c r="E1189" t="s">
        <v>379</v>
      </c>
      <c r="F1189">
        <v>0</v>
      </c>
      <c r="G1189">
        <v>0</v>
      </c>
      <c r="H1189">
        <v>1626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20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45</v>
      </c>
      <c r="W1189">
        <v>0</v>
      </c>
      <c r="X1189">
        <f>NHS_AE_2024_2025[[#This Row],[A&amp;E attendances Type 1]]+
NHS_AE_2024_2025[[#This Row],[A&amp;E attendances Type 2]]+
NHS_AE_2024_2025[[#This Row],[A&amp;E attendances Other A&amp;E Department]]</f>
        <v>1626</v>
      </c>
      <c r="Y1189">
        <f t="shared" si="36"/>
        <v>20</v>
      </c>
      <c r="Z1189">
        <f t="shared" si="37"/>
        <v>45</v>
      </c>
    </row>
    <row r="1190" spans="1:26" x14ac:dyDescent="0.2">
      <c r="A1190" t="s">
        <v>443</v>
      </c>
      <c r="B1190" t="s">
        <v>444</v>
      </c>
      <c r="C1190" t="s">
        <v>358</v>
      </c>
      <c r="D1190" t="s">
        <v>29</v>
      </c>
      <c r="E1190" t="s">
        <v>359</v>
      </c>
      <c r="F1190">
        <v>11938</v>
      </c>
      <c r="G1190">
        <v>3868</v>
      </c>
      <c r="H1190">
        <v>7689</v>
      </c>
      <c r="I1190">
        <v>0</v>
      </c>
      <c r="J1190">
        <v>0</v>
      </c>
      <c r="K1190">
        <v>429</v>
      </c>
      <c r="L1190">
        <v>4784</v>
      </c>
      <c r="M1190">
        <v>33</v>
      </c>
      <c r="N1190">
        <v>464</v>
      </c>
      <c r="O1190">
        <v>0</v>
      </c>
      <c r="P1190">
        <v>0</v>
      </c>
      <c r="Q1190">
        <v>0</v>
      </c>
      <c r="R1190">
        <v>580</v>
      </c>
      <c r="S1190">
        <v>130</v>
      </c>
      <c r="T1190">
        <v>4198</v>
      </c>
      <c r="U1190">
        <v>0</v>
      </c>
      <c r="V1190">
        <v>0</v>
      </c>
      <c r="W1190">
        <v>1135</v>
      </c>
      <c r="X1190">
        <f>NHS_AE_2024_2025[[#This Row],[A&amp;E attendances Type 1]]+
NHS_AE_2024_2025[[#This Row],[A&amp;E attendances Type 2]]+
NHS_AE_2024_2025[[#This Row],[A&amp;E attendances Other A&amp;E Department]]</f>
        <v>23495</v>
      </c>
      <c r="Y1190">
        <f t="shared" si="36"/>
        <v>5281</v>
      </c>
      <c r="Z1190">
        <f t="shared" si="37"/>
        <v>5333</v>
      </c>
    </row>
    <row r="1191" spans="1:26" x14ac:dyDescent="0.2">
      <c r="A1191" t="s">
        <v>443</v>
      </c>
      <c r="B1191" t="s">
        <v>444</v>
      </c>
      <c r="C1191" t="s">
        <v>324</v>
      </c>
      <c r="D1191" t="s">
        <v>37</v>
      </c>
      <c r="E1191" t="s">
        <v>325</v>
      </c>
      <c r="F1191">
        <v>9054</v>
      </c>
      <c r="G1191">
        <v>0</v>
      </c>
      <c r="H1191">
        <v>6977</v>
      </c>
      <c r="I1191">
        <v>415</v>
      </c>
      <c r="J1191">
        <v>0</v>
      </c>
      <c r="K1191">
        <v>1092</v>
      </c>
      <c r="L1191">
        <v>2902</v>
      </c>
      <c r="M1191">
        <v>0</v>
      </c>
      <c r="N1191">
        <v>753</v>
      </c>
      <c r="O1191">
        <v>83</v>
      </c>
      <c r="P1191">
        <v>0</v>
      </c>
      <c r="Q1191">
        <v>0</v>
      </c>
      <c r="R1191">
        <v>405</v>
      </c>
      <c r="S1191">
        <v>661</v>
      </c>
      <c r="T1191">
        <v>1808</v>
      </c>
      <c r="U1191">
        <v>0</v>
      </c>
      <c r="V1191">
        <v>0</v>
      </c>
      <c r="W1191">
        <v>589</v>
      </c>
      <c r="X1191">
        <f>NHS_AE_2024_2025[[#This Row],[A&amp;E attendances Type 1]]+
NHS_AE_2024_2025[[#This Row],[A&amp;E attendances Type 2]]+
NHS_AE_2024_2025[[#This Row],[A&amp;E attendances Other A&amp;E Department]]</f>
        <v>16031</v>
      </c>
      <c r="Y1191">
        <f t="shared" si="36"/>
        <v>3655</v>
      </c>
      <c r="Z1191">
        <f t="shared" si="37"/>
        <v>2397</v>
      </c>
    </row>
    <row r="1192" spans="1:26" x14ac:dyDescent="0.2">
      <c r="A1192" t="s">
        <v>443</v>
      </c>
      <c r="B1192" t="s">
        <v>444</v>
      </c>
      <c r="C1192" t="s">
        <v>34</v>
      </c>
      <c r="D1192" t="s">
        <v>29</v>
      </c>
      <c r="E1192" t="s">
        <v>35</v>
      </c>
      <c r="F1192">
        <v>0</v>
      </c>
      <c r="G1192">
        <v>0</v>
      </c>
      <c r="H1192">
        <v>3777</v>
      </c>
      <c r="I1192">
        <v>0</v>
      </c>
      <c r="J1192">
        <v>0</v>
      </c>
      <c r="K1192">
        <v>207</v>
      </c>
      <c r="L1192">
        <v>0</v>
      </c>
      <c r="M1192">
        <v>0</v>
      </c>
      <c r="N1192">
        <v>36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f>NHS_AE_2024_2025[[#This Row],[A&amp;E attendances Type 1]]+
NHS_AE_2024_2025[[#This Row],[A&amp;E attendances Type 2]]+
NHS_AE_2024_2025[[#This Row],[A&amp;E attendances Other A&amp;E Department]]</f>
        <v>3777</v>
      </c>
      <c r="Y1192">
        <f t="shared" si="36"/>
        <v>36</v>
      </c>
      <c r="Z1192">
        <f t="shared" si="37"/>
        <v>0</v>
      </c>
    </row>
    <row r="1193" spans="1:26" x14ac:dyDescent="0.2">
      <c r="A1193" t="s">
        <v>443</v>
      </c>
      <c r="B1193" t="s">
        <v>444</v>
      </c>
      <c r="C1193" t="s">
        <v>408</v>
      </c>
      <c r="D1193" t="s">
        <v>50</v>
      </c>
      <c r="E1193" t="s">
        <v>409</v>
      </c>
      <c r="F1193">
        <v>9141</v>
      </c>
      <c r="G1193">
        <v>0</v>
      </c>
      <c r="H1193">
        <v>6548</v>
      </c>
      <c r="I1193">
        <v>0</v>
      </c>
      <c r="J1193">
        <v>0</v>
      </c>
      <c r="K1193">
        <v>446</v>
      </c>
      <c r="L1193">
        <v>4715</v>
      </c>
      <c r="M1193">
        <v>0</v>
      </c>
      <c r="N1193">
        <v>47</v>
      </c>
      <c r="O1193">
        <v>0</v>
      </c>
      <c r="P1193">
        <v>0</v>
      </c>
      <c r="Q1193">
        <v>1</v>
      </c>
      <c r="R1193">
        <v>667</v>
      </c>
      <c r="S1193">
        <v>953</v>
      </c>
      <c r="T1193">
        <v>4960</v>
      </c>
      <c r="U1193">
        <v>0</v>
      </c>
      <c r="V1193">
        <v>0</v>
      </c>
      <c r="W1193">
        <v>398</v>
      </c>
      <c r="X1193">
        <f>NHS_AE_2024_2025[[#This Row],[A&amp;E attendances Type 1]]+
NHS_AE_2024_2025[[#This Row],[A&amp;E attendances Type 2]]+
NHS_AE_2024_2025[[#This Row],[A&amp;E attendances Other A&amp;E Department]]</f>
        <v>15689</v>
      </c>
      <c r="Y1193">
        <f t="shared" si="36"/>
        <v>4762</v>
      </c>
      <c r="Z1193">
        <f t="shared" si="37"/>
        <v>5358</v>
      </c>
    </row>
    <row r="1194" spans="1:26" x14ac:dyDescent="0.2">
      <c r="A1194" t="s">
        <v>443</v>
      </c>
      <c r="B1194" t="s">
        <v>445</v>
      </c>
      <c r="C1194" t="s">
        <v>445</v>
      </c>
      <c r="D1194" t="s">
        <v>445</v>
      </c>
      <c r="E1194" t="s">
        <v>445</v>
      </c>
      <c r="F1194">
        <v>1399224</v>
      </c>
      <c r="G1194">
        <v>50788</v>
      </c>
      <c r="H1194">
        <v>801318</v>
      </c>
      <c r="I1194">
        <v>26345</v>
      </c>
      <c r="J1194">
        <v>711</v>
      </c>
      <c r="K1194">
        <v>46446</v>
      </c>
      <c r="L1194">
        <v>543499</v>
      </c>
      <c r="M1194">
        <v>1799</v>
      </c>
      <c r="N1194">
        <v>22927</v>
      </c>
      <c r="O1194">
        <v>7401</v>
      </c>
      <c r="P1194">
        <v>25</v>
      </c>
      <c r="Q1194">
        <v>510</v>
      </c>
      <c r="R1194">
        <v>92524</v>
      </c>
      <c r="S1194">
        <v>36806</v>
      </c>
      <c r="T1194">
        <v>405655</v>
      </c>
      <c r="U1194">
        <v>1479</v>
      </c>
      <c r="V1194">
        <v>4648</v>
      </c>
      <c r="W1194">
        <v>140686</v>
      </c>
      <c r="X1194">
        <f>NHS_AE_2024_2025[[#This Row],[A&amp;E attendances Type 1]]+
NHS_AE_2024_2025[[#This Row],[A&amp;E attendances Type 2]]+
NHS_AE_2024_2025[[#This Row],[A&amp;E attendances Other A&amp;E Department]]</f>
        <v>2251330</v>
      </c>
      <c r="Y1194">
        <f t="shared" si="36"/>
        <v>568225</v>
      </c>
      <c r="Z1194">
        <f t="shared" si="37"/>
        <v>552468</v>
      </c>
    </row>
    <row r="1195" spans="1:26" x14ac:dyDescent="0.2">
      <c r="A1195" t="s">
        <v>446</v>
      </c>
      <c r="B1195" t="s">
        <v>447</v>
      </c>
      <c r="C1195" t="s">
        <v>220</v>
      </c>
      <c r="D1195" t="s">
        <v>50</v>
      </c>
      <c r="E1195" t="s">
        <v>221</v>
      </c>
      <c r="F1195">
        <v>0</v>
      </c>
      <c r="G1195">
        <v>0</v>
      </c>
      <c r="H1195">
        <v>365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f>NHS_AE_2024_2025[[#This Row],[A&amp;E attendances Type 1]]+
NHS_AE_2024_2025[[#This Row],[A&amp;E attendances Type 2]]+
NHS_AE_2024_2025[[#This Row],[A&amp;E attendances Other A&amp;E Department]]</f>
        <v>365</v>
      </c>
      <c r="Y1195">
        <f t="shared" si="36"/>
        <v>0</v>
      </c>
      <c r="Z1195">
        <f t="shared" si="37"/>
        <v>0</v>
      </c>
    </row>
    <row r="1196" spans="1:26" x14ac:dyDescent="0.2">
      <c r="A1196" t="s">
        <v>446</v>
      </c>
      <c r="B1196" t="s">
        <v>447</v>
      </c>
      <c r="C1196" t="s">
        <v>94</v>
      </c>
      <c r="D1196" t="s">
        <v>32</v>
      </c>
      <c r="E1196" t="s">
        <v>95</v>
      </c>
      <c r="F1196">
        <v>0</v>
      </c>
      <c r="G1196">
        <v>0</v>
      </c>
      <c r="H1196">
        <v>323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f>NHS_AE_2024_2025[[#This Row],[A&amp;E attendances Type 1]]+
NHS_AE_2024_2025[[#This Row],[A&amp;E attendances Type 2]]+
NHS_AE_2024_2025[[#This Row],[A&amp;E attendances Other A&amp;E Department]]</f>
        <v>323</v>
      </c>
      <c r="Y1196">
        <f t="shared" si="36"/>
        <v>0</v>
      </c>
      <c r="Z1196">
        <f t="shared" si="37"/>
        <v>0</v>
      </c>
    </row>
    <row r="1197" spans="1:26" x14ac:dyDescent="0.2">
      <c r="A1197" t="s">
        <v>446</v>
      </c>
      <c r="B1197" t="s">
        <v>447</v>
      </c>
      <c r="C1197" t="s">
        <v>39</v>
      </c>
      <c r="D1197" t="s">
        <v>26</v>
      </c>
      <c r="E1197" t="s">
        <v>40</v>
      </c>
      <c r="F1197">
        <v>0</v>
      </c>
      <c r="G1197">
        <v>0</v>
      </c>
      <c r="H1197">
        <v>117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f>NHS_AE_2024_2025[[#This Row],[A&amp;E attendances Type 1]]+
NHS_AE_2024_2025[[#This Row],[A&amp;E attendances Type 2]]+
NHS_AE_2024_2025[[#This Row],[A&amp;E attendances Other A&amp;E Department]]</f>
        <v>117</v>
      </c>
      <c r="Y1197">
        <f t="shared" si="36"/>
        <v>0</v>
      </c>
      <c r="Z1197">
        <f t="shared" si="37"/>
        <v>0</v>
      </c>
    </row>
    <row r="1198" spans="1:26" x14ac:dyDescent="0.2">
      <c r="A1198" t="s">
        <v>446</v>
      </c>
      <c r="B1198" t="s">
        <v>447</v>
      </c>
      <c r="C1198" t="s">
        <v>72</v>
      </c>
      <c r="D1198" t="s">
        <v>55</v>
      </c>
      <c r="E1198" t="s">
        <v>73</v>
      </c>
      <c r="F1198">
        <v>0</v>
      </c>
      <c r="G1198">
        <v>0</v>
      </c>
      <c r="H1198">
        <v>1793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14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f>NHS_AE_2024_2025[[#This Row],[A&amp;E attendances Type 1]]+
NHS_AE_2024_2025[[#This Row],[A&amp;E attendances Type 2]]+
NHS_AE_2024_2025[[#This Row],[A&amp;E attendances Other A&amp;E Department]]</f>
        <v>1793</v>
      </c>
      <c r="Y1198">
        <f t="shared" si="36"/>
        <v>14</v>
      </c>
      <c r="Z1198">
        <f t="shared" si="37"/>
        <v>0</v>
      </c>
    </row>
    <row r="1199" spans="1:26" x14ac:dyDescent="0.2">
      <c r="A1199" t="s">
        <v>446</v>
      </c>
      <c r="B1199" t="s">
        <v>447</v>
      </c>
      <c r="C1199" t="s">
        <v>74</v>
      </c>
      <c r="D1199" t="s">
        <v>26</v>
      </c>
      <c r="E1199" t="s">
        <v>75</v>
      </c>
      <c r="F1199">
        <v>0</v>
      </c>
      <c r="G1199">
        <v>0</v>
      </c>
      <c r="H1199">
        <v>1007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5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f>NHS_AE_2024_2025[[#This Row],[A&amp;E attendances Type 1]]+
NHS_AE_2024_2025[[#This Row],[A&amp;E attendances Type 2]]+
NHS_AE_2024_2025[[#This Row],[A&amp;E attendances Other A&amp;E Department]]</f>
        <v>1007</v>
      </c>
      <c r="Y1199">
        <f t="shared" si="36"/>
        <v>5</v>
      </c>
      <c r="Z1199">
        <f t="shared" si="37"/>
        <v>0</v>
      </c>
    </row>
    <row r="1200" spans="1:26" x14ac:dyDescent="0.2">
      <c r="A1200" t="s">
        <v>446</v>
      </c>
      <c r="B1200" t="s">
        <v>447</v>
      </c>
      <c r="C1200" t="s">
        <v>78</v>
      </c>
      <c r="D1200" t="s">
        <v>37</v>
      </c>
      <c r="E1200" t="s">
        <v>79</v>
      </c>
      <c r="F1200">
        <v>0</v>
      </c>
      <c r="G1200">
        <v>0</v>
      </c>
      <c r="H1200">
        <v>2397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42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f>NHS_AE_2024_2025[[#This Row],[A&amp;E attendances Type 1]]+
NHS_AE_2024_2025[[#This Row],[A&amp;E attendances Type 2]]+
NHS_AE_2024_2025[[#This Row],[A&amp;E attendances Other A&amp;E Department]]</f>
        <v>2397</v>
      </c>
      <c r="Y1200">
        <f t="shared" si="36"/>
        <v>42</v>
      </c>
      <c r="Z1200">
        <f t="shared" si="37"/>
        <v>0</v>
      </c>
    </row>
    <row r="1201" spans="1:26" x14ac:dyDescent="0.2">
      <c r="A1201" t="s">
        <v>446</v>
      </c>
      <c r="B1201" t="s">
        <v>447</v>
      </c>
      <c r="C1201" t="s">
        <v>80</v>
      </c>
      <c r="D1201" t="s">
        <v>37</v>
      </c>
      <c r="E1201" t="s">
        <v>81</v>
      </c>
      <c r="F1201">
        <v>0</v>
      </c>
      <c r="G1201">
        <v>0</v>
      </c>
      <c r="H1201">
        <v>2346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130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f>NHS_AE_2024_2025[[#This Row],[A&amp;E attendances Type 1]]+
NHS_AE_2024_2025[[#This Row],[A&amp;E attendances Type 2]]+
NHS_AE_2024_2025[[#This Row],[A&amp;E attendances Other A&amp;E Department]]</f>
        <v>2346</v>
      </c>
      <c r="Y1201">
        <f t="shared" si="36"/>
        <v>130</v>
      </c>
      <c r="Z1201">
        <f t="shared" si="37"/>
        <v>0</v>
      </c>
    </row>
    <row r="1202" spans="1:26" x14ac:dyDescent="0.2">
      <c r="A1202" t="s">
        <v>446</v>
      </c>
      <c r="B1202" t="s">
        <v>447</v>
      </c>
      <c r="C1202" t="s">
        <v>28</v>
      </c>
      <c r="D1202" t="s">
        <v>29</v>
      </c>
      <c r="E1202" t="s">
        <v>30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38</v>
      </c>
      <c r="X1202">
        <f>NHS_AE_2024_2025[[#This Row],[A&amp;E attendances Type 1]]+
NHS_AE_2024_2025[[#This Row],[A&amp;E attendances Type 2]]+
NHS_AE_2024_2025[[#This Row],[A&amp;E attendances Other A&amp;E Department]]</f>
        <v>0</v>
      </c>
      <c r="Y1202">
        <f t="shared" si="36"/>
        <v>0</v>
      </c>
      <c r="Z1202">
        <f t="shared" si="37"/>
        <v>38</v>
      </c>
    </row>
    <row r="1203" spans="1:26" x14ac:dyDescent="0.2">
      <c r="A1203" t="s">
        <v>446</v>
      </c>
      <c r="B1203" t="s">
        <v>447</v>
      </c>
      <c r="C1203" t="s">
        <v>310</v>
      </c>
      <c r="D1203" t="s">
        <v>26</v>
      </c>
      <c r="E1203" t="s">
        <v>311</v>
      </c>
      <c r="F1203">
        <v>9105</v>
      </c>
      <c r="G1203">
        <v>140</v>
      </c>
      <c r="H1203">
        <v>5370</v>
      </c>
      <c r="I1203">
        <v>0</v>
      </c>
      <c r="J1203">
        <v>0</v>
      </c>
      <c r="K1203">
        <v>0</v>
      </c>
      <c r="L1203">
        <v>5050</v>
      </c>
      <c r="M1203">
        <v>0</v>
      </c>
      <c r="N1203">
        <v>205</v>
      </c>
      <c r="O1203">
        <v>0</v>
      </c>
      <c r="P1203">
        <v>0</v>
      </c>
      <c r="Q1203">
        <v>0</v>
      </c>
      <c r="R1203">
        <v>661</v>
      </c>
      <c r="S1203">
        <v>487</v>
      </c>
      <c r="T1203">
        <v>2737</v>
      </c>
      <c r="U1203">
        <v>0</v>
      </c>
      <c r="V1203">
        <v>0</v>
      </c>
      <c r="W1203">
        <v>1161</v>
      </c>
      <c r="X1203">
        <f>NHS_AE_2024_2025[[#This Row],[A&amp;E attendances Type 1]]+
NHS_AE_2024_2025[[#This Row],[A&amp;E attendances Type 2]]+
NHS_AE_2024_2025[[#This Row],[A&amp;E attendances Other A&amp;E Department]]</f>
        <v>14615</v>
      </c>
      <c r="Y1203">
        <f t="shared" si="36"/>
        <v>5255</v>
      </c>
      <c r="Z1203">
        <f t="shared" si="37"/>
        <v>3898</v>
      </c>
    </row>
    <row r="1204" spans="1:26" x14ac:dyDescent="0.2">
      <c r="A1204" t="s">
        <v>446</v>
      </c>
      <c r="B1204" t="s">
        <v>447</v>
      </c>
      <c r="C1204" t="s">
        <v>124</v>
      </c>
      <c r="D1204" t="s">
        <v>37</v>
      </c>
      <c r="E1204" t="s">
        <v>125</v>
      </c>
      <c r="F1204">
        <v>0</v>
      </c>
      <c r="G1204">
        <v>0</v>
      </c>
      <c r="H1204">
        <v>2968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38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2</v>
      </c>
      <c r="W1204">
        <v>130</v>
      </c>
      <c r="X1204">
        <f>NHS_AE_2024_2025[[#This Row],[A&amp;E attendances Type 1]]+
NHS_AE_2024_2025[[#This Row],[A&amp;E attendances Type 2]]+
NHS_AE_2024_2025[[#This Row],[A&amp;E attendances Other A&amp;E Department]]</f>
        <v>2968</v>
      </c>
      <c r="Y1204">
        <f t="shared" si="36"/>
        <v>38</v>
      </c>
      <c r="Z1204">
        <f t="shared" si="37"/>
        <v>132</v>
      </c>
    </row>
    <row r="1205" spans="1:26" x14ac:dyDescent="0.2">
      <c r="A1205" t="s">
        <v>446</v>
      </c>
      <c r="B1205" t="s">
        <v>447</v>
      </c>
      <c r="C1205" t="s">
        <v>49</v>
      </c>
      <c r="D1205" t="s">
        <v>50</v>
      </c>
      <c r="E1205" t="s">
        <v>51</v>
      </c>
      <c r="F1205">
        <v>15680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5159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1085</v>
      </c>
      <c r="S1205">
        <v>1</v>
      </c>
      <c r="T1205">
        <v>2879</v>
      </c>
      <c r="U1205">
        <v>0</v>
      </c>
      <c r="V1205">
        <v>0</v>
      </c>
      <c r="W1205">
        <v>283</v>
      </c>
      <c r="X1205">
        <f>NHS_AE_2024_2025[[#This Row],[A&amp;E attendances Type 1]]+
NHS_AE_2024_2025[[#This Row],[A&amp;E attendances Type 2]]+
NHS_AE_2024_2025[[#This Row],[A&amp;E attendances Other A&amp;E Department]]</f>
        <v>15680</v>
      </c>
      <c r="Y1205">
        <f t="shared" si="36"/>
        <v>5159</v>
      </c>
      <c r="Z1205">
        <f t="shared" si="37"/>
        <v>3162</v>
      </c>
    </row>
    <row r="1206" spans="1:26" x14ac:dyDescent="0.2">
      <c r="A1206" t="s">
        <v>446</v>
      </c>
      <c r="B1206" t="s">
        <v>447</v>
      </c>
      <c r="C1206" t="s">
        <v>59</v>
      </c>
      <c r="D1206" t="s">
        <v>37</v>
      </c>
      <c r="E1206" t="s">
        <v>60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f>NHS_AE_2024_2025[[#This Row],[A&amp;E attendances Type 1]]+
NHS_AE_2024_2025[[#This Row],[A&amp;E attendances Type 2]]+
NHS_AE_2024_2025[[#This Row],[A&amp;E attendances Other A&amp;E Department]]</f>
        <v>0</v>
      </c>
      <c r="Y1206">
        <f t="shared" si="36"/>
        <v>0</v>
      </c>
      <c r="Z1206">
        <f t="shared" si="37"/>
        <v>0</v>
      </c>
    </row>
    <row r="1207" spans="1:26" x14ac:dyDescent="0.2">
      <c r="A1207" t="s">
        <v>446</v>
      </c>
      <c r="B1207" t="s">
        <v>447</v>
      </c>
      <c r="C1207" t="s">
        <v>63</v>
      </c>
      <c r="D1207" t="s">
        <v>32</v>
      </c>
      <c r="E1207" t="s">
        <v>64</v>
      </c>
      <c r="F1207">
        <v>0</v>
      </c>
      <c r="G1207">
        <v>0</v>
      </c>
      <c r="H1207">
        <v>6500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f>NHS_AE_2024_2025[[#This Row],[A&amp;E attendances Type 1]]+
NHS_AE_2024_2025[[#This Row],[A&amp;E attendances Type 2]]+
NHS_AE_2024_2025[[#This Row],[A&amp;E attendances Other A&amp;E Department]]</f>
        <v>6500</v>
      </c>
      <c r="Y1207">
        <f t="shared" si="36"/>
        <v>0</v>
      </c>
      <c r="Z1207">
        <f t="shared" si="37"/>
        <v>0</v>
      </c>
    </row>
    <row r="1208" spans="1:26" x14ac:dyDescent="0.2">
      <c r="A1208" t="s">
        <v>446</v>
      </c>
      <c r="B1208" t="s">
        <v>447</v>
      </c>
      <c r="C1208" t="s">
        <v>106</v>
      </c>
      <c r="D1208" t="s">
        <v>37</v>
      </c>
      <c r="E1208" t="s">
        <v>107</v>
      </c>
      <c r="F1208">
        <v>0</v>
      </c>
      <c r="G1208">
        <v>0</v>
      </c>
      <c r="H1208">
        <v>1745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f>NHS_AE_2024_2025[[#This Row],[A&amp;E attendances Type 1]]+
NHS_AE_2024_2025[[#This Row],[A&amp;E attendances Type 2]]+
NHS_AE_2024_2025[[#This Row],[A&amp;E attendances Other A&amp;E Department]]</f>
        <v>1745</v>
      </c>
      <c r="Y1208">
        <f t="shared" si="36"/>
        <v>0</v>
      </c>
      <c r="Z1208">
        <f t="shared" si="37"/>
        <v>0</v>
      </c>
    </row>
    <row r="1209" spans="1:26" x14ac:dyDescent="0.2">
      <c r="A1209" t="s">
        <v>446</v>
      </c>
      <c r="B1209" t="s">
        <v>447</v>
      </c>
      <c r="C1209" t="s">
        <v>108</v>
      </c>
      <c r="D1209" t="s">
        <v>37</v>
      </c>
      <c r="E1209" t="s">
        <v>109</v>
      </c>
      <c r="F1209">
        <v>0</v>
      </c>
      <c r="G1209">
        <v>0</v>
      </c>
      <c r="H1209">
        <v>2150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f>NHS_AE_2024_2025[[#This Row],[A&amp;E attendances Type 1]]+
NHS_AE_2024_2025[[#This Row],[A&amp;E attendances Type 2]]+
NHS_AE_2024_2025[[#This Row],[A&amp;E attendances Other A&amp;E Department]]</f>
        <v>2150</v>
      </c>
      <c r="Y1209">
        <f t="shared" si="36"/>
        <v>0</v>
      </c>
      <c r="Z1209">
        <f t="shared" si="37"/>
        <v>0</v>
      </c>
    </row>
    <row r="1210" spans="1:26" x14ac:dyDescent="0.2">
      <c r="A1210" t="s">
        <v>446</v>
      </c>
      <c r="B1210" t="s">
        <v>447</v>
      </c>
      <c r="C1210" t="s">
        <v>25</v>
      </c>
      <c r="D1210" t="s">
        <v>26</v>
      </c>
      <c r="E1210" t="s">
        <v>27</v>
      </c>
      <c r="F1210">
        <v>0</v>
      </c>
      <c r="G1210">
        <v>0</v>
      </c>
      <c r="H1210">
        <v>574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f>NHS_AE_2024_2025[[#This Row],[A&amp;E attendances Type 1]]+
NHS_AE_2024_2025[[#This Row],[A&amp;E attendances Type 2]]+
NHS_AE_2024_2025[[#This Row],[A&amp;E attendances Other A&amp;E Department]]</f>
        <v>574</v>
      </c>
      <c r="Y1210">
        <f t="shared" si="36"/>
        <v>0</v>
      </c>
      <c r="Z1210">
        <f t="shared" si="37"/>
        <v>0</v>
      </c>
    </row>
    <row r="1211" spans="1:26" x14ac:dyDescent="0.2">
      <c r="A1211" t="s">
        <v>446</v>
      </c>
      <c r="B1211" t="s">
        <v>447</v>
      </c>
      <c r="C1211" t="s">
        <v>36</v>
      </c>
      <c r="D1211" t="s">
        <v>37</v>
      </c>
      <c r="E1211" t="s">
        <v>38</v>
      </c>
      <c r="F1211">
        <v>0</v>
      </c>
      <c r="G1211">
        <v>0</v>
      </c>
      <c r="H1211">
        <v>2997</v>
      </c>
      <c r="I1211">
        <v>0</v>
      </c>
      <c r="J1211">
        <v>0</v>
      </c>
      <c r="K1211">
        <v>9</v>
      </c>
      <c r="L1211">
        <v>0</v>
      </c>
      <c r="M1211">
        <v>0</v>
      </c>
      <c r="N1211">
        <v>29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f>NHS_AE_2024_2025[[#This Row],[A&amp;E attendances Type 1]]+
NHS_AE_2024_2025[[#This Row],[A&amp;E attendances Type 2]]+
NHS_AE_2024_2025[[#This Row],[A&amp;E attendances Other A&amp;E Department]]</f>
        <v>2997</v>
      </c>
      <c r="Y1211">
        <f t="shared" si="36"/>
        <v>29</v>
      </c>
      <c r="Z1211">
        <f t="shared" si="37"/>
        <v>0</v>
      </c>
    </row>
    <row r="1212" spans="1:26" x14ac:dyDescent="0.2">
      <c r="A1212" t="s">
        <v>446</v>
      </c>
      <c r="B1212" t="s">
        <v>447</v>
      </c>
      <c r="C1212" t="s">
        <v>222</v>
      </c>
      <c r="D1212" t="s">
        <v>32</v>
      </c>
      <c r="E1212" t="s">
        <v>223</v>
      </c>
      <c r="F1212">
        <v>0</v>
      </c>
      <c r="G1212">
        <v>0</v>
      </c>
      <c r="H1212">
        <v>3791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f>NHS_AE_2024_2025[[#This Row],[A&amp;E attendances Type 1]]+
NHS_AE_2024_2025[[#This Row],[A&amp;E attendances Type 2]]+
NHS_AE_2024_2025[[#This Row],[A&amp;E attendances Other A&amp;E Department]]</f>
        <v>3791</v>
      </c>
      <c r="Y1212">
        <f t="shared" si="36"/>
        <v>0</v>
      </c>
      <c r="Z1212">
        <f t="shared" si="37"/>
        <v>0</v>
      </c>
    </row>
    <row r="1213" spans="1:26" x14ac:dyDescent="0.2">
      <c r="A1213" t="s">
        <v>446</v>
      </c>
      <c r="B1213" t="s">
        <v>447</v>
      </c>
      <c r="C1213" t="s">
        <v>41</v>
      </c>
      <c r="D1213" t="s">
        <v>32</v>
      </c>
      <c r="E1213" t="s">
        <v>42</v>
      </c>
      <c r="F1213">
        <v>0</v>
      </c>
      <c r="G1213">
        <v>0</v>
      </c>
      <c r="H1213">
        <v>3303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f>NHS_AE_2024_2025[[#This Row],[A&amp;E attendances Type 1]]+
NHS_AE_2024_2025[[#This Row],[A&amp;E attendances Type 2]]+
NHS_AE_2024_2025[[#This Row],[A&amp;E attendances Other A&amp;E Department]]</f>
        <v>3303</v>
      </c>
      <c r="Y1213">
        <f t="shared" si="36"/>
        <v>0</v>
      </c>
      <c r="Z1213">
        <f t="shared" si="37"/>
        <v>0</v>
      </c>
    </row>
    <row r="1214" spans="1:26" x14ac:dyDescent="0.2">
      <c r="A1214" t="s">
        <v>446</v>
      </c>
      <c r="B1214" t="s">
        <v>447</v>
      </c>
      <c r="C1214" t="s">
        <v>43</v>
      </c>
      <c r="D1214" t="s">
        <v>26</v>
      </c>
      <c r="E1214" t="s">
        <v>44</v>
      </c>
      <c r="F1214">
        <v>6512</v>
      </c>
      <c r="G1214">
        <v>0</v>
      </c>
      <c r="H1214">
        <v>3501</v>
      </c>
      <c r="I1214">
        <v>391</v>
      </c>
      <c r="J1214">
        <v>0</v>
      </c>
      <c r="K1214">
        <v>156</v>
      </c>
      <c r="L1214">
        <v>2938</v>
      </c>
      <c r="M1214">
        <v>0</v>
      </c>
      <c r="N1214">
        <v>14</v>
      </c>
      <c r="O1214">
        <v>159</v>
      </c>
      <c r="P1214">
        <v>0</v>
      </c>
      <c r="Q1214">
        <v>0</v>
      </c>
      <c r="R1214">
        <v>361</v>
      </c>
      <c r="S1214">
        <v>76</v>
      </c>
      <c r="T1214">
        <v>2037</v>
      </c>
      <c r="U1214">
        <v>0</v>
      </c>
      <c r="V1214">
        <v>0</v>
      </c>
      <c r="W1214">
        <v>1054</v>
      </c>
      <c r="X1214">
        <f>NHS_AE_2024_2025[[#This Row],[A&amp;E attendances Type 1]]+
NHS_AE_2024_2025[[#This Row],[A&amp;E attendances Type 2]]+
NHS_AE_2024_2025[[#This Row],[A&amp;E attendances Other A&amp;E Department]]</f>
        <v>10013</v>
      </c>
      <c r="Y1214">
        <f t="shared" si="36"/>
        <v>2952</v>
      </c>
      <c r="Z1214">
        <f t="shared" si="37"/>
        <v>3091</v>
      </c>
    </row>
    <row r="1215" spans="1:26" x14ac:dyDescent="0.2">
      <c r="A1215" t="s">
        <v>446</v>
      </c>
      <c r="B1215" t="s">
        <v>447</v>
      </c>
      <c r="C1215" t="s">
        <v>45</v>
      </c>
      <c r="D1215" t="s">
        <v>26</v>
      </c>
      <c r="E1215" t="s">
        <v>46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3</v>
      </c>
      <c r="X1215">
        <f>NHS_AE_2024_2025[[#This Row],[A&amp;E attendances Type 1]]+
NHS_AE_2024_2025[[#This Row],[A&amp;E attendances Type 2]]+
NHS_AE_2024_2025[[#This Row],[A&amp;E attendances Other A&amp;E Department]]</f>
        <v>0</v>
      </c>
      <c r="Y1215">
        <f t="shared" si="36"/>
        <v>0</v>
      </c>
      <c r="Z1215">
        <f t="shared" si="37"/>
        <v>3</v>
      </c>
    </row>
    <row r="1216" spans="1:26" x14ac:dyDescent="0.2">
      <c r="A1216" t="s">
        <v>446</v>
      </c>
      <c r="B1216" t="s">
        <v>447</v>
      </c>
      <c r="C1216" t="s">
        <v>47</v>
      </c>
      <c r="D1216" t="s">
        <v>26</v>
      </c>
      <c r="E1216" t="s">
        <v>48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10</v>
      </c>
      <c r="W1216">
        <v>61</v>
      </c>
      <c r="X1216">
        <f>NHS_AE_2024_2025[[#This Row],[A&amp;E attendances Type 1]]+
NHS_AE_2024_2025[[#This Row],[A&amp;E attendances Type 2]]+
NHS_AE_2024_2025[[#This Row],[A&amp;E attendances Other A&amp;E Department]]</f>
        <v>0</v>
      </c>
      <c r="Y1216">
        <f t="shared" si="36"/>
        <v>0</v>
      </c>
      <c r="Z1216">
        <f t="shared" si="37"/>
        <v>71</v>
      </c>
    </row>
    <row r="1217" spans="1:26" x14ac:dyDescent="0.2">
      <c r="A1217" t="s">
        <v>446</v>
      </c>
      <c r="B1217" t="s">
        <v>447</v>
      </c>
      <c r="C1217" t="s">
        <v>256</v>
      </c>
      <c r="D1217" t="s">
        <v>37</v>
      </c>
      <c r="E1217" t="s">
        <v>257</v>
      </c>
      <c r="F1217">
        <v>0</v>
      </c>
      <c r="G1217">
        <v>0</v>
      </c>
      <c r="H1217">
        <v>4266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463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f>NHS_AE_2024_2025[[#This Row],[A&amp;E attendances Type 1]]+
NHS_AE_2024_2025[[#This Row],[A&amp;E attendances Type 2]]+
NHS_AE_2024_2025[[#This Row],[A&amp;E attendances Other A&amp;E Department]]</f>
        <v>4266</v>
      </c>
      <c r="Y1217">
        <f t="shared" si="36"/>
        <v>463</v>
      </c>
      <c r="Z1217">
        <f t="shared" si="37"/>
        <v>0</v>
      </c>
    </row>
    <row r="1218" spans="1:26" x14ac:dyDescent="0.2">
      <c r="A1218" t="s">
        <v>446</v>
      </c>
      <c r="B1218" t="s">
        <v>447</v>
      </c>
      <c r="C1218" t="s">
        <v>86</v>
      </c>
      <c r="D1218" t="s">
        <v>37</v>
      </c>
      <c r="E1218" t="s">
        <v>87</v>
      </c>
      <c r="F1218">
        <v>0</v>
      </c>
      <c r="G1218">
        <v>0</v>
      </c>
      <c r="H1218">
        <v>1480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18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7</v>
      </c>
      <c r="W1218">
        <v>607</v>
      </c>
      <c r="X1218">
        <f>NHS_AE_2024_2025[[#This Row],[A&amp;E attendances Type 1]]+
NHS_AE_2024_2025[[#This Row],[A&amp;E attendances Type 2]]+
NHS_AE_2024_2025[[#This Row],[A&amp;E attendances Other A&amp;E Department]]</f>
        <v>1480</v>
      </c>
      <c r="Y1218">
        <f t="shared" ref="Y1218:Y1281" si="38">L1218+M1218+N1218</f>
        <v>18</v>
      </c>
      <c r="Z1218">
        <f t="shared" ref="Z1218:Z1281" si="39">T1218+U1218+V1218+W1218</f>
        <v>614</v>
      </c>
    </row>
    <row r="1219" spans="1:26" x14ac:dyDescent="0.2">
      <c r="A1219" t="s">
        <v>446</v>
      </c>
      <c r="B1219" t="s">
        <v>447</v>
      </c>
      <c r="C1219" t="s">
        <v>164</v>
      </c>
      <c r="D1219" t="s">
        <v>37</v>
      </c>
      <c r="E1219" t="s">
        <v>165</v>
      </c>
      <c r="F1219">
        <v>10487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3114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640</v>
      </c>
      <c r="S1219">
        <v>445</v>
      </c>
      <c r="T1219">
        <v>3275</v>
      </c>
      <c r="U1219">
        <v>0</v>
      </c>
      <c r="V1219">
        <v>0</v>
      </c>
      <c r="W1219">
        <v>877</v>
      </c>
      <c r="X1219">
        <f>NHS_AE_2024_2025[[#This Row],[A&amp;E attendances Type 1]]+
NHS_AE_2024_2025[[#This Row],[A&amp;E attendances Type 2]]+
NHS_AE_2024_2025[[#This Row],[A&amp;E attendances Other A&amp;E Department]]</f>
        <v>10487</v>
      </c>
      <c r="Y1219">
        <f t="shared" si="38"/>
        <v>3114</v>
      </c>
      <c r="Z1219">
        <f t="shared" si="39"/>
        <v>4152</v>
      </c>
    </row>
    <row r="1220" spans="1:26" x14ac:dyDescent="0.2">
      <c r="A1220" t="s">
        <v>446</v>
      </c>
      <c r="B1220" t="s">
        <v>447</v>
      </c>
      <c r="C1220" t="s">
        <v>52</v>
      </c>
      <c r="D1220" t="s">
        <v>37</v>
      </c>
      <c r="E1220" t="s">
        <v>53</v>
      </c>
      <c r="F1220">
        <v>10035</v>
      </c>
      <c r="G1220">
        <v>1168</v>
      </c>
      <c r="H1220">
        <v>3671</v>
      </c>
      <c r="I1220">
        <v>0</v>
      </c>
      <c r="J1220">
        <v>0</v>
      </c>
      <c r="K1220">
        <v>0</v>
      </c>
      <c r="L1220">
        <v>3629</v>
      </c>
      <c r="M1220">
        <v>0</v>
      </c>
      <c r="N1220">
        <v>165</v>
      </c>
      <c r="O1220">
        <v>0</v>
      </c>
      <c r="P1220">
        <v>0</v>
      </c>
      <c r="Q1220">
        <v>0</v>
      </c>
      <c r="R1220">
        <v>303</v>
      </c>
      <c r="S1220">
        <v>231</v>
      </c>
      <c r="T1220">
        <v>3859</v>
      </c>
      <c r="U1220">
        <v>833</v>
      </c>
      <c r="V1220">
        <v>0</v>
      </c>
      <c r="W1220">
        <v>1659</v>
      </c>
      <c r="X1220">
        <f>NHS_AE_2024_2025[[#This Row],[A&amp;E attendances Type 1]]+
NHS_AE_2024_2025[[#This Row],[A&amp;E attendances Type 2]]+
NHS_AE_2024_2025[[#This Row],[A&amp;E attendances Other A&amp;E Department]]</f>
        <v>14874</v>
      </c>
      <c r="Y1220">
        <f t="shared" si="38"/>
        <v>3794</v>
      </c>
      <c r="Z1220">
        <f t="shared" si="39"/>
        <v>6351</v>
      </c>
    </row>
    <row r="1221" spans="1:26" x14ac:dyDescent="0.2">
      <c r="A1221" t="s">
        <v>446</v>
      </c>
      <c r="B1221" t="s">
        <v>447</v>
      </c>
      <c r="C1221" t="s">
        <v>54</v>
      </c>
      <c r="D1221" t="s">
        <v>55</v>
      </c>
      <c r="E1221" t="s">
        <v>56</v>
      </c>
      <c r="F1221">
        <v>0</v>
      </c>
      <c r="G1221">
        <v>0</v>
      </c>
      <c r="H1221">
        <v>4533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124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f>NHS_AE_2024_2025[[#This Row],[A&amp;E attendances Type 1]]+
NHS_AE_2024_2025[[#This Row],[A&amp;E attendances Type 2]]+
NHS_AE_2024_2025[[#This Row],[A&amp;E attendances Other A&amp;E Department]]</f>
        <v>4533</v>
      </c>
      <c r="Y1221">
        <f t="shared" si="38"/>
        <v>124</v>
      </c>
      <c r="Z1221">
        <f t="shared" si="39"/>
        <v>0</v>
      </c>
    </row>
    <row r="1222" spans="1:26" x14ac:dyDescent="0.2">
      <c r="A1222" t="s">
        <v>446</v>
      </c>
      <c r="B1222" t="s">
        <v>447</v>
      </c>
      <c r="C1222" t="s">
        <v>90</v>
      </c>
      <c r="D1222" t="s">
        <v>29</v>
      </c>
      <c r="E1222" t="s">
        <v>91</v>
      </c>
      <c r="F1222">
        <v>0</v>
      </c>
      <c r="G1222">
        <v>0</v>
      </c>
      <c r="H1222">
        <v>7619</v>
      </c>
      <c r="I1222">
        <v>0</v>
      </c>
      <c r="J1222">
        <v>0</v>
      </c>
      <c r="K1222">
        <v>599</v>
      </c>
      <c r="L1222">
        <v>0</v>
      </c>
      <c r="M1222">
        <v>0</v>
      </c>
      <c r="N1222">
        <v>209</v>
      </c>
      <c r="O1222">
        <v>0</v>
      </c>
      <c r="P1222">
        <v>0</v>
      </c>
      <c r="Q1222">
        <v>7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f>NHS_AE_2024_2025[[#This Row],[A&amp;E attendances Type 1]]+
NHS_AE_2024_2025[[#This Row],[A&amp;E attendances Type 2]]+
NHS_AE_2024_2025[[#This Row],[A&amp;E attendances Other A&amp;E Department]]</f>
        <v>7619</v>
      </c>
      <c r="Y1222">
        <f t="shared" si="38"/>
        <v>209</v>
      </c>
      <c r="Z1222">
        <f t="shared" si="39"/>
        <v>0</v>
      </c>
    </row>
    <row r="1223" spans="1:26" x14ac:dyDescent="0.2">
      <c r="A1223" t="s">
        <v>446</v>
      </c>
      <c r="B1223" t="s">
        <v>447</v>
      </c>
      <c r="C1223" t="s">
        <v>31</v>
      </c>
      <c r="D1223" t="s">
        <v>32</v>
      </c>
      <c r="E1223" t="s">
        <v>33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2062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f>NHS_AE_2024_2025[[#This Row],[A&amp;E attendances Type 1]]+
NHS_AE_2024_2025[[#This Row],[A&amp;E attendances Type 2]]+
NHS_AE_2024_2025[[#This Row],[A&amp;E attendances Other A&amp;E Department]]</f>
        <v>0</v>
      </c>
      <c r="Y1223">
        <f t="shared" si="38"/>
        <v>0</v>
      </c>
      <c r="Z1223">
        <f t="shared" si="39"/>
        <v>0</v>
      </c>
    </row>
    <row r="1224" spans="1:26" x14ac:dyDescent="0.2">
      <c r="A1224" t="s">
        <v>446</v>
      </c>
      <c r="B1224" t="s">
        <v>447</v>
      </c>
      <c r="C1224" t="s">
        <v>360</v>
      </c>
      <c r="D1224" t="s">
        <v>50</v>
      </c>
      <c r="E1224" t="s">
        <v>361</v>
      </c>
      <c r="F1224">
        <v>0</v>
      </c>
      <c r="G1224">
        <v>0</v>
      </c>
      <c r="H1224">
        <v>2220</v>
      </c>
      <c r="I1224">
        <v>0</v>
      </c>
      <c r="J1224">
        <v>0</v>
      </c>
      <c r="K1224">
        <v>263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f>NHS_AE_2024_2025[[#This Row],[A&amp;E attendances Type 1]]+
NHS_AE_2024_2025[[#This Row],[A&amp;E attendances Type 2]]+
NHS_AE_2024_2025[[#This Row],[A&amp;E attendances Other A&amp;E Department]]</f>
        <v>2220</v>
      </c>
      <c r="Y1224">
        <f t="shared" si="38"/>
        <v>0</v>
      </c>
      <c r="Z1224">
        <f t="shared" si="39"/>
        <v>0</v>
      </c>
    </row>
    <row r="1225" spans="1:26" x14ac:dyDescent="0.2">
      <c r="A1225" t="s">
        <v>446</v>
      </c>
      <c r="B1225" t="s">
        <v>447</v>
      </c>
      <c r="C1225" t="s">
        <v>69</v>
      </c>
      <c r="D1225" t="s">
        <v>70</v>
      </c>
      <c r="E1225" t="s">
        <v>71</v>
      </c>
      <c r="F1225">
        <v>0</v>
      </c>
      <c r="G1225">
        <v>0</v>
      </c>
      <c r="H1225">
        <v>2222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195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f>NHS_AE_2024_2025[[#This Row],[A&amp;E attendances Type 1]]+
NHS_AE_2024_2025[[#This Row],[A&amp;E attendances Type 2]]+
NHS_AE_2024_2025[[#This Row],[A&amp;E attendances Other A&amp;E Department]]</f>
        <v>2222</v>
      </c>
      <c r="Y1225">
        <f t="shared" si="38"/>
        <v>195</v>
      </c>
      <c r="Z1225">
        <f t="shared" si="39"/>
        <v>0</v>
      </c>
    </row>
    <row r="1226" spans="1:26" x14ac:dyDescent="0.2">
      <c r="A1226" t="s">
        <v>446</v>
      </c>
      <c r="B1226" t="s">
        <v>447</v>
      </c>
      <c r="C1226" t="s">
        <v>96</v>
      </c>
      <c r="D1226" t="s">
        <v>29</v>
      </c>
      <c r="E1226" t="s">
        <v>97</v>
      </c>
      <c r="F1226">
        <v>0</v>
      </c>
      <c r="G1226">
        <v>0</v>
      </c>
      <c r="H1226">
        <v>2918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28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f>NHS_AE_2024_2025[[#This Row],[A&amp;E attendances Type 1]]+
NHS_AE_2024_2025[[#This Row],[A&amp;E attendances Type 2]]+
NHS_AE_2024_2025[[#This Row],[A&amp;E attendances Other A&amp;E Department]]</f>
        <v>2918</v>
      </c>
      <c r="Y1226">
        <f t="shared" si="38"/>
        <v>28</v>
      </c>
      <c r="Z1226">
        <f t="shared" si="39"/>
        <v>0</v>
      </c>
    </row>
    <row r="1227" spans="1:26" x14ac:dyDescent="0.2">
      <c r="A1227" t="s">
        <v>446</v>
      </c>
      <c r="B1227" t="s">
        <v>447</v>
      </c>
      <c r="C1227" t="s">
        <v>98</v>
      </c>
      <c r="D1227" t="s">
        <v>29</v>
      </c>
      <c r="E1227" t="s">
        <v>99</v>
      </c>
      <c r="F1227">
        <v>0</v>
      </c>
      <c r="G1227">
        <v>0</v>
      </c>
      <c r="H1227">
        <v>2927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44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f>NHS_AE_2024_2025[[#This Row],[A&amp;E attendances Type 1]]+
NHS_AE_2024_2025[[#This Row],[A&amp;E attendances Type 2]]+
NHS_AE_2024_2025[[#This Row],[A&amp;E attendances Other A&amp;E Department]]</f>
        <v>2927</v>
      </c>
      <c r="Y1227">
        <f t="shared" si="38"/>
        <v>44</v>
      </c>
      <c r="Z1227">
        <f t="shared" si="39"/>
        <v>0</v>
      </c>
    </row>
    <row r="1228" spans="1:26" x14ac:dyDescent="0.2">
      <c r="A1228" t="s">
        <v>446</v>
      </c>
      <c r="B1228" t="s">
        <v>447</v>
      </c>
      <c r="C1228" t="s">
        <v>110</v>
      </c>
      <c r="D1228" t="s">
        <v>37</v>
      </c>
      <c r="E1228" t="s">
        <v>111</v>
      </c>
      <c r="F1228">
        <v>0</v>
      </c>
      <c r="G1228">
        <v>0</v>
      </c>
      <c r="H1228">
        <v>991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f>NHS_AE_2024_2025[[#This Row],[A&amp;E attendances Type 1]]+
NHS_AE_2024_2025[[#This Row],[A&amp;E attendances Type 2]]+
NHS_AE_2024_2025[[#This Row],[A&amp;E attendances Other A&amp;E Department]]</f>
        <v>991</v>
      </c>
      <c r="Y1228">
        <f t="shared" si="38"/>
        <v>0</v>
      </c>
      <c r="Z1228">
        <f t="shared" si="39"/>
        <v>0</v>
      </c>
    </row>
    <row r="1229" spans="1:26" x14ac:dyDescent="0.2">
      <c r="A1229" t="s">
        <v>446</v>
      </c>
      <c r="B1229" t="s">
        <v>447</v>
      </c>
      <c r="C1229" t="s">
        <v>84</v>
      </c>
      <c r="D1229" t="s">
        <v>50</v>
      </c>
      <c r="E1229" t="s">
        <v>85</v>
      </c>
      <c r="F1229">
        <v>8780</v>
      </c>
      <c r="G1229">
        <v>0</v>
      </c>
      <c r="H1229">
        <v>0</v>
      </c>
      <c r="I1229">
        <v>397</v>
      </c>
      <c r="J1229">
        <v>0</v>
      </c>
      <c r="K1229">
        <v>0</v>
      </c>
      <c r="L1229">
        <v>2458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357</v>
      </c>
      <c r="S1229">
        <v>0</v>
      </c>
      <c r="T1229">
        <v>2880</v>
      </c>
      <c r="U1229">
        <v>0</v>
      </c>
      <c r="V1229">
        <v>0</v>
      </c>
      <c r="W1229">
        <v>484</v>
      </c>
      <c r="X1229">
        <f>NHS_AE_2024_2025[[#This Row],[A&amp;E attendances Type 1]]+
NHS_AE_2024_2025[[#This Row],[A&amp;E attendances Type 2]]+
NHS_AE_2024_2025[[#This Row],[A&amp;E attendances Other A&amp;E Department]]</f>
        <v>8780</v>
      </c>
      <c r="Y1229">
        <f t="shared" si="38"/>
        <v>2458</v>
      </c>
      <c r="Z1229">
        <f t="shared" si="39"/>
        <v>3364</v>
      </c>
    </row>
    <row r="1230" spans="1:26" x14ac:dyDescent="0.2">
      <c r="A1230" t="s">
        <v>446</v>
      </c>
      <c r="B1230" t="s">
        <v>447</v>
      </c>
      <c r="C1230" t="s">
        <v>154</v>
      </c>
      <c r="D1230" t="s">
        <v>70</v>
      </c>
      <c r="E1230" t="s">
        <v>155</v>
      </c>
      <c r="F1230">
        <v>7323</v>
      </c>
      <c r="G1230">
        <v>0</v>
      </c>
      <c r="H1230">
        <v>1255</v>
      </c>
      <c r="I1230">
        <v>92</v>
      </c>
      <c r="J1230">
        <v>0</v>
      </c>
      <c r="K1230">
        <v>0</v>
      </c>
      <c r="L1230">
        <v>2945</v>
      </c>
      <c r="M1230">
        <v>0</v>
      </c>
      <c r="N1230">
        <v>0</v>
      </c>
      <c r="O1230">
        <v>35</v>
      </c>
      <c r="P1230">
        <v>0</v>
      </c>
      <c r="Q1230">
        <v>0</v>
      </c>
      <c r="R1230">
        <v>561</v>
      </c>
      <c r="S1230">
        <v>226</v>
      </c>
      <c r="T1230">
        <v>1619</v>
      </c>
      <c r="U1230">
        <v>0</v>
      </c>
      <c r="V1230">
        <v>0</v>
      </c>
      <c r="W1230">
        <v>397</v>
      </c>
      <c r="X1230">
        <f>NHS_AE_2024_2025[[#This Row],[A&amp;E attendances Type 1]]+
NHS_AE_2024_2025[[#This Row],[A&amp;E attendances Type 2]]+
NHS_AE_2024_2025[[#This Row],[A&amp;E attendances Other A&amp;E Department]]</f>
        <v>8578</v>
      </c>
      <c r="Y1230">
        <f t="shared" si="38"/>
        <v>2945</v>
      </c>
      <c r="Z1230">
        <f t="shared" si="39"/>
        <v>2016</v>
      </c>
    </row>
    <row r="1231" spans="1:26" x14ac:dyDescent="0.2">
      <c r="A1231" t="s">
        <v>446</v>
      </c>
      <c r="B1231" t="s">
        <v>447</v>
      </c>
      <c r="C1231" t="s">
        <v>258</v>
      </c>
      <c r="D1231" t="s">
        <v>50</v>
      </c>
      <c r="E1231" t="s">
        <v>259</v>
      </c>
      <c r="F1231">
        <v>5684</v>
      </c>
      <c r="G1231">
        <v>0</v>
      </c>
      <c r="H1231">
        <v>3834</v>
      </c>
      <c r="I1231">
        <v>75</v>
      </c>
      <c r="J1231">
        <v>0</v>
      </c>
      <c r="K1231">
        <v>1</v>
      </c>
      <c r="L1231">
        <v>2224</v>
      </c>
      <c r="M1231">
        <v>0</v>
      </c>
      <c r="N1231">
        <v>47</v>
      </c>
      <c r="O1231">
        <v>5</v>
      </c>
      <c r="P1231">
        <v>0</v>
      </c>
      <c r="Q1231">
        <v>0</v>
      </c>
      <c r="R1231">
        <v>752</v>
      </c>
      <c r="S1231">
        <v>0</v>
      </c>
      <c r="T1231">
        <v>1611</v>
      </c>
      <c r="U1231">
        <v>0</v>
      </c>
      <c r="V1231">
        <v>0</v>
      </c>
      <c r="W1231">
        <v>46</v>
      </c>
      <c r="X1231">
        <f>NHS_AE_2024_2025[[#This Row],[A&amp;E attendances Type 1]]+
NHS_AE_2024_2025[[#This Row],[A&amp;E attendances Type 2]]+
NHS_AE_2024_2025[[#This Row],[A&amp;E attendances Other A&amp;E Department]]</f>
        <v>9518</v>
      </c>
      <c r="Y1231">
        <f t="shared" si="38"/>
        <v>2271</v>
      </c>
      <c r="Z1231">
        <f t="shared" si="39"/>
        <v>1657</v>
      </c>
    </row>
    <row r="1232" spans="1:26" x14ac:dyDescent="0.2">
      <c r="A1232" t="s">
        <v>446</v>
      </c>
      <c r="B1232" t="s">
        <v>447</v>
      </c>
      <c r="C1232" t="s">
        <v>65</v>
      </c>
      <c r="D1232" t="s">
        <v>32</v>
      </c>
      <c r="E1232" t="s">
        <v>66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2097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f>NHS_AE_2024_2025[[#This Row],[A&amp;E attendances Type 1]]+
NHS_AE_2024_2025[[#This Row],[A&amp;E attendances Type 2]]+
NHS_AE_2024_2025[[#This Row],[A&amp;E attendances Other A&amp;E Department]]</f>
        <v>0</v>
      </c>
      <c r="Y1232">
        <f t="shared" si="38"/>
        <v>0</v>
      </c>
      <c r="Z1232">
        <f t="shared" si="39"/>
        <v>0</v>
      </c>
    </row>
    <row r="1233" spans="1:26" x14ac:dyDescent="0.2">
      <c r="A1233" t="s">
        <v>446</v>
      </c>
      <c r="B1233" t="s">
        <v>447</v>
      </c>
      <c r="C1233" t="s">
        <v>67</v>
      </c>
      <c r="D1233" t="s">
        <v>29</v>
      </c>
      <c r="E1233" t="s">
        <v>68</v>
      </c>
      <c r="F1233">
        <v>0</v>
      </c>
      <c r="G1233">
        <v>0</v>
      </c>
      <c r="H1233">
        <v>747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f>NHS_AE_2024_2025[[#This Row],[A&amp;E attendances Type 1]]+
NHS_AE_2024_2025[[#This Row],[A&amp;E attendances Type 2]]+
NHS_AE_2024_2025[[#This Row],[A&amp;E attendances Other A&amp;E Department]]</f>
        <v>747</v>
      </c>
      <c r="Y1233">
        <f t="shared" si="38"/>
        <v>0</v>
      </c>
      <c r="Z1233">
        <f t="shared" si="39"/>
        <v>0</v>
      </c>
    </row>
    <row r="1234" spans="1:26" x14ac:dyDescent="0.2">
      <c r="A1234" t="s">
        <v>446</v>
      </c>
      <c r="B1234" t="s">
        <v>447</v>
      </c>
      <c r="C1234" t="s">
        <v>412</v>
      </c>
      <c r="D1234" t="s">
        <v>32</v>
      </c>
      <c r="E1234" t="s">
        <v>413</v>
      </c>
      <c r="F1234">
        <v>0</v>
      </c>
      <c r="G1234">
        <v>0</v>
      </c>
      <c r="H1234">
        <v>491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</v>
      </c>
      <c r="X1234">
        <f>NHS_AE_2024_2025[[#This Row],[A&amp;E attendances Type 1]]+
NHS_AE_2024_2025[[#This Row],[A&amp;E attendances Type 2]]+
NHS_AE_2024_2025[[#This Row],[A&amp;E attendances Other A&amp;E Department]]</f>
        <v>491</v>
      </c>
      <c r="Y1234">
        <f t="shared" si="38"/>
        <v>0</v>
      </c>
      <c r="Z1234">
        <f t="shared" si="39"/>
        <v>4</v>
      </c>
    </row>
    <row r="1235" spans="1:26" x14ac:dyDescent="0.2">
      <c r="A1235" t="s">
        <v>446</v>
      </c>
      <c r="B1235" t="s">
        <v>447</v>
      </c>
      <c r="C1235" t="s">
        <v>100</v>
      </c>
      <c r="D1235" t="s">
        <v>37</v>
      </c>
      <c r="E1235" t="s">
        <v>101</v>
      </c>
      <c r="F1235">
        <v>0</v>
      </c>
      <c r="G1235">
        <v>0</v>
      </c>
      <c r="H1235">
        <v>5196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278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f>NHS_AE_2024_2025[[#This Row],[A&amp;E attendances Type 1]]+
NHS_AE_2024_2025[[#This Row],[A&amp;E attendances Type 2]]+
NHS_AE_2024_2025[[#This Row],[A&amp;E attendances Other A&amp;E Department]]</f>
        <v>5196</v>
      </c>
      <c r="Y1235">
        <f t="shared" si="38"/>
        <v>278</v>
      </c>
      <c r="Z1235">
        <f t="shared" si="39"/>
        <v>0</v>
      </c>
    </row>
    <row r="1236" spans="1:26" x14ac:dyDescent="0.2">
      <c r="A1236" t="s">
        <v>446</v>
      </c>
      <c r="B1236" t="s">
        <v>447</v>
      </c>
      <c r="C1236" t="s">
        <v>82</v>
      </c>
      <c r="D1236" t="s">
        <v>55</v>
      </c>
      <c r="E1236" t="s">
        <v>83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180</v>
      </c>
      <c r="X1236">
        <f>NHS_AE_2024_2025[[#This Row],[A&amp;E attendances Type 1]]+
NHS_AE_2024_2025[[#This Row],[A&amp;E attendances Type 2]]+
NHS_AE_2024_2025[[#This Row],[A&amp;E attendances Other A&amp;E Department]]</f>
        <v>0</v>
      </c>
      <c r="Y1236">
        <f t="shared" si="38"/>
        <v>0</v>
      </c>
      <c r="Z1236">
        <f t="shared" si="39"/>
        <v>180</v>
      </c>
    </row>
    <row r="1237" spans="1:26" x14ac:dyDescent="0.2">
      <c r="A1237" t="s">
        <v>446</v>
      </c>
      <c r="B1237" t="s">
        <v>447</v>
      </c>
      <c r="C1237" t="s">
        <v>104</v>
      </c>
      <c r="D1237" t="s">
        <v>29</v>
      </c>
      <c r="E1237" t="s">
        <v>105</v>
      </c>
      <c r="F1237">
        <v>11192</v>
      </c>
      <c r="G1237">
        <v>0</v>
      </c>
      <c r="H1237">
        <v>0</v>
      </c>
      <c r="I1237">
        <v>14</v>
      </c>
      <c r="J1237">
        <v>0</v>
      </c>
      <c r="K1237">
        <v>0</v>
      </c>
      <c r="L1237">
        <v>2007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151</v>
      </c>
      <c r="S1237">
        <v>20</v>
      </c>
      <c r="T1237">
        <v>1734</v>
      </c>
      <c r="U1237">
        <v>0</v>
      </c>
      <c r="V1237">
        <v>0</v>
      </c>
      <c r="W1237">
        <v>315</v>
      </c>
      <c r="X1237">
        <f>NHS_AE_2024_2025[[#This Row],[A&amp;E attendances Type 1]]+
NHS_AE_2024_2025[[#This Row],[A&amp;E attendances Type 2]]+
NHS_AE_2024_2025[[#This Row],[A&amp;E attendances Other A&amp;E Department]]</f>
        <v>11192</v>
      </c>
      <c r="Y1237">
        <f t="shared" si="38"/>
        <v>2007</v>
      </c>
      <c r="Z1237">
        <f t="shared" si="39"/>
        <v>2049</v>
      </c>
    </row>
    <row r="1238" spans="1:26" x14ac:dyDescent="0.2">
      <c r="A1238" t="s">
        <v>446</v>
      </c>
      <c r="B1238" t="s">
        <v>447</v>
      </c>
      <c r="C1238" t="s">
        <v>116</v>
      </c>
      <c r="D1238" t="s">
        <v>55</v>
      </c>
      <c r="E1238" t="s">
        <v>117</v>
      </c>
      <c r="F1238">
        <v>0</v>
      </c>
      <c r="G1238">
        <v>0</v>
      </c>
      <c r="H1238">
        <v>10278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477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60</v>
      </c>
      <c r="X1238">
        <f>NHS_AE_2024_2025[[#This Row],[A&amp;E attendances Type 1]]+
NHS_AE_2024_2025[[#This Row],[A&amp;E attendances Type 2]]+
NHS_AE_2024_2025[[#This Row],[A&amp;E attendances Other A&amp;E Department]]</f>
        <v>10278</v>
      </c>
      <c r="Y1238">
        <f t="shared" si="38"/>
        <v>477</v>
      </c>
      <c r="Z1238">
        <f t="shared" si="39"/>
        <v>60</v>
      </c>
    </row>
    <row r="1239" spans="1:26" x14ac:dyDescent="0.2">
      <c r="A1239" t="s">
        <v>446</v>
      </c>
      <c r="B1239" t="s">
        <v>447</v>
      </c>
      <c r="C1239" t="s">
        <v>270</v>
      </c>
      <c r="D1239" t="s">
        <v>32</v>
      </c>
      <c r="E1239" t="s">
        <v>271</v>
      </c>
      <c r="F1239">
        <v>14968</v>
      </c>
      <c r="G1239">
        <v>1238</v>
      </c>
      <c r="H1239">
        <v>8923</v>
      </c>
      <c r="I1239">
        <v>938</v>
      </c>
      <c r="J1239">
        <v>0</v>
      </c>
      <c r="K1239">
        <v>0</v>
      </c>
      <c r="L1239">
        <v>7256</v>
      </c>
      <c r="M1239">
        <v>149</v>
      </c>
      <c r="N1239">
        <v>157</v>
      </c>
      <c r="O1239">
        <v>208</v>
      </c>
      <c r="P1239">
        <v>0</v>
      </c>
      <c r="Q1239">
        <v>0</v>
      </c>
      <c r="R1239">
        <v>1523</v>
      </c>
      <c r="S1239">
        <v>719</v>
      </c>
      <c r="T1239">
        <v>2677</v>
      </c>
      <c r="U1239">
        <v>0</v>
      </c>
      <c r="V1239">
        <v>0</v>
      </c>
      <c r="W1239">
        <v>417</v>
      </c>
      <c r="X1239">
        <f>NHS_AE_2024_2025[[#This Row],[A&amp;E attendances Type 1]]+
NHS_AE_2024_2025[[#This Row],[A&amp;E attendances Type 2]]+
NHS_AE_2024_2025[[#This Row],[A&amp;E attendances Other A&amp;E Department]]</f>
        <v>25129</v>
      </c>
      <c r="Y1239">
        <f t="shared" si="38"/>
        <v>7562</v>
      </c>
      <c r="Z1239">
        <f t="shared" si="39"/>
        <v>3094</v>
      </c>
    </row>
    <row r="1240" spans="1:26" x14ac:dyDescent="0.2">
      <c r="A1240" t="s">
        <v>446</v>
      </c>
      <c r="B1240" t="s">
        <v>447</v>
      </c>
      <c r="C1240" t="s">
        <v>180</v>
      </c>
      <c r="D1240" t="s">
        <v>26</v>
      </c>
      <c r="E1240" t="s">
        <v>181</v>
      </c>
      <c r="F1240">
        <v>0</v>
      </c>
      <c r="G1240">
        <v>0</v>
      </c>
      <c r="H1240">
        <v>1737</v>
      </c>
      <c r="I1240">
        <v>0</v>
      </c>
      <c r="J1240">
        <v>0</v>
      </c>
      <c r="K1240">
        <v>6</v>
      </c>
      <c r="L1240">
        <v>0</v>
      </c>
      <c r="M1240">
        <v>0</v>
      </c>
      <c r="N1240">
        <v>155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f>NHS_AE_2024_2025[[#This Row],[A&amp;E attendances Type 1]]+
NHS_AE_2024_2025[[#This Row],[A&amp;E attendances Type 2]]+
NHS_AE_2024_2025[[#This Row],[A&amp;E attendances Other A&amp;E Department]]</f>
        <v>1737</v>
      </c>
      <c r="Y1240">
        <f t="shared" si="38"/>
        <v>155</v>
      </c>
      <c r="Z1240">
        <f t="shared" si="39"/>
        <v>0</v>
      </c>
    </row>
    <row r="1241" spans="1:26" x14ac:dyDescent="0.2">
      <c r="A1241" t="s">
        <v>446</v>
      </c>
      <c r="B1241" t="s">
        <v>447</v>
      </c>
      <c r="C1241" t="s">
        <v>34</v>
      </c>
      <c r="D1241" t="s">
        <v>29</v>
      </c>
      <c r="E1241" t="s">
        <v>35</v>
      </c>
      <c r="F1241">
        <v>0</v>
      </c>
      <c r="G1241">
        <v>0</v>
      </c>
      <c r="H1241">
        <v>3751</v>
      </c>
      <c r="I1241">
        <v>0</v>
      </c>
      <c r="J1241">
        <v>0</v>
      </c>
      <c r="K1241">
        <v>232</v>
      </c>
      <c r="L1241">
        <v>0</v>
      </c>
      <c r="M1241">
        <v>0</v>
      </c>
      <c r="N1241">
        <v>28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f>NHS_AE_2024_2025[[#This Row],[A&amp;E attendances Type 1]]+
NHS_AE_2024_2025[[#This Row],[A&amp;E attendances Type 2]]+
NHS_AE_2024_2025[[#This Row],[A&amp;E attendances Other A&amp;E Department]]</f>
        <v>3751</v>
      </c>
      <c r="Y1241">
        <f t="shared" si="38"/>
        <v>28</v>
      </c>
      <c r="Z1241">
        <f t="shared" si="39"/>
        <v>0</v>
      </c>
    </row>
    <row r="1242" spans="1:26" x14ac:dyDescent="0.2">
      <c r="A1242" t="s">
        <v>446</v>
      </c>
      <c r="B1242" t="s">
        <v>447</v>
      </c>
      <c r="C1242" t="s">
        <v>134</v>
      </c>
      <c r="D1242" t="s">
        <v>37</v>
      </c>
      <c r="E1242" t="s">
        <v>135</v>
      </c>
      <c r="F1242">
        <v>0</v>
      </c>
      <c r="G1242">
        <v>0</v>
      </c>
      <c r="H1242">
        <v>2514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f>NHS_AE_2024_2025[[#This Row],[A&amp;E attendances Type 1]]+
NHS_AE_2024_2025[[#This Row],[A&amp;E attendances Type 2]]+
NHS_AE_2024_2025[[#This Row],[A&amp;E attendances Other A&amp;E Department]]</f>
        <v>2514</v>
      </c>
      <c r="Y1242">
        <f t="shared" si="38"/>
        <v>0</v>
      </c>
      <c r="Z1242">
        <f t="shared" si="39"/>
        <v>0</v>
      </c>
    </row>
    <row r="1243" spans="1:26" x14ac:dyDescent="0.2">
      <c r="A1243" t="s">
        <v>446</v>
      </c>
      <c r="B1243" t="s">
        <v>447</v>
      </c>
      <c r="C1243" t="s">
        <v>226</v>
      </c>
      <c r="D1243" t="s">
        <v>37</v>
      </c>
      <c r="E1243" t="s">
        <v>227</v>
      </c>
      <c r="F1243">
        <v>6655</v>
      </c>
      <c r="G1243">
        <v>0</v>
      </c>
      <c r="H1243">
        <v>1472</v>
      </c>
      <c r="I1243">
        <v>643</v>
      </c>
      <c r="J1243">
        <v>0</v>
      </c>
      <c r="K1243">
        <v>13</v>
      </c>
      <c r="L1243">
        <v>1706</v>
      </c>
      <c r="M1243">
        <v>0</v>
      </c>
      <c r="N1243">
        <v>0</v>
      </c>
      <c r="O1243">
        <v>140</v>
      </c>
      <c r="P1243">
        <v>0</v>
      </c>
      <c r="Q1243">
        <v>0</v>
      </c>
      <c r="R1243">
        <v>231</v>
      </c>
      <c r="S1243">
        <v>4</v>
      </c>
      <c r="T1243">
        <v>2484</v>
      </c>
      <c r="U1243">
        <v>0</v>
      </c>
      <c r="V1243">
        <v>0</v>
      </c>
      <c r="W1243">
        <v>1026</v>
      </c>
      <c r="X1243">
        <f>NHS_AE_2024_2025[[#This Row],[A&amp;E attendances Type 1]]+
NHS_AE_2024_2025[[#This Row],[A&amp;E attendances Type 2]]+
NHS_AE_2024_2025[[#This Row],[A&amp;E attendances Other A&amp;E Department]]</f>
        <v>8127</v>
      </c>
      <c r="Y1243">
        <f t="shared" si="38"/>
        <v>1706</v>
      </c>
      <c r="Z1243">
        <f t="shared" si="39"/>
        <v>3510</v>
      </c>
    </row>
    <row r="1244" spans="1:26" x14ac:dyDescent="0.2">
      <c r="A1244" t="s">
        <v>446</v>
      </c>
      <c r="B1244" t="s">
        <v>447</v>
      </c>
      <c r="C1244" t="s">
        <v>292</v>
      </c>
      <c r="D1244" t="s">
        <v>55</v>
      </c>
      <c r="E1244" t="s">
        <v>293</v>
      </c>
      <c r="F1244">
        <v>7298</v>
      </c>
      <c r="G1244">
        <v>0</v>
      </c>
      <c r="H1244">
        <v>2896</v>
      </c>
      <c r="I1244">
        <v>89</v>
      </c>
      <c r="J1244">
        <v>0</v>
      </c>
      <c r="K1244">
        <v>60</v>
      </c>
      <c r="L1244">
        <v>4157</v>
      </c>
      <c r="M1244">
        <v>0</v>
      </c>
      <c r="N1244">
        <v>34</v>
      </c>
      <c r="O1244">
        <v>26</v>
      </c>
      <c r="P1244">
        <v>0</v>
      </c>
      <c r="Q1244">
        <v>1</v>
      </c>
      <c r="R1244">
        <v>708</v>
      </c>
      <c r="S1244">
        <v>520</v>
      </c>
      <c r="T1244">
        <v>2234</v>
      </c>
      <c r="U1244">
        <v>0</v>
      </c>
      <c r="V1244">
        <v>0</v>
      </c>
      <c r="W1244">
        <v>1055</v>
      </c>
      <c r="X1244">
        <f>NHS_AE_2024_2025[[#This Row],[A&amp;E attendances Type 1]]+
NHS_AE_2024_2025[[#This Row],[A&amp;E attendances Type 2]]+
NHS_AE_2024_2025[[#This Row],[A&amp;E attendances Other A&amp;E Department]]</f>
        <v>10194</v>
      </c>
      <c r="Y1244">
        <f t="shared" si="38"/>
        <v>4191</v>
      </c>
      <c r="Z1244">
        <f t="shared" si="39"/>
        <v>3289</v>
      </c>
    </row>
    <row r="1245" spans="1:26" x14ac:dyDescent="0.2">
      <c r="A1245" t="s">
        <v>446</v>
      </c>
      <c r="B1245" t="s">
        <v>447</v>
      </c>
      <c r="C1245" t="s">
        <v>240</v>
      </c>
      <c r="D1245" t="s">
        <v>50</v>
      </c>
      <c r="E1245" t="s">
        <v>241</v>
      </c>
      <c r="F1245">
        <v>6052</v>
      </c>
      <c r="G1245">
        <v>225</v>
      </c>
      <c r="H1245">
        <v>0</v>
      </c>
      <c r="I1245">
        <v>507</v>
      </c>
      <c r="J1245">
        <v>0</v>
      </c>
      <c r="K1245">
        <v>0</v>
      </c>
      <c r="L1245">
        <v>2440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489</v>
      </c>
      <c r="S1245">
        <v>178</v>
      </c>
      <c r="T1245">
        <v>1496</v>
      </c>
      <c r="U1245">
        <v>0</v>
      </c>
      <c r="V1245">
        <v>0</v>
      </c>
      <c r="W1245">
        <v>515</v>
      </c>
      <c r="X1245">
        <f>NHS_AE_2024_2025[[#This Row],[A&amp;E attendances Type 1]]+
NHS_AE_2024_2025[[#This Row],[A&amp;E attendances Type 2]]+
NHS_AE_2024_2025[[#This Row],[A&amp;E attendances Other A&amp;E Department]]</f>
        <v>6277</v>
      </c>
      <c r="Y1245">
        <f t="shared" si="38"/>
        <v>2440</v>
      </c>
      <c r="Z1245">
        <f t="shared" si="39"/>
        <v>2011</v>
      </c>
    </row>
    <row r="1246" spans="1:26" x14ac:dyDescent="0.2">
      <c r="A1246" t="s">
        <v>446</v>
      </c>
      <c r="B1246" t="s">
        <v>447</v>
      </c>
      <c r="C1246" t="s">
        <v>406</v>
      </c>
      <c r="D1246" t="s">
        <v>37</v>
      </c>
      <c r="E1246" t="s">
        <v>407</v>
      </c>
      <c r="F1246">
        <v>12057</v>
      </c>
      <c r="G1246">
        <v>2187</v>
      </c>
      <c r="H1246">
        <v>0</v>
      </c>
      <c r="I1246">
        <v>603</v>
      </c>
      <c r="J1246">
        <v>43</v>
      </c>
      <c r="K1246">
        <v>0</v>
      </c>
      <c r="L1246">
        <v>3863</v>
      </c>
      <c r="M1246">
        <v>16</v>
      </c>
      <c r="N1246">
        <v>0</v>
      </c>
      <c r="O1246">
        <v>154</v>
      </c>
      <c r="P1246">
        <v>0</v>
      </c>
      <c r="Q1246">
        <v>0</v>
      </c>
      <c r="R1246">
        <v>383</v>
      </c>
      <c r="S1246">
        <v>0</v>
      </c>
      <c r="T1246">
        <v>2475</v>
      </c>
      <c r="U1246">
        <v>1</v>
      </c>
      <c r="V1246">
        <v>0</v>
      </c>
      <c r="W1246">
        <v>826</v>
      </c>
      <c r="X1246">
        <f>NHS_AE_2024_2025[[#This Row],[A&amp;E attendances Type 1]]+
NHS_AE_2024_2025[[#This Row],[A&amp;E attendances Type 2]]+
NHS_AE_2024_2025[[#This Row],[A&amp;E attendances Other A&amp;E Department]]</f>
        <v>14244</v>
      </c>
      <c r="Y1246">
        <f t="shared" si="38"/>
        <v>3879</v>
      </c>
      <c r="Z1246">
        <f t="shared" si="39"/>
        <v>3302</v>
      </c>
    </row>
    <row r="1247" spans="1:26" x14ac:dyDescent="0.2">
      <c r="A1247" t="s">
        <v>446</v>
      </c>
      <c r="B1247" t="s">
        <v>447</v>
      </c>
      <c r="C1247" t="s">
        <v>160</v>
      </c>
      <c r="D1247" t="s">
        <v>32</v>
      </c>
      <c r="E1247" t="s">
        <v>161</v>
      </c>
      <c r="F1247">
        <v>9604</v>
      </c>
      <c r="G1247">
        <v>0</v>
      </c>
      <c r="H1247">
        <v>8717</v>
      </c>
      <c r="I1247">
        <v>443</v>
      </c>
      <c r="J1247">
        <v>0</v>
      </c>
      <c r="K1247">
        <v>0</v>
      </c>
      <c r="L1247">
        <v>3279</v>
      </c>
      <c r="M1247">
        <v>0</v>
      </c>
      <c r="N1247">
        <v>101</v>
      </c>
      <c r="O1247">
        <v>0</v>
      </c>
      <c r="P1247">
        <v>0</v>
      </c>
      <c r="Q1247">
        <v>0</v>
      </c>
      <c r="R1247">
        <v>1342</v>
      </c>
      <c r="S1247">
        <v>0</v>
      </c>
      <c r="T1247">
        <v>2007</v>
      </c>
      <c r="U1247">
        <v>0</v>
      </c>
      <c r="V1247">
        <v>0</v>
      </c>
      <c r="W1247">
        <v>197</v>
      </c>
      <c r="X1247">
        <f>NHS_AE_2024_2025[[#This Row],[A&amp;E attendances Type 1]]+
NHS_AE_2024_2025[[#This Row],[A&amp;E attendances Type 2]]+
NHS_AE_2024_2025[[#This Row],[A&amp;E attendances Other A&amp;E Department]]</f>
        <v>18321</v>
      </c>
      <c r="Y1247">
        <f t="shared" si="38"/>
        <v>3380</v>
      </c>
      <c r="Z1247">
        <f t="shared" si="39"/>
        <v>2204</v>
      </c>
    </row>
    <row r="1248" spans="1:26" x14ac:dyDescent="0.2">
      <c r="A1248" t="s">
        <v>446</v>
      </c>
      <c r="B1248" t="s">
        <v>447</v>
      </c>
      <c r="C1248" t="s">
        <v>168</v>
      </c>
      <c r="D1248" t="s">
        <v>32</v>
      </c>
      <c r="E1248" t="s">
        <v>169</v>
      </c>
      <c r="F1248">
        <v>12929</v>
      </c>
      <c r="G1248">
        <v>0</v>
      </c>
      <c r="H1248">
        <v>6187</v>
      </c>
      <c r="I1248">
        <v>173</v>
      </c>
      <c r="J1248">
        <v>0</v>
      </c>
      <c r="K1248">
        <v>4</v>
      </c>
      <c r="L1248">
        <v>6285</v>
      </c>
      <c r="M1248">
        <v>0</v>
      </c>
      <c r="N1248">
        <v>16</v>
      </c>
      <c r="O1248">
        <v>78</v>
      </c>
      <c r="P1248">
        <v>0</v>
      </c>
      <c r="Q1248">
        <v>0</v>
      </c>
      <c r="R1248">
        <v>815</v>
      </c>
      <c r="S1248">
        <v>307</v>
      </c>
      <c r="T1248">
        <v>3462</v>
      </c>
      <c r="U1248">
        <v>0</v>
      </c>
      <c r="V1248">
        <v>0</v>
      </c>
      <c r="W1248">
        <v>1174</v>
      </c>
      <c r="X1248">
        <f>NHS_AE_2024_2025[[#This Row],[A&amp;E attendances Type 1]]+
NHS_AE_2024_2025[[#This Row],[A&amp;E attendances Type 2]]+
NHS_AE_2024_2025[[#This Row],[A&amp;E attendances Other A&amp;E Department]]</f>
        <v>19116</v>
      </c>
      <c r="Y1248">
        <f t="shared" si="38"/>
        <v>6301</v>
      </c>
      <c r="Z1248">
        <f t="shared" si="39"/>
        <v>4636</v>
      </c>
    </row>
    <row r="1249" spans="1:26" x14ac:dyDescent="0.2">
      <c r="A1249" t="s">
        <v>446</v>
      </c>
      <c r="B1249" t="s">
        <v>447</v>
      </c>
      <c r="C1249" t="s">
        <v>274</v>
      </c>
      <c r="D1249" t="s">
        <v>32</v>
      </c>
      <c r="E1249" t="s">
        <v>275</v>
      </c>
      <c r="F1249">
        <v>0</v>
      </c>
      <c r="G1249">
        <v>0</v>
      </c>
      <c r="H1249">
        <v>8619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186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f>NHS_AE_2024_2025[[#This Row],[A&amp;E attendances Type 1]]+
NHS_AE_2024_2025[[#This Row],[A&amp;E attendances Type 2]]+
NHS_AE_2024_2025[[#This Row],[A&amp;E attendances Other A&amp;E Department]]</f>
        <v>8619</v>
      </c>
      <c r="Y1249">
        <f t="shared" si="38"/>
        <v>186</v>
      </c>
      <c r="Z1249">
        <f t="shared" si="39"/>
        <v>0</v>
      </c>
    </row>
    <row r="1250" spans="1:26" x14ac:dyDescent="0.2">
      <c r="A1250" t="s">
        <v>446</v>
      </c>
      <c r="B1250" t="s">
        <v>447</v>
      </c>
      <c r="C1250" t="s">
        <v>130</v>
      </c>
      <c r="D1250" t="s">
        <v>70</v>
      </c>
      <c r="E1250" t="s">
        <v>131</v>
      </c>
      <c r="F1250">
        <v>0</v>
      </c>
      <c r="G1250">
        <v>0</v>
      </c>
      <c r="H1250">
        <v>2903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f>NHS_AE_2024_2025[[#This Row],[A&amp;E attendances Type 1]]+
NHS_AE_2024_2025[[#This Row],[A&amp;E attendances Type 2]]+
NHS_AE_2024_2025[[#This Row],[A&amp;E attendances Other A&amp;E Department]]</f>
        <v>2903</v>
      </c>
      <c r="Y1250">
        <f t="shared" si="38"/>
        <v>0</v>
      </c>
      <c r="Z1250">
        <f t="shared" si="39"/>
        <v>0</v>
      </c>
    </row>
    <row r="1251" spans="1:26" x14ac:dyDescent="0.2">
      <c r="A1251" t="s">
        <v>446</v>
      </c>
      <c r="B1251" t="s">
        <v>447</v>
      </c>
      <c r="C1251" t="s">
        <v>422</v>
      </c>
      <c r="D1251" t="s">
        <v>26</v>
      </c>
      <c r="E1251" t="s">
        <v>423</v>
      </c>
      <c r="F1251">
        <v>0</v>
      </c>
      <c r="G1251">
        <v>0</v>
      </c>
      <c r="H1251">
        <v>8844</v>
      </c>
      <c r="I1251">
        <v>0</v>
      </c>
      <c r="J1251">
        <v>0</v>
      </c>
      <c r="K1251">
        <v>254</v>
      </c>
      <c r="L1251">
        <v>0</v>
      </c>
      <c r="M1251">
        <v>0</v>
      </c>
      <c r="N1251">
        <v>533</v>
      </c>
      <c r="O1251">
        <v>0</v>
      </c>
      <c r="P1251">
        <v>0</v>
      </c>
      <c r="Q1251">
        <v>50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f>NHS_AE_2024_2025[[#This Row],[A&amp;E attendances Type 1]]+
NHS_AE_2024_2025[[#This Row],[A&amp;E attendances Type 2]]+
NHS_AE_2024_2025[[#This Row],[A&amp;E attendances Other A&amp;E Department]]</f>
        <v>8844</v>
      </c>
      <c r="Y1251">
        <f t="shared" si="38"/>
        <v>533</v>
      </c>
      <c r="Z1251">
        <f t="shared" si="39"/>
        <v>0</v>
      </c>
    </row>
    <row r="1252" spans="1:26" x14ac:dyDescent="0.2">
      <c r="A1252" t="s">
        <v>446</v>
      </c>
      <c r="B1252" t="s">
        <v>447</v>
      </c>
      <c r="C1252" t="s">
        <v>118</v>
      </c>
      <c r="D1252" t="s">
        <v>32</v>
      </c>
      <c r="E1252" t="s">
        <v>119</v>
      </c>
      <c r="F1252">
        <v>0</v>
      </c>
      <c r="G1252">
        <v>0</v>
      </c>
      <c r="H1252">
        <v>2109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f>NHS_AE_2024_2025[[#This Row],[A&amp;E attendances Type 1]]+
NHS_AE_2024_2025[[#This Row],[A&amp;E attendances Type 2]]+
NHS_AE_2024_2025[[#This Row],[A&amp;E attendances Other A&amp;E Department]]</f>
        <v>2109</v>
      </c>
      <c r="Y1252">
        <f t="shared" si="38"/>
        <v>1</v>
      </c>
      <c r="Z1252">
        <f t="shared" si="39"/>
        <v>0</v>
      </c>
    </row>
    <row r="1253" spans="1:26" x14ac:dyDescent="0.2">
      <c r="A1253" t="s">
        <v>446</v>
      </c>
      <c r="B1253" t="s">
        <v>447</v>
      </c>
      <c r="C1253" t="s">
        <v>76</v>
      </c>
      <c r="D1253" t="s">
        <v>37</v>
      </c>
      <c r="E1253" t="s">
        <v>77</v>
      </c>
      <c r="F1253">
        <v>0</v>
      </c>
      <c r="G1253">
        <v>0</v>
      </c>
      <c r="H1253">
        <v>5309</v>
      </c>
      <c r="I1253">
        <v>0</v>
      </c>
      <c r="J1253">
        <v>0</v>
      </c>
      <c r="K1253">
        <v>306</v>
      </c>
      <c r="L1253">
        <v>0</v>
      </c>
      <c r="M1253">
        <v>0</v>
      </c>
      <c r="N1253">
        <v>31</v>
      </c>
      <c r="O1253">
        <v>0</v>
      </c>
      <c r="P1253">
        <v>0</v>
      </c>
      <c r="Q1253">
        <v>3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f>NHS_AE_2024_2025[[#This Row],[A&amp;E attendances Type 1]]+
NHS_AE_2024_2025[[#This Row],[A&amp;E attendances Type 2]]+
NHS_AE_2024_2025[[#This Row],[A&amp;E attendances Other A&amp;E Department]]</f>
        <v>5309</v>
      </c>
      <c r="Y1253">
        <f t="shared" si="38"/>
        <v>31</v>
      </c>
      <c r="Z1253">
        <f t="shared" si="39"/>
        <v>0</v>
      </c>
    </row>
    <row r="1254" spans="1:26" x14ac:dyDescent="0.2">
      <c r="A1254" t="s">
        <v>446</v>
      </c>
      <c r="B1254" t="s">
        <v>447</v>
      </c>
      <c r="C1254" t="s">
        <v>286</v>
      </c>
      <c r="D1254" t="s">
        <v>37</v>
      </c>
      <c r="E1254" t="s">
        <v>287</v>
      </c>
      <c r="F1254">
        <v>4026</v>
      </c>
      <c r="G1254">
        <v>0</v>
      </c>
      <c r="H1254">
        <v>2004</v>
      </c>
      <c r="I1254">
        <v>20</v>
      </c>
      <c r="J1254">
        <v>0</v>
      </c>
      <c r="K1254">
        <v>15</v>
      </c>
      <c r="L1254">
        <v>1791</v>
      </c>
      <c r="M1254">
        <v>0</v>
      </c>
      <c r="N1254">
        <v>3</v>
      </c>
      <c r="O1254">
        <v>6</v>
      </c>
      <c r="P1254">
        <v>0</v>
      </c>
      <c r="Q1254">
        <v>0</v>
      </c>
      <c r="R1254">
        <v>214</v>
      </c>
      <c r="S1254">
        <v>35</v>
      </c>
      <c r="T1254">
        <v>1105</v>
      </c>
      <c r="U1254">
        <v>0</v>
      </c>
      <c r="V1254">
        <v>0</v>
      </c>
      <c r="W1254">
        <v>251</v>
      </c>
      <c r="X1254">
        <f>NHS_AE_2024_2025[[#This Row],[A&amp;E attendances Type 1]]+
NHS_AE_2024_2025[[#This Row],[A&amp;E attendances Type 2]]+
NHS_AE_2024_2025[[#This Row],[A&amp;E attendances Other A&amp;E Department]]</f>
        <v>6030</v>
      </c>
      <c r="Y1254">
        <f t="shared" si="38"/>
        <v>1794</v>
      </c>
      <c r="Z1254">
        <f t="shared" si="39"/>
        <v>1356</v>
      </c>
    </row>
    <row r="1255" spans="1:26" x14ac:dyDescent="0.2">
      <c r="A1255" t="s">
        <v>446</v>
      </c>
      <c r="B1255" t="s">
        <v>447</v>
      </c>
      <c r="C1255" t="s">
        <v>232</v>
      </c>
      <c r="D1255" t="s">
        <v>29</v>
      </c>
      <c r="E1255" t="s">
        <v>233</v>
      </c>
      <c r="F1255">
        <v>7002</v>
      </c>
      <c r="G1255">
        <v>0</v>
      </c>
      <c r="H1255">
        <v>8294</v>
      </c>
      <c r="I1255">
        <v>0</v>
      </c>
      <c r="J1255">
        <v>0</v>
      </c>
      <c r="K1255">
        <v>0</v>
      </c>
      <c r="L1255">
        <v>3269</v>
      </c>
      <c r="M1255">
        <v>0</v>
      </c>
      <c r="N1255">
        <v>316</v>
      </c>
      <c r="O1255">
        <v>0</v>
      </c>
      <c r="P1255">
        <v>0</v>
      </c>
      <c r="Q1255">
        <v>0</v>
      </c>
      <c r="R1255">
        <v>265</v>
      </c>
      <c r="S1255">
        <v>290</v>
      </c>
      <c r="T1255">
        <v>2080</v>
      </c>
      <c r="U1255">
        <v>0</v>
      </c>
      <c r="V1255">
        <v>143</v>
      </c>
      <c r="W1255">
        <v>625</v>
      </c>
      <c r="X1255">
        <f>NHS_AE_2024_2025[[#This Row],[A&amp;E attendances Type 1]]+
NHS_AE_2024_2025[[#This Row],[A&amp;E attendances Type 2]]+
NHS_AE_2024_2025[[#This Row],[A&amp;E attendances Other A&amp;E Department]]</f>
        <v>15296</v>
      </c>
      <c r="Y1255">
        <f t="shared" si="38"/>
        <v>3585</v>
      </c>
      <c r="Z1255">
        <f t="shared" si="39"/>
        <v>2848</v>
      </c>
    </row>
    <row r="1256" spans="1:26" x14ac:dyDescent="0.2">
      <c r="A1256" t="s">
        <v>446</v>
      </c>
      <c r="B1256" t="s">
        <v>447</v>
      </c>
      <c r="C1256" t="s">
        <v>150</v>
      </c>
      <c r="D1256" t="s">
        <v>55</v>
      </c>
      <c r="E1256" t="s">
        <v>151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779</v>
      </c>
      <c r="X1256">
        <f>NHS_AE_2024_2025[[#This Row],[A&amp;E attendances Type 1]]+
NHS_AE_2024_2025[[#This Row],[A&amp;E attendances Type 2]]+
NHS_AE_2024_2025[[#This Row],[A&amp;E attendances Other A&amp;E Department]]</f>
        <v>0</v>
      </c>
      <c r="Y1256">
        <f t="shared" si="38"/>
        <v>0</v>
      </c>
      <c r="Z1256">
        <f t="shared" si="39"/>
        <v>779</v>
      </c>
    </row>
    <row r="1257" spans="1:26" x14ac:dyDescent="0.2">
      <c r="A1257" t="s">
        <v>446</v>
      </c>
      <c r="B1257" t="s">
        <v>447</v>
      </c>
      <c r="C1257" t="s">
        <v>402</v>
      </c>
      <c r="D1257" t="s">
        <v>70</v>
      </c>
      <c r="E1257" t="s">
        <v>403</v>
      </c>
      <c r="F1257">
        <v>6764</v>
      </c>
      <c r="G1257">
        <v>0</v>
      </c>
      <c r="H1257">
        <v>1129</v>
      </c>
      <c r="I1257">
        <v>16</v>
      </c>
      <c r="J1257">
        <v>0</v>
      </c>
      <c r="K1257">
        <v>0</v>
      </c>
      <c r="L1257">
        <v>2228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342</v>
      </c>
      <c r="S1257">
        <v>155</v>
      </c>
      <c r="T1257">
        <v>2281</v>
      </c>
      <c r="U1257">
        <v>0</v>
      </c>
      <c r="V1257">
        <v>0</v>
      </c>
      <c r="W1257">
        <v>612</v>
      </c>
      <c r="X1257">
        <f>NHS_AE_2024_2025[[#This Row],[A&amp;E attendances Type 1]]+
NHS_AE_2024_2025[[#This Row],[A&amp;E attendances Type 2]]+
NHS_AE_2024_2025[[#This Row],[A&amp;E attendances Other A&amp;E Department]]</f>
        <v>7893</v>
      </c>
      <c r="Y1257">
        <f t="shared" si="38"/>
        <v>2228</v>
      </c>
      <c r="Z1257">
        <f t="shared" si="39"/>
        <v>2893</v>
      </c>
    </row>
    <row r="1258" spans="1:26" x14ac:dyDescent="0.2">
      <c r="A1258" t="s">
        <v>446</v>
      </c>
      <c r="B1258" t="s">
        <v>447</v>
      </c>
      <c r="C1258" t="s">
        <v>198</v>
      </c>
      <c r="D1258" t="s">
        <v>55</v>
      </c>
      <c r="E1258" t="s">
        <v>199</v>
      </c>
      <c r="F1258">
        <v>0</v>
      </c>
      <c r="G1258">
        <v>1368</v>
      </c>
      <c r="H1258">
        <v>0</v>
      </c>
      <c r="I1258">
        <v>0</v>
      </c>
      <c r="J1258">
        <v>140</v>
      </c>
      <c r="K1258">
        <v>0</v>
      </c>
      <c r="L1258">
        <v>0</v>
      </c>
      <c r="M1258">
        <v>137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106</v>
      </c>
      <c r="V1258">
        <v>0</v>
      </c>
      <c r="W1258">
        <v>7</v>
      </c>
      <c r="X1258">
        <f>NHS_AE_2024_2025[[#This Row],[A&amp;E attendances Type 1]]+
NHS_AE_2024_2025[[#This Row],[A&amp;E attendances Type 2]]+
NHS_AE_2024_2025[[#This Row],[A&amp;E attendances Other A&amp;E Department]]</f>
        <v>1368</v>
      </c>
      <c r="Y1258">
        <f t="shared" si="38"/>
        <v>137</v>
      </c>
      <c r="Z1258">
        <f t="shared" si="39"/>
        <v>113</v>
      </c>
    </row>
    <row r="1259" spans="1:26" x14ac:dyDescent="0.2">
      <c r="A1259" t="s">
        <v>446</v>
      </c>
      <c r="B1259" t="s">
        <v>447</v>
      </c>
      <c r="C1259" t="s">
        <v>202</v>
      </c>
      <c r="D1259" t="s">
        <v>32</v>
      </c>
      <c r="E1259" t="s">
        <v>203</v>
      </c>
      <c r="F1259">
        <v>12890</v>
      </c>
      <c r="G1259">
        <v>0</v>
      </c>
      <c r="H1259">
        <v>7593</v>
      </c>
      <c r="I1259">
        <v>144</v>
      </c>
      <c r="J1259">
        <v>0</v>
      </c>
      <c r="K1259">
        <v>877</v>
      </c>
      <c r="L1259">
        <v>3915</v>
      </c>
      <c r="M1259">
        <v>0</v>
      </c>
      <c r="N1259">
        <v>133</v>
      </c>
      <c r="O1259">
        <v>28</v>
      </c>
      <c r="P1259">
        <v>0</v>
      </c>
      <c r="Q1259">
        <v>0</v>
      </c>
      <c r="R1259">
        <v>1188</v>
      </c>
      <c r="S1259">
        <v>212</v>
      </c>
      <c r="T1259">
        <v>5864</v>
      </c>
      <c r="U1259">
        <v>0</v>
      </c>
      <c r="V1259">
        <v>0</v>
      </c>
      <c r="W1259">
        <v>864</v>
      </c>
      <c r="X1259">
        <f>NHS_AE_2024_2025[[#This Row],[A&amp;E attendances Type 1]]+
NHS_AE_2024_2025[[#This Row],[A&amp;E attendances Type 2]]+
NHS_AE_2024_2025[[#This Row],[A&amp;E attendances Other A&amp;E Department]]</f>
        <v>20483</v>
      </c>
      <c r="Y1259">
        <f t="shared" si="38"/>
        <v>4048</v>
      </c>
      <c r="Z1259">
        <f t="shared" si="39"/>
        <v>6728</v>
      </c>
    </row>
    <row r="1260" spans="1:26" x14ac:dyDescent="0.2">
      <c r="A1260" t="s">
        <v>446</v>
      </c>
      <c r="B1260" t="s">
        <v>447</v>
      </c>
      <c r="C1260" t="s">
        <v>204</v>
      </c>
      <c r="D1260" t="s">
        <v>32</v>
      </c>
      <c r="E1260" t="s">
        <v>205</v>
      </c>
      <c r="F1260">
        <v>6051</v>
      </c>
      <c r="G1260">
        <v>1153</v>
      </c>
      <c r="H1260">
        <v>0</v>
      </c>
      <c r="I1260">
        <v>124</v>
      </c>
      <c r="J1260">
        <v>0</v>
      </c>
      <c r="K1260">
        <v>0</v>
      </c>
      <c r="L1260">
        <v>2435</v>
      </c>
      <c r="M1260">
        <v>0</v>
      </c>
      <c r="N1260">
        <v>0</v>
      </c>
      <c r="O1260">
        <v>25</v>
      </c>
      <c r="P1260">
        <v>0</v>
      </c>
      <c r="Q1260">
        <v>0</v>
      </c>
      <c r="R1260">
        <v>422</v>
      </c>
      <c r="S1260">
        <v>293</v>
      </c>
      <c r="T1260">
        <v>2023</v>
      </c>
      <c r="U1260">
        <v>0</v>
      </c>
      <c r="V1260">
        <v>0</v>
      </c>
      <c r="W1260">
        <v>624</v>
      </c>
      <c r="X1260">
        <f>NHS_AE_2024_2025[[#This Row],[A&amp;E attendances Type 1]]+
NHS_AE_2024_2025[[#This Row],[A&amp;E attendances Type 2]]+
NHS_AE_2024_2025[[#This Row],[A&amp;E attendances Other A&amp;E Department]]</f>
        <v>7204</v>
      </c>
      <c r="Y1260">
        <f t="shared" si="38"/>
        <v>2435</v>
      </c>
      <c r="Z1260">
        <f t="shared" si="39"/>
        <v>2647</v>
      </c>
    </row>
    <row r="1261" spans="1:26" x14ac:dyDescent="0.2">
      <c r="A1261" t="s">
        <v>446</v>
      </c>
      <c r="B1261" t="s">
        <v>447</v>
      </c>
      <c r="C1261" t="s">
        <v>314</v>
      </c>
      <c r="D1261" t="s">
        <v>32</v>
      </c>
      <c r="E1261" t="s">
        <v>315</v>
      </c>
      <c r="F1261">
        <v>7038</v>
      </c>
      <c r="G1261">
        <v>0</v>
      </c>
      <c r="H1261">
        <v>1835</v>
      </c>
      <c r="I1261">
        <v>0</v>
      </c>
      <c r="J1261">
        <v>0</v>
      </c>
      <c r="K1261">
        <v>0</v>
      </c>
      <c r="L1261">
        <v>2089</v>
      </c>
      <c r="M1261">
        <v>0</v>
      </c>
      <c r="N1261">
        <v>33</v>
      </c>
      <c r="O1261">
        <v>0</v>
      </c>
      <c r="P1261">
        <v>0</v>
      </c>
      <c r="Q1261">
        <v>0</v>
      </c>
      <c r="R1261">
        <v>607</v>
      </c>
      <c r="S1261">
        <v>51</v>
      </c>
      <c r="T1261">
        <v>1078</v>
      </c>
      <c r="U1261">
        <v>0</v>
      </c>
      <c r="V1261">
        <v>0</v>
      </c>
      <c r="W1261">
        <v>37</v>
      </c>
      <c r="X1261">
        <f>NHS_AE_2024_2025[[#This Row],[A&amp;E attendances Type 1]]+
NHS_AE_2024_2025[[#This Row],[A&amp;E attendances Type 2]]+
NHS_AE_2024_2025[[#This Row],[A&amp;E attendances Other A&amp;E Department]]</f>
        <v>8873</v>
      </c>
      <c r="Y1261">
        <f t="shared" si="38"/>
        <v>2122</v>
      </c>
      <c r="Z1261">
        <f t="shared" si="39"/>
        <v>1115</v>
      </c>
    </row>
    <row r="1262" spans="1:26" x14ac:dyDescent="0.2">
      <c r="A1262" t="s">
        <v>446</v>
      </c>
      <c r="B1262" t="s">
        <v>447</v>
      </c>
      <c r="C1262" t="s">
        <v>162</v>
      </c>
      <c r="D1262" t="s">
        <v>29</v>
      </c>
      <c r="E1262" t="s">
        <v>163</v>
      </c>
      <c r="F1262">
        <v>0</v>
      </c>
      <c r="G1262">
        <v>5779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197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6</v>
      </c>
      <c r="V1262">
        <v>0</v>
      </c>
      <c r="W1262">
        <v>199</v>
      </c>
      <c r="X1262">
        <f>NHS_AE_2024_2025[[#This Row],[A&amp;E attendances Type 1]]+
NHS_AE_2024_2025[[#This Row],[A&amp;E attendances Type 2]]+
NHS_AE_2024_2025[[#This Row],[A&amp;E attendances Other A&amp;E Department]]</f>
        <v>5779</v>
      </c>
      <c r="Y1262">
        <f t="shared" si="38"/>
        <v>197</v>
      </c>
      <c r="Z1262">
        <f t="shared" si="39"/>
        <v>205</v>
      </c>
    </row>
    <row r="1263" spans="1:26" x14ac:dyDescent="0.2">
      <c r="A1263" t="s">
        <v>446</v>
      </c>
      <c r="B1263" t="s">
        <v>447</v>
      </c>
      <c r="C1263" t="s">
        <v>328</v>
      </c>
      <c r="D1263" t="s">
        <v>70</v>
      </c>
      <c r="E1263" t="s">
        <v>329</v>
      </c>
      <c r="F1263">
        <v>8277</v>
      </c>
      <c r="G1263">
        <v>0</v>
      </c>
      <c r="H1263">
        <v>1781</v>
      </c>
      <c r="I1263">
        <v>0</v>
      </c>
      <c r="J1263">
        <v>0</v>
      </c>
      <c r="K1263">
        <v>687</v>
      </c>
      <c r="L1263">
        <v>4145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412</v>
      </c>
      <c r="S1263">
        <v>124</v>
      </c>
      <c r="T1263">
        <v>2132</v>
      </c>
      <c r="U1263">
        <v>0</v>
      </c>
      <c r="V1263">
        <v>0</v>
      </c>
      <c r="W1263">
        <v>310</v>
      </c>
      <c r="X1263">
        <f>NHS_AE_2024_2025[[#This Row],[A&amp;E attendances Type 1]]+
NHS_AE_2024_2025[[#This Row],[A&amp;E attendances Type 2]]+
NHS_AE_2024_2025[[#This Row],[A&amp;E attendances Other A&amp;E Department]]</f>
        <v>10058</v>
      </c>
      <c r="Y1263">
        <f t="shared" si="38"/>
        <v>4145</v>
      </c>
      <c r="Z1263">
        <f t="shared" si="39"/>
        <v>2442</v>
      </c>
    </row>
    <row r="1264" spans="1:26" x14ac:dyDescent="0.2">
      <c r="A1264" t="s">
        <v>446</v>
      </c>
      <c r="B1264" t="s">
        <v>447</v>
      </c>
      <c r="C1264" t="s">
        <v>212</v>
      </c>
      <c r="D1264" t="s">
        <v>50</v>
      </c>
      <c r="E1264" t="s">
        <v>213</v>
      </c>
      <c r="F1264">
        <v>4588</v>
      </c>
      <c r="G1264">
        <v>0</v>
      </c>
      <c r="H1264">
        <v>11335</v>
      </c>
      <c r="I1264">
        <v>0</v>
      </c>
      <c r="J1264">
        <v>0</v>
      </c>
      <c r="K1264">
        <v>0</v>
      </c>
      <c r="L1264">
        <v>1561</v>
      </c>
      <c r="M1264">
        <v>0</v>
      </c>
      <c r="N1264">
        <v>38</v>
      </c>
      <c r="O1264">
        <v>0</v>
      </c>
      <c r="P1264">
        <v>0</v>
      </c>
      <c r="Q1264">
        <v>0</v>
      </c>
      <c r="R1264">
        <v>54</v>
      </c>
      <c r="S1264">
        <v>0</v>
      </c>
      <c r="T1264">
        <v>1599</v>
      </c>
      <c r="U1264">
        <v>0</v>
      </c>
      <c r="V1264">
        <v>534</v>
      </c>
      <c r="W1264">
        <v>2096</v>
      </c>
      <c r="X1264">
        <f>NHS_AE_2024_2025[[#This Row],[A&amp;E attendances Type 1]]+
NHS_AE_2024_2025[[#This Row],[A&amp;E attendances Type 2]]+
NHS_AE_2024_2025[[#This Row],[A&amp;E attendances Other A&amp;E Department]]</f>
        <v>15923</v>
      </c>
      <c r="Y1264">
        <f t="shared" si="38"/>
        <v>1599</v>
      </c>
      <c r="Z1264">
        <f t="shared" si="39"/>
        <v>4229</v>
      </c>
    </row>
    <row r="1265" spans="1:26" x14ac:dyDescent="0.2">
      <c r="A1265" t="s">
        <v>446</v>
      </c>
      <c r="B1265" t="s">
        <v>447</v>
      </c>
      <c r="C1265" t="s">
        <v>268</v>
      </c>
      <c r="D1265" t="s">
        <v>37</v>
      </c>
      <c r="E1265" t="s">
        <v>269</v>
      </c>
      <c r="F1265">
        <v>17973</v>
      </c>
      <c r="G1265">
        <v>0</v>
      </c>
      <c r="H1265">
        <v>2153</v>
      </c>
      <c r="I1265">
        <v>757</v>
      </c>
      <c r="J1265">
        <v>0</v>
      </c>
      <c r="K1265">
        <v>171</v>
      </c>
      <c r="L1265">
        <v>3312</v>
      </c>
      <c r="M1265">
        <v>0</v>
      </c>
      <c r="N1265">
        <v>51</v>
      </c>
      <c r="O1265">
        <v>87</v>
      </c>
      <c r="P1265">
        <v>0</v>
      </c>
      <c r="Q1265">
        <v>4</v>
      </c>
      <c r="R1265">
        <v>914</v>
      </c>
      <c r="S1265">
        <v>29</v>
      </c>
      <c r="T1265">
        <v>4793</v>
      </c>
      <c r="U1265">
        <v>0</v>
      </c>
      <c r="V1265">
        <v>0</v>
      </c>
      <c r="W1265">
        <v>987</v>
      </c>
      <c r="X1265">
        <f>NHS_AE_2024_2025[[#This Row],[A&amp;E attendances Type 1]]+
NHS_AE_2024_2025[[#This Row],[A&amp;E attendances Type 2]]+
NHS_AE_2024_2025[[#This Row],[A&amp;E attendances Other A&amp;E Department]]</f>
        <v>20126</v>
      </c>
      <c r="Y1265">
        <f t="shared" si="38"/>
        <v>3363</v>
      </c>
      <c r="Z1265">
        <f t="shared" si="39"/>
        <v>5780</v>
      </c>
    </row>
    <row r="1266" spans="1:26" x14ac:dyDescent="0.2">
      <c r="A1266" t="s">
        <v>446</v>
      </c>
      <c r="B1266" t="s">
        <v>447</v>
      </c>
      <c r="C1266" t="s">
        <v>172</v>
      </c>
      <c r="D1266" t="s">
        <v>37</v>
      </c>
      <c r="E1266" t="s">
        <v>173</v>
      </c>
      <c r="F1266">
        <v>10391</v>
      </c>
      <c r="G1266">
        <v>0</v>
      </c>
      <c r="H1266">
        <v>2483</v>
      </c>
      <c r="I1266">
        <v>0</v>
      </c>
      <c r="J1266">
        <v>0</v>
      </c>
      <c r="K1266">
        <v>1294</v>
      </c>
      <c r="L1266">
        <v>2950</v>
      </c>
      <c r="M1266">
        <v>0</v>
      </c>
      <c r="N1266">
        <v>14</v>
      </c>
      <c r="O1266">
        <v>0</v>
      </c>
      <c r="P1266">
        <v>0</v>
      </c>
      <c r="Q1266">
        <v>0</v>
      </c>
      <c r="R1266">
        <v>286</v>
      </c>
      <c r="S1266">
        <v>11</v>
      </c>
      <c r="T1266">
        <v>3475</v>
      </c>
      <c r="U1266">
        <v>0</v>
      </c>
      <c r="V1266">
        <v>0</v>
      </c>
      <c r="W1266">
        <v>595</v>
      </c>
      <c r="X1266">
        <f>NHS_AE_2024_2025[[#This Row],[A&amp;E attendances Type 1]]+
NHS_AE_2024_2025[[#This Row],[A&amp;E attendances Type 2]]+
NHS_AE_2024_2025[[#This Row],[A&amp;E attendances Other A&amp;E Department]]</f>
        <v>12874</v>
      </c>
      <c r="Y1266">
        <f t="shared" si="38"/>
        <v>2964</v>
      </c>
      <c r="Z1266">
        <f t="shared" si="39"/>
        <v>4070</v>
      </c>
    </row>
    <row r="1267" spans="1:26" x14ac:dyDescent="0.2">
      <c r="A1267" t="s">
        <v>446</v>
      </c>
      <c r="B1267" t="s">
        <v>447</v>
      </c>
      <c r="C1267" t="s">
        <v>57</v>
      </c>
      <c r="D1267" t="s">
        <v>32</v>
      </c>
      <c r="E1267" t="s">
        <v>58</v>
      </c>
      <c r="F1267">
        <v>0</v>
      </c>
      <c r="G1267">
        <v>0</v>
      </c>
      <c r="H1267">
        <v>5816</v>
      </c>
      <c r="I1267">
        <v>0</v>
      </c>
      <c r="J1267">
        <v>0</v>
      </c>
      <c r="K1267">
        <v>1083</v>
      </c>
      <c r="L1267">
        <v>0</v>
      </c>
      <c r="M1267">
        <v>0</v>
      </c>
      <c r="N1267">
        <v>118</v>
      </c>
      <c r="O1267">
        <v>0</v>
      </c>
      <c r="P1267">
        <v>0</v>
      </c>
      <c r="Q1267">
        <v>8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f>NHS_AE_2024_2025[[#This Row],[A&amp;E attendances Type 1]]+
NHS_AE_2024_2025[[#This Row],[A&amp;E attendances Type 2]]+
NHS_AE_2024_2025[[#This Row],[A&amp;E attendances Other A&amp;E Department]]</f>
        <v>5816</v>
      </c>
      <c r="Y1267">
        <f t="shared" si="38"/>
        <v>118</v>
      </c>
      <c r="Z1267">
        <f t="shared" si="39"/>
        <v>0</v>
      </c>
    </row>
    <row r="1268" spans="1:26" x14ac:dyDescent="0.2">
      <c r="A1268" t="s">
        <v>446</v>
      </c>
      <c r="B1268" t="s">
        <v>447</v>
      </c>
      <c r="C1268" t="s">
        <v>276</v>
      </c>
      <c r="D1268" t="s">
        <v>37</v>
      </c>
      <c r="E1268" t="s">
        <v>277</v>
      </c>
      <c r="F1268">
        <v>21846</v>
      </c>
      <c r="G1268">
        <v>1529</v>
      </c>
      <c r="H1268">
        <v>5164</v>
      </c>
      <c r="I1268">
        <v>1298</v>
      </c>
      <c r="J1268">
        <v>0</v>
      </c>
      <c r="K1268">
        <v>1284</v>
      </c>
      <c r="L1268">
        <v>9494</v>
      </c>
      <c r="M1268">
        <v>50</v>
      </c>
      <c r="N1268">
        <v>640</v>
      </c>
      <c r="O1268">
        <v>461</v>
      </c>
      <c r="P1268">
        <v>0</v>
      </c>
      <c r="Q1268">
        <v>25</v>
      </c>
      <c r="R1268">
        <v>1727</v>
      </c>
      <c r="S1268">
        <v>1011</v>
      </c>
      <c r="T1268">
        <v>7726</v>
      </c>
      <c r="U1268">
        <v>32</v>
      </c>
      <c r="V1268">
        <v>33</v>
      </c>
      <c r="W1268">
        <v>1456</v>
      </c>
      <c r="X1268">
        <f>NHS_AE_2024_2025[[#This Row],[A&amp;E attendances Type 1]]+
NHS_AE_2024_2025[[#This Row],[A&amp;E attendances Type 2]]+
NHS_AE_2024_2025[[#This Row],[A&amp;E attendances Other A&amp;E Department]]</f>
        <v>28539</v>
      </c>
      <c r="Y1268">
        <f t="shared" si="38"/>
        <v>10184</v>
      </c>
      <c r="Z1268">
        <f t="shared" si="39"/>
        <v>9247</v>
      </c>
    </row>
    <row r="1269" spans="1:26" x14ac:dyDescent="0.2">
      <c r="A1269" t="s">
        <v>446</v>
      </c>
      <c r="B1269" t="s">
        <v>447</v>
      </c>
      <c r="C1269" t="s">
        <v>128</v>
      </c>
      <c r="D1269" t="s">
        <v>37</v>
      </c>
      <c r="E1269" t="s">
        <v>129</v>
      </c>
      <c r="F1269">
        <v>0</v>
      </c>
      <c r="G1269">
        <v>0</v>
      </c>
      <c r="H1269">
        <v>10400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34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f>NHS_AE_2024_2025[[#This Row],[A&amp;E attendances Type 1]]+
NHS_AE_2024_2025[[#This Row],[A&amp;E attendances Type 2]]+
NHS_AE_2024_2025[[#This Row],[A&amp;E attendances Other A&amp;E Department]]</f>
        <v>10400</v>
      </c>
      <c r="Y1269">
        <f t="shared" si="38"/>
        <v>34</v>
      </c>
      <c r="Z1269">
        <f t="shared" si="39"/>
        <v>0</v>
      </c>
    </row>
    <row r="1270" spans="1:26" x14ac:dyDescent="0.2">
      <c r="A1270" t="s">
        <v>446</v>
      </c>
      <c r="B1270" t="s">
        <v>447</v>
      </c>
      <c r="C1270" t="s">
        <v>132</v>
      </c>
      <c r="D1270" t="s">
        <v>37</v>
      </c>
      <c r="E1270" t="s">
        <v>133</v>
      </c>
      <c r="F1270">
        <v>0</v>
      </c>
      <c r="G1270">
        <v>0</v>
      </c>
      <c r="H1270">
        <v>4528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f>NHS_AE_2024_2025[[#This Row],[A&amp;E attendances Type 1]]+
NHS_AE_2024_2025[[#This Row],[A&amp;E attendances Type 2]]+
NHS_AE_2024_2025[[#This Row],[A&amp;E attendances Other A&amp;E Department]]</f>
        <v>4528</v>
      </c>
      <c r="Y1270">
        <f t="shared" si="38"/>
        <v>0</v>
      </c>
      <c r="Z1270">
        <f t="shared" si="39"/>
        <v>0</v>
      </c>
    </row>
    <row r="1271" spans="1:26" x14ac:dyDescent="0.2">
      <c r="A1271" t="s">
        <v>446</v>
      </c>
      <c r="B1271" t="s">
        <v>447</v>
      </c>
      <c r="C1271" t="s">
        <v>184</v>
      </c>
      <c r="D1271" t="s">
        <v>55</v>
      </c>
      <c r="E1271" t="s">
        <v>185</v>
      </c>
      <c r="F1271">
        <v>0</v>
      </c>
      <c r="G1271">
        <v>0</v>
      </c>
      <c r="H1271">
        <v>1214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f>NHS_AE_2024_2025[[#This Row],[A&amp;E attendances Type 1]]+
NHS_AE_2024_2025[[#This Row],[A&amp;E attendances Type 2]]+
NHS_AE_2024_2025[[#This Row],[A&amp;E attendances Other A&amp;E Department]]</f>
        <v>1214</v>
      </c>
      <c r="Y1271">
        <f t="shared" si="38"/>
        <v>1</v>
      </c>
      <c r="Z1271">
        <f t="shared" si="39"/>
        <v>0</v>
      </c>
    </row>
    <row r="1272" spans="1:26" x14ac:dyDescent="0.2">
      <c r="A1272" t="s">
        <v>446</v>
      </c>
      <c r="B1272" t="s">
        <v>447</v>
      </c>
      <c r="C1272" t="s">
        <v>120</v>
      </c>
      <c r="D1272" t="s">
        <v>50</v>
      </c>
      <c r="E1272" t="s">
        <v>121</v>
      </c>
      <c r="F1272">
        <v>11270</v>
      </c>
      <c r="G1272">
        <v>1352</v>
      </c>
      <c r="H1272">
        <v>6033</v>
      </c>
      <c r="I1272">
        <v>443</v>
      </c>
      <c r="J1272">
        <v>0</v>
      </c>
      <c r="K1272">
        <v>1419</v>
      </c>
      <c r="L1272">
        <v>4755</v>
      </c>
      <c r="M1272">
        <v>25</v>
      </c>
      <c r="N1272">
        <v>154</v>
      </c>
      <c r="O1272">
        <v>181</v>
      </c>
      <c r="P1272">
        <v>0</v>
      </c>
      <c r="Q1272">
        <v>40</v>
      </c>
      <c r="R1272">
        <v>538</v>
      </c>
      <c r="S1272">
        <v>2</v>
      </c>
      <c r="T1272">
        <v>4313</v>
      </c>
      <c r="U1272">
        <v>18</v>
      </c>
      <c r="V1272">
        <v>0</v>
      </c>
      <c r="W1272">
        <v>1162</v>
      </c>
      <c r="X1272">
        <f>NHS_AE_2024_2025[[#This Row],[A&amp;E attendances Type 1]]+
NHS_AE_2024_2025[[#This Row],[A&amp;E attendances Type 2]]+
NHS_AE_2024_2025[[#This Row],[A&amp;E attendances Other A&amp;E Department]]</f>
        <v>18655</v>
      </c>
      <c r="Y1272">
        <f t="shared" si="38"/>
        <v>4934</v>
      </c>
      <c r="Z1272">
        <f t="shared" si="39"/>
        <v>5493</v>
      </c>
    </row>
    <row r="1273" spans="1:26" x14ac:dyDescent="0.2">
      <c r="A1273" t="s">
        <v>446</v>
      </c>
      <c r="B1273" t="s">
        <v>447</v>
      </c>
      <c r="C1273" t="s">
        <v>396</v>
      </c>
      <c r="D1273" t="s">
        <v>29</v>
      </c>
      <c r="E1273" t="s">
        <v>397</v>
      </c>
      <c r="F1273">
        <v>5946</v>
      </c>
      <c r="G1273">
        <v>0</v>
      </c>
      <c r="H1273">
        <v>6579</v>
      </c>
      <c r="I1273">
        <v>0</v>
      </c>
      <c r="J1273">
        <v>0</v>
      </c>
      <c r="K1273">
        <v>0</v>
      </c>
      <c r="L1273">
        <v>3447</v>
      </c>
      <c r="M1273">
        <v>0</v>
      </c>
      <c r="N1273">
        <v>181</v>
      </c>
      <c r="O1273">
        <v>0</v>
      </c>
      <c r="P1273">
        <v>0</v>
      </c>
      <c r="Q1273">
        <v>0</v>
      </c>
      <c r="R1273">
        <v>410</v>
      </c>
      <c r="S1273">
        <v>10</v>
      </c>
      <c r="T1273">
        <v>2770</v>
      </c>
      <c r="U1273">
        <v>0</v>
      </c>
      <c r="V1273">
        <v>0</v>
      </c>
      <c r="W1273">
        <v>163</v>
      </c>
      <c r="X1273">
        <f>NHS_AE_2024_2025[[#This Row],[A&amp;E attendances Type 1]]+
NHS_AE_2024_2025[[#This Row],[A&amp;E attendances Type 2]]+
NHS_AE_2024_2025[[#This Row],[A&amp;E attendances Other A&amp;E Department]]</f>
        <v>12525</v>
      </c>
      <c r="Y1273">
        <f t="shared" si="38"/>
        <v>3628</v>
      </c>
      <c r="Z1273">
        <f t="shared" si="39"/>
        <v>2933</v>
      </c>
    </row>
    <row r="1274" spans="1:26" x14ac:dyDescent="0.2">
      <c r="A1274" t="s">
        <v>446</v>
      </c>
      <c r="B1274" t="s">
        <v>447</v>
      </c>
      <c r="C1274" t="s">
        <v>400</v>
      </c>
      <c r="D1274" t="s">
        <v>50</v>
      </c>
      <c r="E1274" t="s">
        <v>401</v>
      </c>
      <c r="F1274">
        <v>5113</v>
      </c>
      <c r="G1274">
        <v>0</v>
      </c>
      <c r="H1274">
        <v>973</v>
      </c>
      <c r="I1274">
        <v>355</v>
      </c>
      <c r="J1274">
        <v>0</v>
      </c>
      <c r="K1274">
        <v>37</v>
      </c>
      <c r="L1274">
        <v>1665</v>
      </c>
      <c r="M1274">
        <v>0</v>
      </c>
      <c r="N1274">
        <v>0</v>
      </c>
      <c r="O1274">
        <v>89</v>
      </c>
      <c r="P1274">
        <v>0</v>
      </c>
      <c r="Q1274">
        <v>0</v>
      </c>
      <c r="R1274">
        <v>313</v>
      </c>
      <c r="S1274">
        <v>31</v>
      </c>
      <c r="T1274">
        <v>1181</v>
      </c>
      <c r="U1274">
        <v>0</v>
      </c>
      <c r="V1274">
        <v>0</v>
      </c>
      <c r="W1274">
        <v>280</v>
      </c>
      <c r="X1274">
        <f>NHS_AE_2024_2025[[#This Row],[A&amp;E attendances Type 1]]+
NHS_AE_2024_2025[[#This Row],[A&amp;E attendances Type 2]]+
NHS_AE_2024_2025[[#This Row],[A&amp;E attendances Other A&amp;E Department]]</f>
        <v>6086</v>
      </c>
      <c r="Y1274">
        <f t="shared" si="38"/>
        <v>1665</v>
      </c>
      <c r="Z1274">
        <f t="shared" si="39"/>
        <v>1461</v>
      </c>
    </row>
    <row r="1275" spans="1:26" x14ac:dyDescent="0.2">
      <c r="A1275" t="s">
        <v>446</v>
      </c>
      <c r="B1275" t="s">
        <v>447</v>
      </c>
      <c r="C1275" t="s">
        <v>242</v>
      </c>
      <c r="D1275" t="s">
        <v>70</v>
      </c>
      <c r="E1275" t="s">
        <v>243</v>
      </c>
      <c r="F1275">
        <v>8360</v>
      </c>
      <c r="G1275">
        <v>0</v>
      </c>
      <c r="H1275">
        <v>5357</v>
      </c>
      <c r="I1275">
        <v>670</v>
      </c>
      <c r="J1275">
        <v>0</v>
      </c>
      <c r="K1275">
        <v>136</v>
      </c>
      <c r="L1275">
        <v>3726</v>
      </c>
      <c r="M1275">
        <v>0</v>
      </c>
      <c r="N1275">
        <v>209</v>
      </c>
      <c r="O1275">
        <v>292</v>
      </c>
      <c r="P1275">
        <v>0</v>
      </c>
      <c r="Q1275">
        <v>0</v>
      </c>
      <c r="R1275">
        <v>662</v>
      </c>
      <c r="S1275">
        <v>0</v>
      </c>
      <c r="T1275">
        <v>2046</v>
      </c>
      <c r="U1275">
        <v>0</v>
      </c>
      <c r="V1275">
        <v>0</v>
      </c>
      <c r="W1275">
        <v>431</v>
      </c>
      <c r="X1275">
        <f>NHS_AE_2024_2025[[#This Row],[A&amp;E attendances Type 1]]+
NHS_AE_2024_2025[[#This Row],[A&amp;E attendances Type 2]]+
NHS_AE_2024_2025[[#This Row],[A&amp;E attendances Other A&amp;E Department]]</f>
        <v>13717</v>
      </c>
      <c r="Y1275">
        <f t="shared" si="38"/>
        <v>3935</v>
      </c>
      <c r="Z1275">
        <f t="shared" si="39"/>
        <v>2477</v>
      </c>
    </row>
    <row r="1276" spans="1:26" x14ac:dyDescent="0.2">
      <c r="A1276" t="s">
        <v>446</v>
      </c>
      <c r="B1276" t="s">
        <v>447</v>
      </c>
      <c r="C1276" t="s">
        <v>152</v>
      </c>
      <c r="D1276" t="s">
        <v>26</v>
      </c>
      <c r="E1276" t="s">
        <v>153</v>
      </c>
      <c r="F1276">
        <v>6521</v>
      </c>
      <c r="G1276">
        <v>0</v>
      </c>
      <c r="H1276">
        <v>12649</v>
      </c>
      <c r="I1276">
        <v>0</v>
      </c>
      <c r="J1276">
        <v>0</v>
      </c>
      <c r="K1276">
        <v>0</v>
      </c>
      <c r="L1276">
        <v>3778</v>
      </c>
      <c r="M1276">
        <v>0</v>
      </c>
      <c r="N1276">
        <v>882</v>
      </c>
      <c r="O1276">
        <v>0</v>
      </c>
      <c r="P1276">
        <v>0</v>
      </c>
      <c r="Q1276">
        <v>0</v>
      </c>
      <c r="R1276">
        <v>529</v>
      </c>
      <c r="S1276">
        <v>523</v>
      </c>
      <c r="T1276">
        <v>2194</v>
      </c>
      <c r="U1276">
        <v>0</v>
      </c>
      <c r="V1276">
        <v>45</v>
      </c>
      <c r="W1276">
        <v>1247</v>
      </c>
      <c r="X1276">
        <f>NHS_AE_2024_2025[[#This Row],[A&amp;E attendances Type 1]]+
NHS_AE_2024_2025[[#This Row],[A&amp;E attendances Type 2]]+
NHS_AE_2024_2025[[#This Row],[A&amp;E attendances Other A&amp;E Department]]</f>
        <v>19170</v>
      </c>
      <c r="Y1276">
        <f t="shared" si="38"/>
        <v>4660</v>
      </c>
      <c r="Z1276">
        <f t="shared" si="39"/>
        <v>3486</v>
      </c>
    </row>
    <row r="1277" spans="1:26" x14ac:dyDescent="0.2">
      <c r="A1277" t="s">
        <v>446</v>
      </c>
      <c r="B1277" t="s">
        <v>447</v>
      </c>
      <c r="C1277" t="s">
        <v>102</v>
      </c>
      <c r="D1277" t="s">
        <v>55</v>
      </c>
      <c r="E1277" t="s">
        <v>103</v>
      </c>
      <c r="F1277">
        <v>15168</v>
      </c>
      <c r="G1277">
        <v>1833</v>
      </c>
      <c r="H1277">
        <v>7559</v>
      </c>
      <c r="I1277">
        <v>393</v>
      </c>
      <c r="J1277">
        <v>0</v>
      </c>
      <c r="K1277">
        <v>0</v>
      </c>
      <c r="L1277">
        <v>6559</v>
      </c>
      <c r="M1277">
        <v>124</v>
      </c>
      <c r="N1277">
        <v>104</v>
      </c>
      <c r="O1277">
        <v>63</v>
      </c>
      <c r="P1277">
        <v>0</v>
      </c>
      <c r="Q1277">
        <v>0</v>
      </c>
      <c r="R1277">
        <v>1890</v>
      </c>
      <c r="S1277">
        <v>942</v>
      </c>
      <c r="T1277">
        <v>4996</v>
      </c>
      <c r="U1277">
        <v>0</v>
      </c>
      <c r="V1277">
        <v>0</v>
      </c>
      <c r="W1277">
        <v>2379</v>
      </c>
      <c r="X1277">
        <f>NHS_AE_2024_2025[[#This Row],[A&amp;E attendances Type 1]]+
NHS_AE_2024_2025[[#This Row],[A&amp;E attendances Type 2]]+
NHS_AE_2024_2025[[#This Row],[A&amp;E attendances Other A&amp;E Department]]</f>
        <v>24560</v>
      </c>
      <c r="Y1277">
        <f t="shared" si="38"/>
        <v>6787</v>
      </c>
      <c r="Z1277">
        <f t="shared" si="39"/>
        <v>7375</v>
      </c>
    </row>
    <row r="1278" spans="1:26" x14ac:dyDescent="0.2">
      <c r="A1278" t="s">
        <v>446</v>
      </c>
      <c r="B1278" t="s">
        <v>447</v>
      </c>
      <c r="C1278" t="s">
        <v>404</v>
      </c>
      <c r="D1278" t="s">
        <v>26</v>
      </c>
      <c r="E1278" t="s">
        <v>405</v>
      </c>
      <c r="F1278">
        <v>12641</v>
      </c>
      <c r="G1278">
        <v>0</v>
      </c>
      <c r="H1278">
        <v>4054</v>
      </c>
      <c r="I1278">
        <v>1223</v>
      </c>
      <c r="J1278">
        <v>0</v>
      </c>
      <c r="K1278">
        <v>53</v>
      </c>
      <c r="L1278">
        <v>4812</v>
      </c>
      <c r="M1278">
        <v>0</v>
      </c>
      <c r="N1278">
        <v>43</v>
      </c>
      <c r="O1278">
        <v>394</v>
      </c>
      <c r="P1278">
        <v>0</v>
      </c>
      <c r="Q1278">
        <v>3</v>
      </c>
      <c r="R1278">
        <v>1042</v>
      </c>
      <c r="S1278">
        <v>78</v>
      </c>
      <c r="T1278">
        <v>4029</v>
      </c>
      <c r="U1278">
        <v>0</v>
      </c>
      <c r="V1278">
        <v>0</v>
      </c>
      <c r="W1278">
        <v>2220</v>
      </c>
      <c r="X1278">
        <f>NHS_AE_2024_2025[[#This Row],[A&amp;E attendances Type 1]]+
NHS_AE_2024_2025[[#This Row],[A&amp;E attendances Type 2]]+
NHS_AE_2024_2025[[#This Row],[A&amp;E attendances Other A&amp;E Department]]</f>
        <v>16695</v>
      </c>
      <c r="Y1278">
        <f t="shared" si="38"/>
        <v>4855</v>
      </c>
      <c r="Z1278">
        <f t="shared" si="39"/>
        <v>6249</v>
      </c>
    </row>
    <row r="1279" spans="1:26" x14ac:dyDescent="0.2">
      <c r="A1279" t="s">
        <v>446</v>
      </c>
      <c r="B1279" t="s">
        <v>447</v>
      </c>
      <c r="C1279" t="s">
        <v>306</v>
      </c>
      <c r="D1279" t="s">
        <v>29</v>
      </c>
      <c r="E1279" t="s">
        <v>307</v>
      </c>
      <c r="F1279">
        <v>8735</v>
      </c>
      <c r="G1279">
        <v>0</v>
      </c>
      <c r="H1279">
        <v>3349</v>
      </c>
      <c r="I1279">
        <v>866</v>
      </c>
      <c r="J1279">
        <v>0</v>
      </c>
      <c r="K1279">
        <v>0</v>
      </c>
      <c r="L1279">
        <v>2270</v>
      </c>
      <c r="M1279">
        <v>0</v>
      </c>
      <c r="N1279">
        <v>0</v>
      </c>
      <c r="O1279">
        <v>87</v>
      </c>
      <c r="P1279">
        <v>0</v>
      </c>
      <c r="Q1279">
        <v>0</v>
      </c>
      <c r="R1279">
        <v>389</v>
      </c>
      <c r="S1279">
        <v>464</v>
      </c>
      <c r="T1279">
        <v>2539</v>
      </c>
      <c r="U1279">
        <v>0</v>
      </c>
      <c r="V1279">
        <v>0</v>
      </c>
      <c r="W1279">
        <v>737</v>
      </c>
      <c r="X1279">
        <f>NHS_AE_2024_2025[[#This Row],[A&amp;E attendances Type 1]]+
NHS_AE_2024_2025[[#This Row],[A&amp;E attendances Type 2]]+
NHS_AE_2024_2025[[#This Row],[A&amp;E attendances Other A&amp;E Department]]</f>
        <v>12084</v>
      </c>
      <c r="Y1279">
        <f t="shared" si="38"/>
        <v>2270</v>
      </c>
      <c r="Z1279">
        <f t="shared" si="39"/>
        <v>3276</v>
      </c>
    </row>
    <row r="1280" spans="1:26" x14ac:dyDescent="0.2">
      <c r="A1280" t="s">
        <v>446</v>
      </c>
      <c r="B1280" t="s">
        <v>447</v>
      </c>
      <c r="C1280" t="s">
        <v>308</v>
      </c>
      <c r="D1280" t="s">
        <v>32</v>
      </c>
      <c r="E1280" t="s">
        <v>309</v>
      </c>
      <c r="F1280">
        <v>8443</v>
      </c>
      <c r="G1280">
        <v>0</v>
      </c>
      <c r="H1280">
        <v>397</v>
      </c>
      <c r="I1280">
        <v>5</v>
      </c>
      <c r="J1280">
        <v>0</v>
      </c>
      <c r="K1280">
        <v>0</v>
      </c>
      <c r="L1280">
        <v>2539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394</v>
      </c>
      <c r="S1280">
        <v>9</v>
      </c>
      <c r="T1280">
        <v>2321</v>
      </c>
      <c r="U1280">
        <v>0</v>
      </c>
      <c r="V1280">
        <v>0</v>
      </c>
      <c r="W1280">
        <v>719</v>
      </c>
      <c r="X1280">
        <f>NHS_AE_2024_2025[[#This Row],[A&amp;E attendances Type 1]]+
NHS_AE_2024_2025[[#This Row],[A&amp;E attendances Type 2]]+
NHS_AE_2024_2025[[#This Row],[A&amp;E attendances Other A&amp;E Department]]</f>
        <v>8840</v>
      </c>
      <c r="Y1280">
        <f t="shared" si="38"/>
        <v>2539</v>
      </c>
      <c r="Z1280">
        <f t="shared" si="39"/>
        <v>3040</v>
      </c>
    </row>
    <row r="1281" spans="1:26" x14ac:dyDescent="0.2">
      <c r="A1281" t="s">
        <v>446</v>
      </c>
      <c r="B1281" t="s">
        <v>447</v>
      </c>
      <c r="C1281" t="s">
        <v>112</v>
      </c>
      <c r="D1281" t="s">
        <v>55</v>
      </c>
      <c r="E1281" t="s">
        <v>113</v>
      </c>
      <c r="F1281">
        <v>4360</v>
      </c>
      <c r="G1281">
        <v>0</v>
      </c>
      <c r="H1281">
        <v>0</v>
      </c>
      <c r="I1281">
        <v>71</v>
      </c>
      <c r="J1281">
        <v>0</v>
      </c>
      <c r="K1281">
        <v>29</v>
      </c>
      <c r="L1281">
        <v>2089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218</v>
      </c>
      <c r="S1281">
        <v>269</v>
      </c>
      <c r="T1281">
        <v>884</v>
      </c>
      <c r="U1281">
        <v>0</v>
      </c>
      <c r="V1281">
        <v>0</v>
      </c>
      <c r="W1281">
        <v>186</v>
      </c>
      <c r="X1281">
        <f>NHS_AE_2024_2025[[#This Row],[A&amp;E attendances Type 1]]+
NHS_AE_2024_2025[[#This Row],[A&amp;E attendances Type 2]]+
NHS_AE_2024_2025[[#This Row],[A&amp;E attendances Other A&amp;E Department]]</f>
        <v>4360</v>
      </c>
      <c r="Y1281">
        <f t="shared" si="38"/>
        <v>2089</v>
      </c>
      <c r="Z1281">
        <f t="shared" si="39"/>
        <v>1070</v>
      </c>
    </row>
    <row r="1282" spans="1:26" x14ac:dyDescent="0.2">
      <c r="A1282" t="s">
        <v>446</v>
      </c>
      <c r="B1282" t="s">
        <v>447</v>
      </c>
      <c r="C1282" t="s">
        <v>312</v>
      </c>
      <c r="D1282" t="s">
        <v>32</v>
      </c>
      <c r="E1282" t="s">
        <v>313</v>
      </c>
      <c r="F1282">
        <v>11658</v>
      </c>
      <c r="G1282">
        <v>1282</v>
      </c>
      <c r="H1282">
        <v>6828</v>
      </c>
      <c r="I1282">
        <v>15</v>
      </c>
      <c r="J1282">
        <v>0</v>
      </c>
      <c r="K1282">
        <v>43</v>
      </c>
      <c r="L1282">
        <v>6480</v>
      </c>
      <c r="M1282">
        <v>213</v>
      </c>
      <c r="N1282">
        <v>635</v>
      </c>
      <c r="O1282">
        <v>6</v>
      </c>
      <c r="P1282">
        <v>0</v>
      </c>
      <c r="Q1282">
        <v>2</v>
      </c>
      <c r="R1282">
        <v>197</v>
      </c>
      <c r="S1282">
        <v>75</v>
      </c>
      <c r="T1282">
        <v>2193</v>
      </c>
      <c r="U1282">
        <v>87</v>
      </c>
      <c r="V1282">
        <v>58</v>
      </c>
      <c r="W1282">
        <v>902</v>
      </c>
      <c r="X1282">
        <f>NHS_AE_2024_2025[[#This Row],[A&amp;E attendances Type 1]]+
NHS_AE_2024_2025[[#This Row],[A&amp;E attendances Type 2]]+
NHS_AE_2024_2025[[#This Row],[A&amp;E attendances Other A&amp;E Department]]</f>
        <v>19768</v>
      </c>
      <c r="Y1282">
        <f t="shared" ref="Y1282:Y1345" si="40">L1282+M1282+N1282</f>
        <v>7328</v>
      </c>
      <c r="Z1282">
        <f t="shared" ref="Z1282:Z1345" si="41">T1282+U1282+V1282+W1282</f>
        <v>3240</v>
      </c>
    </row>
    <row r="1283" spans="1:26" x14ac:dyDescent="0.2">
      <c r="A1283" t="s">
        <v>446</v>
      </c>
      <c r="B1283" t="s">
        <v>447</v>
      </c>
      <c r="C1283" t="s">
        <v>114</v>
      </c>
      <c r="D1283" t="s">
        <v>32</v>
      </c>
      <c r="E1283" t="s">
        <v>115</v>
      </c>
      <c r="F1283">
        <v>10551</v>
      </c>
      <c r="G1283">
        <v>575</v>
      </c>
      <c r="H1283">
        <v>1980</v>
      </c>
      <c r="I1283">
        <v>1269</v>
      </c>
      <c r="J1283">
        <v>0</v>
      </c>
      <c r="K1283">
        <v>46</v>
      </c>
      <c r="L1283">
        <v>3527</v>
      </c>
      <c r="M1283">
        <v>3</v>
      </c>
      <c r="N1283">
        <v>24</v>
      </c>
      <c r="O1283">
        <v>349</v>
      </c>
      <c r="P1283">
        <v>0</v>
      </c>
      <c r="Q1283">
        <v>0</v>
      </c>
      <c r="R1283">
        <v>447</v>
      </c>
      <c r="S1283">
        <v>737</v>
      </c>
      <c r="T1283">
        <v>1937</v>
      </c>
      <c r="U1283">
        <v>0</v>
      </c>
      <c r="V1283">
        <v>0</v>
      </c>
      <c r="W1283">
        <v>1287</v>
      </c>
      <c r="X1283">
        <f>NHS_AE_2024_2025[[#This Row],[A&amp;E attendances Type 1]]+
NHS_AE_2024_2025[[#This Row],[A&amp;E attendances Type 2]]+
NHS_AE_2024_2025[[#This Row],[A&amp;E attendances Other A&amp;E Department]]</f>
        <v>13106</v>
      </c>
      <c r="Y1283">
        <f t="shared" si="40"/>
        <v>3554</v>
      </c>
      <c r="Z1283">
        <f t="shared" si="41"/>
        <v>3224</v>
      </c>
    </row>
    <row r="1284" spans="1:26" x14ac:dyDescent="0.2">
      <c r="A1284" t="s">
        <v>446</v>
      </c>
      <c r="B1284" t="s">
        <v>447</v>
      </c>
      <c r="C1284" t="s">
        <v>332</v>
      </c>
      <c r="D1284" t="s">
        <v>55</v>
      </c>
      <c r="E1284" t="s">
        <v>333</v>
      </c>
      <c r="F1284">
        <v>6925</v>
      </c>
      <c r="G1284">
        <v>0</v>
      </c>
      <c r="H1284">
        <v>5397</v>
      </c>
      <c r="I1284">
        <v>0</v>
      </c>
      <c r="J1284">
        <v>0</v>
      </c>
      <c r="K1284">
        <v>0</v>
      </c>
      <c r="L1284">
        <v>3165</v>
      </c>
      <c r="M1284">
        <v>0</v>
      </c>
      <c r="N1284">
        <v>38</v>
      </c>
      <c r="O1284">
        <v>0</v>
      </c>
      <c r="P1284">
        <v>0</v>
      </c>
      <c r="Q1284">
        <v>0</v>
      </c>
      <c r="R1284">
        <v>962</v>
      </c>
      <c r="S1284">
        <v>258</v>
      </c>
      <c r="T1284">
        <v>2280</v>
      </c>
      <c r="U1284">
        <v>0</v>
      </c>
      <c r="V1284">
        <v>0</v>
      </c>
      <c r="W1284">
        <v>759</v>
      </c>
      <c r="X1284">
        <f>NHS_AE_2024_2025[[#This Row],[A&amp;E attendances Type 1]]+
NHS_AE_2024_2025[[#This Row],[A&amp;E attendances Type 2]]+
NHS_AE_2024_2025[[#This Row],[A&amp;E attendances Other A&amp;E Department]]</f>
        <v>12322</v>
      </c>
      <c r="Y1284">
        <f t="shared" si="40"/>
        <v>3203</v>
      </c>
      <c r="Z1284">
        <f t="shared" si="41"/>
        <v>3039</v>
      </c>
    </row>
    <row r="1285" spans="1:26" x14ac:dyDescent="0.2">
      <c r="A1285" t="s">
        <v>446</v>
      </c>
      <c r="B1285" t="s">
        <v>447</v>
      </c>
      <c r="C1285" t="s">
        <v>88</v>
      </c>
      <c r="D1285" t="s">
        <v>29</v>
      </c>
      <c r="E1285" t="s">
        <v>89</v>
      </c>
      <c r="F1285">
        <v>12631</v>
      </c>
      <c r="G1285">
        <v>0</v>
      </c>
      <c r="H1285">
        <v>0</v>
      </c>
      <c r="I1285">
        <v>492</v>
      </c>
      <c r="J1285">
        <v>0</v>
      </c>
      <c r="K1285">
        <v>0</v>
      </c>
      <c r="L1285">
        <v>3825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455</v>
      </c>
      <c r="S1285">
        <v>115</v>
      </c>
      <c r="T1285">
        <v>1439</v>
      </c>
      <c r="U1285">
        <v>0</v>
      </c>
      <c r="V1285">
        <v>0</v>
      </c>
      <c r="W1285">
        <v>298</v>
      </c>
      <c r="X1285">
        <f>NHS_AE_2024_2025[[#This Row],[A&amp;E attendances Type 1]]+
NHS_AE_2024_2025[[#This Row],[A&amp;E attendances Type 2]]+
NHS_AE_2024_2025[[#This Row],[A&amp;E attendances Other A&amp;E Department]]</f>
        <v>12631</v>
      </c>
      <c r="Y1285">
        <f t="shared" si="40"/>
        <v>3825</v>
      </c>
      <c r="Z1285">
        <f t="shared" si="41"/>
        <v>1737</v>
      </c>
    </row>
    <row r="1286" spans="1:26" x14ac:dyDescent="0.2">
      <c r="A1286" t="s">
        <v>446</v>
      </c>
      <c r="B1286" t="s">
        <v>447</v>
      </c>
      <c r="C1286" t="s">
        <v>392</v>
      </c>
      <c r="D1286" t="s">
        <v>50</v>
      </c>
      <c r="E1286" t="s">
        <v>393</v>
      </c>
      <c r="F1286">
        <v>11911</v>
      </c>
      <c r="G1286">
        <v>1453</v>
      </c>
      <c r="H1286">
        <v>5085</v>
      </c>
      <c r="I1286">
        <v>0</v>
      </c>
      <c r="J1286">
        <v>0</v>
      </c>
      <c r="K1286">
        <v>826</v>
      </c>
      <c r="L1286">
        <v>4989</v>
      </c>
      <c r="M1286">
        <v>48</v>
      </c>
      <c r="N1286">
        <v>0</v>
      </c>
      <c r="O1286">
        <v>0</v>
      </c>
      <c r="P1286">
        <v>0</v>
      </c>
      <c r="Q1286">
        <v>0</v>
      </c>
      <c r="R1286">
        <v>465</v>
      </c>
      <c r="S1286">
        <v>37</v>
      </c>
      <c r="T1286">
        <v>3347</v>
      </c>
      <c r="U1286">
        <v>14</v>
      </c>
      <c r="V1286">
        <v>0</v>
      </c>
      <c r="W1286">
        <v>2715</v>
      </c>
      <c r="X1286">
        <f>NHS_AE_2024_2025[[#This Row],[A&amp;E attendances Type 1]]+
NHS_AE_2024_2025[[#This Row],[A&amp;E attendances Type 2]]+
NHS_AE_2024_2025[[#This Row],[A&amp;E attendances Other A&amp;E Department]]</f>
        <v>18449</v>
      </c>
      <c r="Y1286">
        <f t="shared" si="40"/>
        <v>5037</v>
      </c>
      <c r="Z1286">
        <f t="shared" si="41"/>
        <v>6076</v>
      </c>
    </row>
    <row r="1287" spans="1:26" x14ac:dyDescent="0.2">
      <c r="A1287" t="s">
        <v>446</v>
      </c>
      <c r="B1287" t="s">
        <v>447</v>
      </c>
      <c r="C1287" t="s">
        <v>266</v>
      </c>
      <c r="D1287" t="s">
        <v>32</v>
      </c>
      <c r="E1287" t="s">
        <v>267</v>
      </c>
      <c r="F1287">
        <v>22235</v>
      </c>
      <c r="G1287">
        <v>1959</v>
      </c>
      <c r="H1287">
        <v>0</v>
      </c>
      <c r="I1287">
        <v>0</v>
      </c>
      <c r="J1287">
        <v>0</v>
      </c>
      <c r="K1287">
        <v>0</v>
      </c>
      <c r="L1287">
        <v>9660</v>
      </c>
      <c r="M1287">
        <v>73</v>
      </c>
      <c r="N1287">
        <v>0</v>
      </c>
      <c r="O1287">
        <v>0</v>
      </c>
      <c r="P1287">
        <v>0</v>
      </c>
      <c r="Q1287">
        <v>0</v>
      </c>
      <c r="R1287">
        <v>1609</v>
      </c>
      <c r="S1287">
        <v>647</v>
      </c>
      <c r="T1287">
        <v>6337</v>
      </c>
      <c r="U1287">
        <v>0</v>
      </c>
      <c r="V1287">
        <v>0</v>
      </c>
      <c r="W1287">
        <v>3222</v>
      </c>
      <c r="X1287">
        <f>NHS_AE_2024_2025[[#This Row],[A&amp;E attendances Type 1]]+
NHS_AE_2024_2025[[#This Row],[A&amp;E attendances Type 2]]+
NHS_AE_2024_2025[[#This Row],[A&amp;E attendances Other A&amp;E Department]]</f>
        <v>24194</v>
      </c>
      <c r="Y1287">
        <f t="shared" si="40"/>
        <v>9733</v>
      </c>
      <c r="Z1287">
        <f t="shared" si="41"/>
        <v>9559</v>
      </c>
    </row>
    <row r="1288" spans="1:26" x14ac:dyDescent="0.2">
      <c r="A1288" t="s">
        <v>446</v>
      </c>
      <c r="B1288" t="s">
        <v>447</v>
      </c>
      <c r="C1288" t="s">
        <v>176</v>
      </c>
      <c r="D1288" t="s">
        <v>55</v>
      </c>
      <c r="E1288" t="s">
        <v>177</v>
      </c>
      <c r="F1288">
        <v>8724</v>
      </c>
      <c r="G1288">
        <v>0</v>
      </c>
      <c r="H1288">
        <v>10098</v>
      </c>
      <c r="I1288">
        <v>262</v>
      </c>
      <c r="J1288">
        <v>0</v>
      </c>
      <c r="K1288">
        <v>256</v>
      </c>
      <c r="L1288">
        <v>3972</v>
      </c>
      <c r="M1288">
        <v>0</v>
      </c>
      <c r="N1288">
        <v>56</v>
      </c>
      <c r="O1288">
        <v>80</v>
      </c>
      <c r="P1288">
        <v>0</v>
      </c>
      <c r="Q1288">
        <v>0</v>
      </c>
      <c r="R1288">
        <v>452</v>
      </c>
      <c r="S1288">
        <v>656</v>
      </c>
      <c r="T1288">
        <v>2452</v>
      </c>
      <c r="U1288">
        <v>0</v>
      </c>
      <c r="V1288">
        <v>0</v>
      </c>
      <c r="W1288">
        <v>1287</v>
      </c>
      <c r="X1288">
        <f>NHS_AE_2024_2025[[#This Row],[A&amp;E attendances Type 1]]+
NHS_AE_2024_2025[[#This Row],[A&amp;E attendances Type 2]]+
NHS_AE_2024_2025[[#This Row],[A&amp;E attendances Other A&amp;E Department]]</f>
        <v>18822</v>
      </c>
      <c r="Y1288">
        <f t="shared" si="40"/>
        <v>4028</v>
      </c>
      <c r="Z1288">
        <f t="shared" si="41"/>
        <v>3739</v>
      </c>
    </row>
    <row r="1289" spans="1:26" x14ac:dyDescent="0.2">
      <c r="A1289" t="s">
        <v>446</v>
      </c>
      <c r="B1289" t="s">
        <v>447</v>
      </c>
      <c r="C1289" t="s">
        <v>216</v>
      </c>
      <c r="D1289" t="s">
        <v>55</v>
      </c>
      <c r="E1289" t="s">
        <v>217</v>
      </c>
      <c r="F1289">
        <v>12826</v>
      </c>
      <c r="G1289">
        <v>0</v>
      </c>
      <c r="H1289">
        <v>10971</v>
      </c>
      <c r="I1289">
        <v>0</v>
      </c>
      <c r="J1289">
        <v>0</v>
      </c>
      <c r="K1289">
        <v>0</v>
      </c>
      <c r="L1289">
        <v>4246</v>
      </c>
      <c r="M1289">
        <v>0</v>
      </c>
      <c r="N1289">
        <v>444</v>
      </c>
      <c r="O1289">
        <v>0</v>
      </c>
      <c r="P1289">
        <v>0</v>
      </c>
      <c r="Q1289">
        <v>0</v>
      </c>
      <c r="R1289">
        <v>521</v>
      </c>
      <c r="S1289">
        <v>1077</v>
      </c>
      <c r="T1289">
        <v>4077</v>
      </c>
      <c r="U1289">
        <v>0</v>
      </c>
      <c r="V1289">
        <v>79</v>
      </c>
      <c r="W1289">
        <v>1639</v>
      </c>
      <c r="X1289">
        <f>NHS_AE_2024_2025[[#This Row],[A&amp;E attendances Type 1]]+
NHS_AE_2024_2025[[#This Row],[A&amp;E attendances Type 2]]+
NHS_AE_2024_2025[[#This Row],[A&amp;E attendances Other A&amp;E Department]]</f>
        <v>23797</v>
      </c>
      <c r="Y1289">
        <f t="shared" si="40"/>
        <v>4690</v>
      </c>
      <c r="Z1289">
        <f t="shared" si="41"/>
        <v>5795</v>
      </c>
    </row>
    <row r="1290" spans="1:26" x14ac:dyDescent="0.2">
      <c r="A1290" t="s">
        <v>446</v>
      </c>
      <c r="B1290" t="s">
        <v>447</v>
      </c>
      <c r="C1290" t="s">
        <v>272</v>
      </c>
      <c r="D1290" t="s">
        <v>32</v>
      </c>
      <c r="E1290" t="s">
        <v>273</v>
      </c>
      <c r="F1290">
        <v>10501</v>
      </c>
      <c r="G1290">
        <v>0</v>
      </c>
      <c r="H1290">
        <v>2425</v>
      </c>
      <c r="I1290">
        <v>0</v>
      </c>
      <c r="J1290">
        <v>0</v>
      </c>
      <c r="K1290">
        <v>0</v>
      </c>
      <c r="L1290">
        <v>5966</v>
      </c>
      <c r="M1290">
        <v>0</v>
      </c>
      <c r="N1290">
        <v>243</v>
      </c>
      <c r="O1290">
        <v>0</v>
      </c>
      <c r="P1290">
        <v>0</v>
      </c>
      <c r="Q1290">
        <v>0</v>
      </c>
      <c r="R1290">
        <v>439</v>
      </c>
      <c r="S1290">
        <v>647</v>
      </c>
      <c r="T1290">
        <v>2908</v>
      </c>
      <c r="U1290">
        <v>0</v>
      </c>
      <c r="V1290">
        <v>146</v>
      </c>
      <c r="W1290">
        <v>1960</v>
      </c>
      <c r="X1290">
        <f>NHS_AE_2024_2025[[#This Row],[A&amp;E attendances Type 1]]+
NHS_AE_2024_2025[[#This Row],[A&amp;E attendances Type 2]]+
NHS_AE_2024_2025[[#This Row],[A&amp;E attendances Other A&amp;E Department]]</f>
        <v>12926</v>
      </c>
      <c r="Y1290">
        <f t="shared" si="40"/>
        <v>6209</v>
      </c>
      <c r="Z1290">
        <f t="shared" si="41"/>
        <v>5014</v>
      </c>
    </row>
    <row r="1291" spans="1:26" x14ac:dyDescent="0.2">
      <c r="A1291" t="s">
        <v>446</v>
      </c>
      <c r="B1291" t="s">
        <v>447</v>
      </c>
      <c r="C1291" t="s">
        <v>218</v>
      </c>
      <c r="D1291" t="s">
        <v>70</v>
      </c>
      <c r="E1291" t="s">
        <v>219</v>
      </c>
      <c r="F1291">
        <v>0</v>
      </c>
      <c r="G1291">
        <v>0</v>
      </c>
      <c r="H1291">
        <v>1038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24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f>NHS_AE_2024_2025[[#This Row],[A&amp;E attendances Type 1]]+
NHS_AE_2024_2025[[#This Row],[A&amp;E attendances Type 2]]+
NHS_AE_2024_2025[[#This Row],[A&amp;E attendances Other A&amp;E Department]]</f>
        <v>1038</v>
      </c>
      <c r="Y1291">
        <f t="shared" si="40"/>
        <v>24</v>
      </c>
      <c r="Z1291">
        <f t="shared" si="41"/>
        <v>0</v>
      </c>
    </row>
    <row r="1292" spans="1:26" x14ac:dyDescent="0.2">
      <c r="A1292" t="s">
        <v>446</v>
      </c>
      <c r="B1292" t="s">
        <v>447</v>
      </c>
      <c r="C1292" t="s">
        <v>92</v>
      </c>
      <c r="D1292" t="s">
        <v>26</v>
      </c>
      <c r="E1292" t="s">
        <v>93</v>
      </c>
      <c r="F1292">
        <v>0</v>
      </c>
      <c r="G1292">
        <v>0</v>
      </c>
      <c r="H1292">
        <v>2759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100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f>NHS_AE_2024_2025[[#This Row],[A&amp;E attendances Type 1]]+
NHS_AE_2024_2025[[#This Row],[A&amp;E attendances Type 2]]+
NHS_AE_2024_2025[[#This Row],[A&amp;E attendances Other A&amp;E Department]]</f>
        <v>2759</v>
      </c>
      <c r="Y1292">
        <f t="shared" si="40"/>
        <v>100</v>
      </c>
      <c r="Z1292">
        <f t="shared" si="41"/>
        <v>0</v>
      </c>
    </row>
    <row r="1293" spans="1:26" x14ac:dyDescent="0.2">
      <c r="A1293" t="s">
        <v>446</v>
      </c>
      <c r="B1293" t="s">
        <v>447</v>
      </c>
      <c r="C1293" t="s">
        <v>278</v>
      </c>
      <c r="D1293" t="s">
        <v>32</v>
      </c>
      <c r="E1293" t="s">
        <v>279</v>
      </c>
      <c r="F1293">
        <v>0</v>
      </c>
      <c r="G1293">
        <v>0</v>
      </c>
      <c r="H1293">
        <v>351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f>NHS_AE_2024_2025[[#This Row],[A&amp;E attendances Type 1]]+
NHS_AE_2024_2025[[#This Row],[A&amp;E attendances Type 2]]+
NHS_AE_2024_2025[[#This Row],[A&amp;E attendances Other A&amp;E Department]]</f>
        <v>351</v>
      </c>
      <c r="Y1293">
        <f t="shared" si="40"/>
        <v>0</v>
      </c>
      <c r="Z1293">
        <f t="shared" si="41"/>
        <v>0</v>
      </c>
    </row>
    <row r="1294" spans="1:26" x14ac:dyDescent="0.2">
      <c r="A1294" t="s">
        <v>446</v>
      </c>
      <c r="B1294" t="s">
        <v>447</v>
      </c>
      <c r="C1294" t="s">
        <v>280</v>
      </c>
      <c r="D1294" t="s">
        <v>50</v>
      </c>
      <c r="E1294" t="s">
        <v>281</v>
      </c>
      <c r="F1294">
        <v>0</v>
      </c>
      <c r="G1294">
        <v>0</v>
      </c>
      <c r="H1294">
        <v>3630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596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f>NHS_AE_2024_2025[[#This Row],[A&amp;E attendances Type 1]]+
NHS_AE_2024_2025[[#This Row],[A&amp;E attendances Type 2]]+
NHS_AE_2024_2025[[#This Row],[A&amp;E attendances Other A&amp;E Department]]</f>
        <v>3630</v>
      </c>
      <c r="Y1294">
        <f t="shared" si="40"/>
        <v>596</v>
      </c>
      <c r="Z1294">
        <f t="shared" si="41"/>
        <v>0</v>
      </c>
    </row>
    <row r="1295" spans="1:26" x14ac:dyDescent="0.2">
      <c r="A1295" t="s">
        <v>446</v>
      </c>
      <c r="B1295" t="s">
        <v>447</v>
      </c>
      <c r="C1295" t="s">
        <v>282</v>
      </c>
      <c r="D1295" t="s">
        <v>50</v>
      </c>
      <c r="E1295" t="s">
        <v>283</v>
      </c>
      <c r="F1295">
        <v>0</v>
      </c>
      <c r="G1295">
        <v>0</v>
      </c>
      <c r="H1295">
        <v>2879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450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f>NHS_AE_2024_2025[[#This Row],[A&amp;E attendances Type 1]]+
NHS_AE_2024_2025[[#This Row],[A&amp;E attendances Type 2]]+
NHS_AE_2024_2025[[#This Row],[A&amp;E attendances Other A&amp;E Department]]</f>
        <v>2879</v>
      </c>
      <c r="Y1295">
        <f t="shared" si="40"/>
        <v>450</v>
      </c>
      <c r="Z1295">
        <f t="shared" si="41"/>
        <v>0</v>
      </c>
    </row>
    <row r="1296" spans="1:26" x14ac:dyDescent="0.2">
      <c r="A1296" t="s">
        <v>446</v>
      </c>
      <c r="B1296" t="s">
        <v>447</v>
      </c>
      <c r="C1296" t="s">
        <v>284</v>
      </c>
      <c r="D1296" t="s">
        <v>50</v>
      </c>
      <c r="E1296" t="s">
        <v>285</v>
      </c>
      <c r="F1296">
        <v>0</v>
      </c>
      <c r="G1296">
        <v>0</v>
      </c>
      <c r="H1296">
        <v>1560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32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f>NHS_AE_2024_2025[[#This Row],[A&amp;E attendances Type 1]]+
NHS_AE_2024_2025[[#This Row],[A&amp;E attendances Type 2]]+
NHS_AE_2024_2025[[#This Row],[A&amp;E attendances Other A&amp;E Department]]</f>
        <v>1560</v>
      </c>
      <c r="Y1296">
        <f t="shared" si="40"/>
        <v>32</v>
      </c>
      <c r="Z1296">
        <f t="shared" si="41"/>
        <v>0</v>
      </c>
    </row>
    <row r="1297" spans="1:26" x14ac:dyDescent="0.2">
      <c r="A1297" t="s">
        <v>446</v>
      </c>
      <c r="B1297" t="s">
        <v>447</v>
      </c>
      <c r="C1297" t="s">
        <v>136</v>
      </c>
      <c r="D1297" t="s">
        <v>32</v>
      </c>
      <c r="E1297" t="s">
        <v>137</v>
      </c>
      <c r="F1297">
        <v>0</v>
      </c>
      <c r="G1297">
        <v>0</v>
      </c>
      <c r="H1297">
        <v>5953</v>
      </c>
      <c r="I1297">
        <v>0</v>
      </c>
      <c r="J1297">
        <v>0</v>
      </c>
      <c r="K1297">
        <v>539</v>
      </c>
      <c r="L1297">
        <v>0</v>
      </c>
      <c r="M1297">
        <v>0</v>
      </c>
      <c r="N1297">
        <v>17</v>
      </c>
      <c r="O1297">
        <v>0</v>
      </c>
      <c r="P1297">
        <v>0</v>
      </c>
      <c r="Q1297">
        <v>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f>NHS_AE_2024_2025[[#This Row],[A&amp;E attendances Type 1]]+
NHS_AE_2024_2025[[#This Row],[A&amp;E attendances Type 2]]+
NHS_AE_2024_2025[[#This Row],[A&amp;E attendances Other A&amp;E Department]]</f>
        <v>5953</v>
      </c>
      <c r="Y1297">
        <f t="shared" si="40"/>
        <v>17</v>
      </c>
      <c r="Z1297">
        <f t="shared" si="41"/>
        <v>0</v>
      </c>
    </row>
    <row r="1298" spans="1:26" x14ac:dyDescent="0.2">
      <c r="A1298" t="s">
        <v>446</v>
      </c>
      <c r="B1298" t="s">
        <v>447</v>
      </c>
      <c r="C1298" t="s">
        <v>138</v>
      </c>
      <c r="D1298" t="s">
        <v>32</v>
      </c>
      <c r="E1298" t="s">
        <v>139</v>
      </c>
      <c r="F1298">
        <v>0</v>
      </c>
      <c r="G1298">
        <v>0</v>
      </c>
      <c r="H1298">
        <v>196</v>
      </c>
      <c r="I1298">
        <v>0</v>
      </c>
      <c r="J1298">
        <v>0</v>
      </c>
      <c r="K1298">
        <v>1968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f>NHS_AE_2024_2025[[#This Row],[A&amp;E attendances Type 1]]+
NHS_AE_2024_2025[[#This Row],[A&amp;E attendances Type 2]]+
NHS_AE_2024_2025[[#This Row],[A&amp;E attendances Other A&amp;E Department]]</f>
        <v>196</v>
      </c>
      <c r="Y1298">
        <f t="shared" si="40"/>
        <v>1</v>
      </c>
      <c r="Z1298">
        <f t="shared" si="41"/>
        <v>0</v>
      </c>
    </row>
    <row r="1299" spans="1:26" x14ac:dyDescent="0.2">
      <c r="A1299" t="s">
        <v>446</v>
      </c>
      <c r="B1299" t="s">
        <v>447</v>
      </c>
      <c r="C1299" t="s">
        <v>140</v>
      </c>
      <c r="D1299" t="s">
        <v>32</v>
      </c>
      <c r="E1299" t="s">
        <v>141</v>
      </c>
      <c r="F1299">
        <v>0</v>
      </c>
      <c r="G1299">
        <v>0</v>
      </c>
      <c r="H1299">
        <v>109</v>
      </c>
      <c r="I1299">
        <v>0</v>
      </c>
      <c r="J1299">
        <v>0</v>
      </c>
      <c r="K1299">
        <v>380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f>NHS_AE_2024_2025[[#This Row],[A&amp;E attendances Type 1]]+
NHS_AE_2024_2025[[#This Row],[A&amp;E attendances Type 2]]+
NHS_AE_2024_2025[[#This Row],[A&amp;E attendances Other A&amp;E Department]]</f>
        <v>109</v>
      </c>
      <c r="Y1299">
        <f t="shared" si="40"/>
        <v>0</v>
      </c>
      <c r="Z1299">
        <f t="shared" si="41"/>
        <v>0</v>
      </c>
    </row>
    <row r="1300" spans="1:26" x14ac:dyDescent="0.2">
      <c r="A1300" t="s">
        <v>446</v>
      </c>
      <c r="B1300" t="s">
        <v>447</v>
      </c>
      <c r="C1300" t="s">
        <v>142</v>
      </c>
      <c r="D1300" t="s">
        <v>32</v>
      </c>
      <c r="E1300" t="s">
        <v>143</v>
      </c>
      <c r="F1300">
        <v>0</v>
      </c>
      <c r="G1300">
        <v>0</v>
      </c>
      <c r="H1300">
        <v>74</v>
      </c>
      <c r="I1300">
        <v>0</v>
      </c>
      <c r="J1300">
        <v>0</v>
      </c>
      <c r="K1300">
        <v>365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f>NHS_AE_2024_2025[[#This Row],[A&amp;E attendances Type 1]]+
NHS_AE_2024_2025[[#This Row],[A&amp;E attendances Type 2]]+
NHS_AE_2024_2025[[#This Row],[A&amp;E attendances Other A&amp;E Department]]</f>
        <v>74</v>
      </c>
      <c r="Y1300">
        <f t="shared" si="40"/>
        <v>0</v>
      </c>
      <c r="Z1300">
        <f t="shared" si="41"/>
        <v>0</v>
      </c>
    </row>
    <row r="1301" spans="1:26" x14ac:dyDescent="0.2">
      <c r="A1301" t="s">
        <v>446</v>
      </c>
      <c r="B1301" t="s">
        <v>447</v>
      </c>
      <c r="C1301" t="s">
        <v>414</v>
      </c>
      <c r="D1301" t="s">
        <v>32</v>
      </c>
      <c r="E1301" t="s">
        <v>415</v>
      </c>
      <c r="F1301">
        <v>0</v>
      </c>
      <c r="G1301">
        <v>0</v>
      </c>
      <c r="H1301">
        <v>500</v>
      </c>
      <c r="I1301">
        <v>0</v>
      </c>
      <c r="J1301">
        <v>0</v>
      </c>
      <c r="K1301">
        <v>2143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f>NHS_AE_2024_2025[[#This Row],[A&amp;E attendances Type 1]]+
NHS_AE_2024_2025[[#This Row],[A&amp;E attendances Type 2]]+
NHS_AE_2024_2025[[#This Row],[A&amp;E attendances Other A&amp;E Department]]</f>
        <v>500</v>
      </c>
      <c r="Y1301">
        <f t="shared" si="40"/>
        <v>1</v>
      </c>
      <c r="Z1301">
        <f t="shared" si="41"/>
        <v>0</v>
      </c>
    </row>
    <row r="1302" spans="1:26" x14ac:dyDescent="0.2">
      <c r="A1302" t="s">
        <v>446</v>
      </c>
      <c r="B1302" t="s">
        <v>447</v>
      </c>
      <c r="C1302" t="s">
        <v>144</v>
      </c>
      <c r="D1302" t="s">
        <v>32</v>
      </c>
      <c r="E1302" t="s">
        <v>145</v>
      </c>
      <c r="F1302">
        <v>0</v>
      </c>
      <c r="G1302">
        <v>0</v>
      </c>
      <c r="H1302">
        <v>89</v>
      </c>
      <c r="I1302">
        <v>0</v>
      </c>
      <c r="J1302">
        <v>0</v>
      </c>
      <c r="K1302">
        <v>378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f>NHS_AE_2024_2025[[#This Row],[A&amp;E attendances Type 1]]+
NHS_AE_2024_2025[[#This Row],[A&amp;E attendances Type 2]]+
NHS_AE_2024_2025[[#This Row],[A&amp;E attendances Other A&amp;E Department]]</f>
        <v>89</v>
      </c>
      <c r="Y1302">
        <f t="shared" si="40"/>
        <v>0</v>
      </c>
      <c r="Z1302">
        <f t="shared" si="41"/>
        <v>0</v>
      </c>
    </row>
    <row r="1303" spans="1:26" x14ac:dyDescent="0.2">
      <c r="A1303" t="s">
        <v>446</v>
      </c>
      <c r="B1303" t="s">
        <v>447</v>
      </c>
      <c r="C1303" t="s">
        <v>146</v>
      </c>
      <c r="D1303" t="s">
        <v>32</v>
      </c>
      <c r="E1303" t="s">
        <v>147</v>
      </c>
      <c r="F1303">
        <v>0</v>
      </c>
      <c r="G1303">
        <v>0</v>
      </c>
      <c r="H1303">
        <v>5115</v>
      </c>
      <c r="I1303">
        <v>0</v>
      </c>
      <c r="J1303">
        <v>0</v>
      </c>
      <c r="K1303">
        <v>252</v>
      </c>
      <c r="L1303">
        <v>0</v>
      </c>
      <c r="M1303">
        <v>0</v>
      </c>
      <c r="N1303">
        <v>158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f>NHS_AE_2024_2025[[#This Row],[A&amp;E attendances Type 1]]+
NHS_AE_2024_2025[[#This Row],[A&amp;E attendances Type 2]]+
NHS_AE_2024_2025[[#This Row],[A&amp;E attendances Other A&amp;E Department]]</f>
        <v>5115</v>
      </c>
      <c r="Y1303">
        <f t="shared" si="40"/>
        <v>158</v>
      </c>
      <c r="Z1303">
        <f t="shared" si="41"/>
        <v>0</v>
      </c>
    </row>
    <row r="1304" spans="1:26" x14ac:dyDescent="0.2">
      <c r="A1304" t="s">
        <v>446</v>
      </c>
      <c r="B1304" t="s">
        <v>447</v>
      </c>
      <c r="C1304" t="s">
        <v>394</v>
      </c>
      <c r="D1304" t="s">
        <v>55</v>
      </c>
      <c r="E1304" t="s">
        <v>395</v>
      </c>
      <c r="F1304">
        <v>24223</v>
      </c>
      <c r="G1304">
        <v>3076</v>
      </c>
      <c r="H1304">
        <v>11452</v>
      </c>
      <c r="I1304">
        <v>3430</v>
      </c>
      <c r="J1304">
        <v>491</v>
      </c>
      <c r="K1304">
        <v>918</v>
      </c>
      <c r="L1304">
        <v>10837</v>
      </c>
      <c r="M1304">
        <v>74</v>
      </c>
      <c r="N1304">
        <v>630</v>
      </c>
      <c r="O1304">
        <v>1478</v>
      </c>
      <c r="P1304">
        <v>13</v>
      </c>
      <c r="Q1304">
        <v>97</v>
      </c>
      <c r="R1304">
        <v>3996</v>
      </c>
      <c r="S1304">
        <v>364</v>
      </c>
      <c r="T1304">
        <v>5517</v>
      </c>
      <c r="U1304">
        <v>140</v>
      </c>
      <c r="V1304">
        <v>141</v>
      </c>
      <c r="W1304">
        <v>408</v>
      </c>
      <c r="X1304">
        <f>NHS_AE_2024_2025[[#This Row],[A&amp;E attendances Type 1]]+
NHS_AE_2024_2025[[#This Row],[A&amp;E attendances Type 2]]+
NHS_AE_2024_2025[[#This Row],[A&amp;E attendances Other A&amp;E Department]]</f>
        <v>38751</v>
      </c>
      <c r="Y1304">
        <f t="shared" si="40"/>
        <v>11541</v>
      </c>
      <c r="Z1304">
        <f t="shared" si="41"/>
        <v>6206</v>
      </c>
    </row>
    <row r="1305" spans="1:26" x14ac:dyDescent="0.2">
      <c r="A1305" t="s">
        <v>446</v>
      </c>
      <c r="B1305" t="s">
        <v>447</v>
      </c>
      <c r="C1305" t="s">
        <v>188</v>
      </c>
      <c r="D1305" t="s">
        <v>26</v>
      </c>
      <c r="E1305" t="s">
        <v>189</v>
      </c>
      <c r="F1305">
        <v>15122</v>
      </c>
      <c r="G1305">
        <v>2174</v>
      </c>
      <c r="H1305">
        <v>0</v>
      </c>
      <c r="I1305">
        <v>0</v>
      </c>
      <c r="J1305">
        <v>0</v>
      </c>
      <c r="K1305">
        <v>0</v>
      </c>
      <c r="L1305">
        <v>5215</v>
      </c>
      <c r="M1305">
        <v>88</v>
      </c>
      <c r="N1305">
        <v>0</v>
      </c>
      <c r="O1305">
        <v>0</v>
      </c>
      <c r="P1305">
        <v>0</v>
      </c>
      <c r="Q1305">
        <v>0</v>
      </c>
      <c r="R1305">
        <v>1156</v>
      </c>
      <c r="S1305">
        <v>230</v>
      </c>
      <c r="T1305">
        <v>5180</v>
      </c>
      <c r="U1305">
        <v>8</v>
      </c>
      <c r="V1305">
        <v>0</v>
      </c>
      <c r="W1305">
        <v>1337</v>
      </c>
      <c r="X1305">
        <f>NHS_AE_2024_2025[[#This Row],[A&amp;E attendances Type 1]]+
NHS_AE_2024_2025[[#This Row],[A&amp;E attendances Type 2]]+
NHS_AE_2024_2025[[#This Row],[A&amp;E attendances Other A&amp;E Department]]</f>
        <v>17296</v>
      </c>
      <c r="Y1305">
        <f t="shared" si="40"/>
        <v>5303</v>
      </c>
      <c r="Z1305">
        <f t="shared" si="41"/>
        <v>6525</v>
      </c>
    </row>
    <row r="1306" spans="1:26" x14ac:dyDescent="0.2">
      <c r="A1306" t="s">
        <v>446</v>
      </c>
      <c r="B1306" t="s">
        <v>447</v>
      </c>
      <c r="C1306" t="s">
        <v>190</v>
      </c>
      <c r="D1306" t="s">
        <v>50</v>
      </c>
      <c r="E1306" t="s">
        <v>191</v>
      </c>
      <c r="F1306">
        <v>9289</v>
      </c>
      <c r="G1306">
        <v>947</v>
      </c>
      <c r="H1306">
        <v>3306</v>
      </c>
      <c r="I1306">
        <v>0</v>
      </c>
      <c r="J1306">
        <v>0</v>
      </c>
      <c r="K1306">
        <v>0</v>
      </c>
      <c r="L1306">
        <v>2260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587</v>
      </c>
      <c r="S1306">
        <v>43</v>
      </c>
      <c r="T1306">
        <v>2539</v>
      </c>
      <c r="U1306">
        <v>0</v>
      </c>
      <c r="V1306">
        <v>57</v>
      </c>
      <c r="W1306">
        <v>1499</v>
      </c>
      <c r="X1306">
        <f>NHS_AE_2024_2025[[#This Row],[A&amp;E attendances Type 1]]+
NHS_AE_2024_2025[[#This Row],[A&amp;E attendances Type 2]]+
NHS_AE_2024_2025[[#This Row],[A&amp;E attendances Other A&amp;E Department]]</f>
        <v>13542</v>
      </c>
      <c r="Y1306">
        <f t="shared" si="40"/>
        <v>2260</v>
      </c>
      <c r="Z1306">
        <f t="shared" si="41"/>
        <v>4095</v>
      </c>
    </row>
    <row r="1307" spans="1:26" x14ac:dyDescent="0.2">
      <c r="A1307" t="s">
        <v>446</v>
      </c>
      <c r="B1307" t="s">
        <v>447</v>
      </c>
      <c r="C1307" t="s">
        <v>228</v>
      </c>
      <c r="D1307" t="s">
        <v>70</v>
      </c>
      <c r="E1307" t="s">
        <v>229</v>
      </c>
      <c r="F1307">
        <v>29579</v>
      </c>
      <c r="G1307">
        <v>0</v>
      </c>
      <c r="H1307">
        <v>6128</v>
      </c>
      <c r="I1307">
        <v>392</v>
      </c>
      <c r="J1307">
        <v>0</v>
      </c>
      <c r="K1307">
        <v>103</v>
      </c>
      <c r="L1307">
        <v>9148</v>
      </c>
      <c r="M1307">
        <v>0</v>
      </c>
      <c r="N1307">
        <v>156</v>
      </c>
      <c r="O1307">
        <v>84</v>
      </c>
      <c r="P1307">
        <v>0</v>
      </c>
      <c r="Q1307">
        <v>0</v>
      </c>
      <c r="R1307">
        <v>3321</v>
      </c>
      <c r="S1307">
        <v>41</v>
      </c>
      <c r="T1307">
        <v>8811</v>
      </c>
      <c r="U1307">
        <v>0</v>
      </c>
      <c r="V1307">
        <v>209</v>
      </c>
      <c r="W1307">
        <v>1175</v>
      </c>
      <c r="X1307">
        <f>NHS_AE_2024_2025[[#This Row],[A&amp;E attendances Type 1]]+
NHS_AE_2024_2025[[#This Row],[A&amp;E attendances Type 2]]+
NHS_AE_2024_2025[[#This Row],[A&amp;E attendances Other A&amp;E Department]]</f>
        <v>35707</v>
      </c>
      <c r="Y1307">
        <f t="shared" si="40"/>
        <v>9304</v>
      </c>
      <c r="Z1307">
        <f t="shared" si="41"/>
        <v>10195</v>
      </c>
    </row>
    <row r="1308" spans="1:26" x14ac:dyDescent="0.2">
      <c r="A1308" t="s">
        <v>446</v>
      </c>
      <c r="B1308" t="s">
        <v>447</v>
      </c>
      <c r="C1308" t="s">
        <v>236</v>
      </c>
      <c r="D1308" t="s">
        <v>32</v>
      </c>
      <c r="E1308" t="s">
        <v>237</v>
      </c>
      <c r="F1308">
        <v>8677</v>
      </c>
      <c r="G1308">
        <v>0</v>
      </c>
      <c r="H1308">
        <v>3899</v>
      </c>
      <c r="I1308">
        <v>439</v>
      </c>
      <c r="J1308">
        <v>0</v>
      </c>
      <c r="K1308">
        <v>147</v>
      </c>
      <c r="L1308">
        <v>2729</v>
      </c>
      <c r="M1308">
        <v>0</v>
      </c>
      <c r="N1308">
        <v>129</v>
      </c>
      <c r="O1308">
        <v>73</v>
      </c>
      <c r="P1308">
        <v>0</v>
      </c>
      <c r="Q1308">
        <v>0</v>
      </c>
      <c r="R1308">
        <v>749</v>
      </c>
      <c r="S1308">
        <v>72</v>
      </c>
      <c r="T1308">
        <v>3614</v>
      </c>
      <c r="U1308">
        <v>0</v>
      </c>
      <c r="V1308">
        <v>0</v>
      </c>
      <c r="W1308">
        <v>715</v>
      </c>
      <c r="X1308">
        <f>NHS_AE_2024_2025[[#This Row],[A&amp;E attendances Type 1]]+
NHS_AE_2024_2025[[#This Row],[A&amp;E attendances Type 2]]+
NHS_AE_2024_2025[[#This Row],[A&amp;E attendances Other A&amp;E Department]]</f>
        <v>12576</v>
      </c>
      <c r="Y1308">
        <f t="shared" si="40"/>
        <v>2858</v>
      </c>
      <c r="Z1308">
        <f t="shared" si="41"/>
        <v>4329</v>
      </c>
    </row>
    <row r="1309" spans="1:26" x14ac:dyDescent="0.2">
      <c r="A1309" t="s">
        <v>446</v>
      </c>
      <c r="B1309" t="s">
        <v>447</v>
      </c>
      <c r="C1309" t="s">
        <v>294</v>
      </c>
      <c r="D1309" t="s">
        <v>70</v>
      </c>
      <c r="E1309" t="s">
        <v>295</v>
      </c>
      <c r="F1309">
        <v>16576</v>
      </c>
      <c r="G1309">
        <v>0</v>
      </c>
      <c r="H1309">
        <v>8001</v>
      </c>
      <c r="I1309">
        <v>0</v>
      </c>
      <c r="J1309">
        <v>0</v>
      </c>
      <c r="K1309">
        <v>975</v>
      </c>
      <c r="L1309">
        <v>6129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80</v>
      </c>
      <c r="S1309">
        <v>6</v>
      </c>
      <c r="T1309">
        <v>4767</v>
      </c>
      <c r="U1309">
        <v>0</v>
      </c>
      <c r="V1309">
        <v>0</v>
      </c>
      <c r="W1309">
        <v>2021</v>
      </c>
      <c r="X1309">
        <f>NHS_AE_2024_2025[[#This Row],[A&amp;E attendances Type 1]]+
NHS_AE_2024_2025[[#This Row],[A&amp;E attendances Type 2]]+
NHS_AE_2024_2025[[#This Row],[A&amp;E attendances Other A&amp;E Department]]</f>
        <v>24577</v>
      </c>
      <c r="Y1309">
        <f t="shared" si="40"/>
        <v>6129</v>
      </c>
      <c r="Z1309">
        <f t="shared" si="41"/>
        <v>6788</v>
      </c>
    </row>
    <row r="1310" spans="1:26" x14ac:dyDescent="0.2">
      <c r="A1310" t="s">
        <v>446</v>
      </c>
      <c r="B1310" t="s">
        <v>447</v>
      </c>
      <c r="C1310" t="s">
        <v>122</v>
      </c>
      <c r="D1310" t="s">
        <v>50</v>
      </c>
      <c r="E1310" t="s">
        <v>123</v>
      </c>
      <c r="F1310">
        <v>8704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2724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327</v>
      </c>
      <c r="S1310">
        <v>0</v>
      </c>
      <c r="T1310">
        <v>3156</v>
      </c>
      <c r="U1310">
        <v>0</v>
      </c>
      <c r="V1310">
        <v>0</v>
      </c>
      <c r="W1310">
        <v>525</v>
      </c>
      <c r="X1310">
        <f>NHS_AE_2024_2025[[#This Row],[A&amp;E attendances Type 1]]+
NHS_AE_2024_2025[[#This Row],[A&amp;E attendances Type 2]]+
NHS_AE_2024_2025[[#This Row],[A&amp;E attendances Other A&amp;E Department]]</f>
        <v>8704</v>
      </c>
      <c r="Y1310">
        <f t="shared" si="40"/>
        <v>2724</v>
      </c>
      <c r="Z1310">
        <f t="shared" si="41"/>
        <v>3681</v>
      </c>
    </row>
    <row r="1311" spans="1:26" x14ac:dyDescent="0.2">
      <c r="A1311" t="s">
        <v>446</v>
      </c>
      <c r="B1311" t="s">
        <v>447</v>
      </c>
      <c r="C1311" t="s">
        <v>244</v>
      </c>
      <c r="D1311" t="s">
        <v>70</v>
      </c>
      <c r="E1311" t="s">
        <v>245</v>
      </c>
      <c r="F1311">
        <v>13873</v>
      </c>
      <c r="G1311">
        <v>0</v>
      </c>
      <c r="H1311">
        <v>5048</v>
      </c>
      <c r="I1311">
        <v>215</v>
      </c>
      <c r="J1311">
        <v>0</v>
      </c>
      <c r="K1311">
        <v>570</v>
      </c>
      <c r="L1311">
        <v>5013</v>
      </c>
      <c r="M1311">
        <v>0</v>
      </c>
      <c r="N1311">
        <v>408</v>
      </c>
      <c r="O1311">
        <v>64</v>
      </c>
      <c r="P1311">
        <v>0</v>
      </c>
      <c r="Q1311">
        <v>36</v>
      </c>
      <c r="R1311">
        <v>413</v>
      </c>
      <c r="S1311">
        <v>694</v>
      </c>
      <c r="T1311">
        <v>3373</v>
      </c>
      <c r="U1311">
        <v>0</v>
      </c>
      <c r="V1311">
        <v>95</v>
      </c>
      <c r="W1311">
        <v>1562</v>
      </c>
      <c r="X1311">
        <f>NHS_AE_2024_2025[[#This Row],[A&amp;E attendances Type 1]]+
NHS_AE_2024_2025[[#This Row],[A&amp;E attendances Type 2]]+
NHS_AE_2024_2025[[#This Row],[A&amp;E attendances Other A&amp;E Department]]</f>
        <v>18921</v>
      </c>
      <c r="Y1311">
        <f t="shared" si="40"/>
        <v>5421</v>
      </c>
      <c r="Z1311">
        <f t="shared" si="41"/>
        <v>5030</v>
      </c>
    </row>
    <row r="1312" spans="1:26" x14ac:dyDescent="0.2">
      <c r="A1312" t="s">
        <v>446</v>
      </c>
      <c r="B1312" t="s">
        <v>447</v>
      </c>
      <c r="C1312" t="s">
        <v>156</v>
      </c>
      <c r="D1312" t="s">
        <v>29</v>
      </c>
      <c r="E1312" t="s">
        <v>157</v>
      </c>
      <c r="F1312">
        <v>15505</v>
      </c>
      <c r="G1312">
        <v>0</v>
      </c>
      <c r="H1312">
        <v>8926</v>
      </c>
      <c r="I1312">
        <v>91</v>
      </c>
      <c r="J1312">
        <v>0</v>
      </c>
      <c r="K1312">
        <v>1201</v>
      </c>
      <c r="L1312">
        <v>6941</v>
      </c>
      <c r="M1312">
        <v>0</v>
      </c>
      <c r="N1312">
        <v>739</v>
      </c>
      <c r="O1312">
        <v>22</v>
      </c>
      <c r="P1312">
        <v>0</v>
      </c>
      <c r="Q1312">
        <v>34</v>
      </c>
      <c r="R1312">
        <v>1296</v>
      </c>
      <c r="S1312">
        <v>793</v>
      </c>
      <c r="T1312">
        <v>2592</v>
      </c>
      <c r="U1312">
        <v>0</v>
      </c>
      <c r="V1312">
        <v>0</v>
      </c>
      <c r="W1312">
        <v>471</v>
      </c>
      <c r="X1312">
        <f>NHS_AE_2024_2025[[#This Row],[A&amp;E attendances Type 1]]+
NHS_AE_2024_2025[[#This Row],[A&amp;E attendances Type 2]]+
NHS_AE_2024_2025[[#This Row],[A&amp;E attendances Other A&amp;E Department]]</f>
        <v>24431</v>
      </c>
      <c r="Y1312">
        <f t="shared" si="40"/>
        <v>7680</v>
      </c>
      <c r="Z1312">
        <f t="shared" si="41"/>
        <v>3063</v>
      </c>
    </row>
    <row r="1313" spans="1:26" x14ac:dyDescent="0.2">
      <c r="A1313" t="s">
        <v>446</v>
      </c>
      <c r="B1313" t="s">
        <v>447</v>
      </c>
      <c r="C1313" t="s">
        <v>158</v>
      </c>
      <c r="D1313" t="s">
        <v>32</v>
      </c>
      <c r="E1313" t="s">
        <v>159</v>
      </c>
      <c r="F1313">
        <v>9071</v>
      </c>
      <c r="G1313">
        <v>0</v>
      </c>
      <c r="H1313">
        <v>4549</v>
      </c>
      <c r="I1313">
        <v>124</v>
      </c>
      <c r="J1313">
        <v>0</v>
      </c>
      <c r="K1313">
        <v>707</v>
      </c>
      <c r="L1313">
        <v>2461</v>
      </c>
      <c r="M1313">
        <v>0</v>
      </c>
      <c r="N1313">
        <v>185</v>
      </c>
      <c r="O1313">
        <v>10</v>
      </c>
      <c r="P1313">
        <v>0</v>
      </c>
      <c r="Q1313">
        <v>0</v>
      </c>
      <c r="R1313">
        <v>1860</v>
      </c>
      <c r="S1313">
        <v>266</v>
      </c>
      <c r="T1313">
        <v>3264</v>
      </c>
      <c r="U1313">
        <v>0</v>
      </c>
      <c r="V1313">
        <v>0</v>
      </c>
      <c r="W1313">
        <v>1979</v>
      </c>
      <c r="X1313">
        <f>NHS_AE_2024_2025[[#This Row],[A&amp;E attendances Type 1]]+
NHS_AE_2024_2025[[#This Row],[A&amp;E attendances Type 2]]+
NHS_AE_2024_2025[[#This Row],[A&amp;E attendances Other A&amp;E Department]]</f>
        <v>13620</v>
      </c>
      <c r="Y1313">
        <f t="shared" si="40"/>
        <v>2646</v>
      </c>
      <c r="Z1313">
        <f t="shared" si="41"/>
        <v>5243</v>
      </c>
    </row>
    <row r="1314" spans="1:26" x14ac:dyDescent="0.2">
      <c r="A1314" t="s">
        <v>446</v>
      </c>
      <c r="B1314" t="s">
        <v>447</v>
      </c>
      <c r="C1314" t="s">
        <v>254</v>
      </c>
      <c r="D1314" t="s">
        <v>50</v>
      </c>
      <c r="E1314" t="s">
        <v>255</v>
      </c>
      <c r="F1314">
        <v>9054</v>
      </c>
      <c r="G1314">
        <v>0</v>
      </c>
      <c r="H1314">
        <v>2036</v>
      </c>
      <c r="I1314">
        <v>401</v>
      </c>
      <c r="J1314">
        <v>0</v>
      </c>
      <c r="K1314">
        <v>35</v>
      </c>
      <c r="L1314">
        <v>3789</v>
      </c>
      <c r="M1314">
        <v>0</v>
      </c>
      <c r="N1314">
        <v>37</v>
      </c>
      <c r="O1314">
        <v>93</v>
      </c>
      <c r="P1314">
        <v>0</v>
      </c>
      <c r="Q1314">
        <v>0</v>
      </c>
      <c r="R1314">
        <v>727</v>
      </c>
      <c r="S1314">
        <v>407</v>
      </c>
      <c r="T1314">
        <v>2310</v>
      </c>
      <c r="U1314">
        <v>0</v>
      </c>
      <c r="V1314">
        <v>0</v>
      </c>
      <c r="W1314">
        <v>740</v>
      </c>
      <c r="X1314">
        <f>NHS_AE_2024_2025[[#This Row],[A&amp;E attendances Type 1]]+
NHS_AE_2024_2025[[#This Row],[A&amp;E attendances Type 2]]+
NHS_AE_2024_2025[[#This Row],[A&amp;E attendances Other A&amp;E Department]]</f>
        <v>11090</v>
      </c>
      <c r="Y1314">
        <f t="shared" si="40"/>
        <v>3826</v>
      </c>
      <c r="Z1314">
        <f t="shared" si="41"/>
        <v>3050</v>
      </c>
    </row>
    <row r="1315" spans="1:26" x14ac:dyDescent="0.2">
      <c r="A1315" t="s">
        <v>446</v>
      </c>
      <c r="B1315" t="s">
        <v>447</v>
      </c>
      <c r="C1315" t="s">
        <v>320</v>
      </c>
      <c r="D1315" t="s">
        <v>26</v>
      </c>
      <c r="E1315" t="s">
        <v>321</v>
      </c>
      <c r="F1315">
        <v>4628</v>
      </c>
      <c r="G1315">
        <v>319</v>
      </c>
      <c r="H1315">
        <v>1911</v>
      </c>
      <c r="I1315">
        <v>308</v>
      </c>
      <c r="J1315">
        <v>0</v>
      </c>
      <c r="K1315">
        <v>0</v>
      </c>
      <c r="L1315">
        <v>2116</v>
      </c>
      <c r="M1315">
        <v>0</v>
      </c>
      <c r="N1315">
        <v>0</v>
      </c>
      <c r="O1315">
        <v>140</v>
      </c>
      <c r="P1315">
        <v>0</v>
      </c>
      <c r="Q1315">
        <v>0</v>
      </c>
      <c r="R1315">
        <v>464</v>
      </c>
      <c r="S1315">
        <v>0</v>
      </c>
      <c r="T1315">
        <v>1321</v>
      </c>
      <c r="U1315">
        <v>0</v>
      </c>
      <c r="V1315">
        <v>0</v>
      </c>
      <c r="W1315">
        <v>806</v>
      </c>
      <c r="X1315">
        <f>NHS_AE_2024_2025[[#This Row],[A&amp;E attendances Type 1]]+
NHS_AE_2024_2025[[#This Row],[A&amp;E attendances Type 2]]+
NHS_AE_2024_2025[[#This Row],[A&amp;E attendances Other A&amp;E Department]]</f>
        <v>6858</v>
      </c>
      <c r="Y1315">
        <f t="shared" si="40"/>
        <v>2116</v>
      </c>
      <c r="Z1315">
        <f t="shared" si="41"/>
        <v>2127</v>
      </c>
    </row>
    <row r="1316" spans="1:26" x14ac:dyDescent="0.2">
      <c r="A1316" t="s">
        <v>446</v>
      </c>
      <c r="B1316" t="s">
        <v>447</v>
      </c>
      <c r="C1316" t="s">
        <v>330</v>
      </c>
      <c r="D1316" t="s">
        <v>50</v>
      </c>
      <c r="E1316" t="s">
        <v>331</v>
      </c>
      <c r="F1316">
        <v>17347</v>
      </c>
      <c r="G1316">
        <v>684</v>
      </c>
      <c r="H1316">
        <v>11668</v>
      </c>
      <c r="I1316">
        <v>61</v>
      </c>
      <c r="J1316">
        <v>0</v>
      </c>
      <c r="K1316">
        <v>53</v>
      </c>
      <c r="L1316">
        <v>6991</v>
      </c>
      <c r="M1316">
        <v>0</v>
      </c>
      <c r="N1316">
        <v>146</v>
      </c>
      <c r="O1316">
        <v>9</v>
      </c>
      <c r="P1316">
        <v>0</v>
      </c>
      <c r="Q1316">
        <v>0</v>
      </c>
      <c r="R1316">
        <v>1753</v>
      </c>
      <c r="S1316">
        <v>218</v>
      </c>
      <c r="T1316">
        <v>3631</v>
      </c>
      <c r="U1316">
        <v>0</v>
      </c>
      <c r="V1316">
        <v>0</v>
      </c>
      <c r="W1316">
        <v>1192</v>
      </c>
      <c r="X1316">
        <f>NHS_AE_2024_2025[[#This Row],[A&amp;E attendances Type 1]]+
NHS_AE_2024_2025[[#This Row],[A&amp;E attendances Type 2]]+
NHS_AE_2024_2025[[#This Row],[A&amp;E attendances Other A&amp;E Department]]</f>
        <v>29699</v>
      </c>
      <c r="Y1316">
        <f t="shared" si="40"/>
        <v>7137</v>
      </c>
      <c r="Z1316">
        <f t="shared" si="41"/>
        <v>4823</v>
      </c>
    </row>
    <row r="1317" spans="1:26" x14ac:dyDescent="0.2">
      <c r="A1317" t="s">
        <v>446</v>
      </c>
      <c r="B1317" t="s">
        <v>447</v>
      </c>
      <c r="C1317" t="s">
        <v>206</v>
      </c>
      <c r="D1317" t="s">
        <v>32</v>
      </c>
      <c r="E1317" t="s">
        <v>207</v>
      </c>
      <c r="F1317">
        <v>33686</v>
      </c>
      <c r="G1317">
        <v>305</v>
      </c>
      <c r="H1317">
        <v>1651</v>
      </c>
      <c r="I1317">
        <v>16</v>
      </c>
      <c r="J1317">
        <v>0</v>
      </c>
      <c r="K1317">
        <v>240</v>
      </c>
      <c r="L1317">
        <v>14020</v>
      </c>
      <c r="M1317">
        <v>0</v>
      </c>
      <c r="N1317">
        <v>44</v>
      </c>
      <c r="O1317">
        <v>6</v>
      </c>
      <c r="P1317">
        <v>0</v>
      </c>
      <c r="Q1317">
        <v>2</v>
      </c>
      <c r="R1317">
        <v>2419</v>
      </c>
      <c r="S1317">
        <v>1775</v>
      </c>
      <c r="T1317">
        <v>10252</v>
      </c>
      <c r="U1317">
        <v>0</v>
      </c>
      <c r="V1317">
        <v>0</v>
      </c>
      <c r="W1317">
        <v>5916</v>
      </c>
      <c r="X1317">
        <f>NHS_AE_2024_2025[[#This Row],[A&amp;E attendances Type 1]]+
NHS_AE_2024_2025[[#This Row],[A&amp;E attendances Type 2]]+
NHS_AE_2024_2025[[#This Row],[A&amp;E attendances Other A&amp;E Department]]</f>
        <v>35642</v>
      </c>
      <c r="Y1317">
        <f t="shared" si="40"/>
        <v>14064</v>
      </c>
      <c r="Z1317">
        <f t="shared" si="41"/>
        <v>16168</v>
      </c>
    </row>
    <row r="1318" spans="1:26" x14ac:dyDescent="0.2">
      <c r="A1318" t="s">
        <v>446</v>
      </c>
      <c r="B1318" t="s">
        <v>447</v>
      </c>
      <c r="C1318" t="s">
        <v>208</v>
      </c>
      <c r="D1318" t="s">
        <v>32</v>
      </c>
      <c r="E1318" t="s">
        <v>209</v>
      </c>
      <c r="F1318">
        <v>21447</v>
      </c>
      <c r="G1318">
        <v>0</v>
      </c>
      <c r="H1318">
        <v>9589</v>
      </c>
      <c r="I1318">
        <v>416</v>
      </c>
      <c r="J1318">
        <v>0</v>
      </c>
      <c r="K1318">
        <v>33</v>
      </c>
      <c r="L1318">
        <v>9247</v>
      </c>
      <c r="M1318">
        <v>0</v>
      </c>
      <c r="N1318">
        <v>35</v>
      </c>
      <c r="O1318">
        <v>175</v>
      </c>
      <c r="P1318">
        <v>0</v>
      </c>
      <c r="Q1318">
        <v>0</v>
      </c>
      <c r="R1318">
        <v>927</v>
      </c>
      <c r="S1318">
        <v>916</v>
      </c>
      <c r="T1318">
        <v>4147</v>
      </c>
      <c r="U1318">
        <v>0</v>
      </c>
      <c r="V1318">
        <v>0</v>
      </c>
      <c r="W1318">
        <v>2599</v>
      </c>
      <c r="X1318">
        <f>NHS_AE_2024_2025[[#This Row],[A&amp;E attendances Type 1]]+
NHS_AE_2024_2025[[#This Row],[A&amp;E attendances Type 2]]+
NHS_AE_2024_2025[[#This Row],[A&amp;E attendances Other A&amp;E Department]]</f>
        <v>31036</v>
      </c>
      <c r="Y1318">
        <f t="shared" si="40"/>
        <v>9282</v>
      </c>
      <c r="Z1318">
        <f t="shared" si="41"/>
        <v>6746</v>
      </c>
    </row>
    <row r="1319" spans="1:26" x14ac:dyDescent="0.2">
      <c r="A1319" t="s">
        <v>446</v>
      </c>
      <c r="B1319" t="s">
        <v>447</v>
      </c>
      <c r="C1319" t="s">
        <v>262</v>
      </c>
      <c r="D1319" t="s">
        <v>26</v>
      </c>
      <c r="E1319" t="s">
        <v>263</v>
      </c>
      <c r="F1319">
        <v>0</v>
      </c>
      <c r="G1319">
        <v>0</v>
      </c>
      <c r="H1319">
        <v>7479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47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25</v>
      </c>
      <c r="X1319">
        <f>NHS_AE_2024_2025[[#This Row],[A&amp;E attendances Type 1]]+
NHS_AE_2024_2025[[#This Row],[A&amp;E attendances Type 2]]+
NHS_AE_2024_2025[[#This Row],[A&amp;E attendances Other A&amp;E Department]]</f>
        <v>7479</v>
      </c>
      <c r="Y1319">
        <f t="shared" si="40"/>
        <v>47</v>
      </c>
      <c r="Z1319">
        <f t="shared" si="41"/>
        <v>25</v>
      </c>
    </row>
    <row r="1320" spans="1:26" x14ac:dyDescent="0.2">
      <c r="A1320" t="s">
        <v>446</v>
      </c>
      <c r="B1320" t="s">
        <v>447</v>
      </c>
      <c r="C1320" t="s">
        <v>376</v>
      </c>
      <c r="D1320" t="s">
        <v>55</v>
      </c>
      <c r="E1320" t="s">
        <v>377</v>
      </c>
      <c r="F1320">
        <v>9084</v>
      </c>
      <c r="G1320">
        <v>0</v>
      </c>
      <c r="H1320">
        <v>3268</v>
      </c>
      <c r="I1320">
        <v>198</v>
      </c>
      <c r="J1320">
        <v>0</v>
      </c>
      <c r="K1320">
        <v>629</v>
      </c>
      <c r="L1320">
        <v>2701</v>
      </c>
      <c r="M1320">
        <v>0</v>
      </c>
      <c r="N1320">
        <v>65</v>
      </c>
      <c r="O1320">
        <v>30</v>
      </c>
      <c r="P1320">
        <v>0</v>
      </c>
      <c r="Q1320">
        <v>28</v>
      </c>
      <c r="R1320">
        <v>550</v>
      </c>
      <c r="S1320">
        <v>348</v>
      </c>
      <c r="T1320">
        <v>2967</v>
      </c>
      <c r="U1320">
        <v>0</v>
      </c>
      <c r="V1320">
        <v>22</v>
      </c>
      <c r="W1320">
        <v>913</v>
      </c>
      <c r="X1320">
        <f>NHS_AE_2024_2025[[#This Row],[A&amp;E attendances Type 1]]+
NHS_AE_2024_2025[[#This Row],[A&amp;E attendances Type 2]]+
NHS_AE_2024_2025[[#This Row],[A&amp;E attendances Other A&amp;E Department]]</f>
        <v>12352</v>
      </c>
      <c r="Y1320">
        <f t="shared" si="40"/>
        <v>2766</v>
      </c>
      <c r="Z1320">
        <f t="shared" si="41"/>
        <v>3902</v>
      </c>
    </row>
    <row r="1321" spans="1:26" x14ac:dyDescent="0.2">
      <c r="A1321" t="s">
        <v>446</v>
      </c>
      <c r="B1321" t="s">
        <v>447</v>
      </c>
      <c r="C1321" t="s">
        <v>166</v>
      </c>
      <c r="D1321" t="s">
        <v>50</v>
      </c>
      <c r="E1321" t="s">
        <v>167</v>
      </c>
      <c r="F1321">
        <v>0</v>
      </c>
      <c r="G1321">
        <v>0</v>
      </c>
      <c r="H1321">
        <v>1181</v>
      </c>
      <c r="I1321">
        <v>0</v>
      </c>
      <c r="J1321">
        <v>0</v>
      </c>
      <c r="K1321">
        <v>51</v>
      </c>
      <c r="L1321">
        <v>0</v>
      </c>
      <c r="M1321">
        <v>0</v>
      </c>
      <c r="N1321">
        <v>4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f>NHS_AE_2024_2025[[#This Row],[A&amp;E attendances Type 1]]+
NHS_AE_2024_2025[[#This Row],[A&amp;E attendances Type 2]]+
NHS_AE_2024_2025[[#This Row],[A&amp;E attendances Other A&amp;E Department]]</f>
        <v>1181</v>
      </c>
      <c r="Y1321">
        <f t="shared" si="40"/>
        <v>4</v>
      </c>
      <c r="Z1321">
        <f t="shared" si="41"/>
        <v>0</v>
      </c>
    </row>
    <row r="1322" spans="1:26" x14ac:dyDescent="0.2">
      <c r="A1322" t="s">
        <v>446</v>
      </c>
      <c r="B1322" t="s">
        <v>447</v>
      </c>
      <c r="C1322" t="s">
        <v>210</v>
      </c>
      <c r="D1322" t="s">
        <v>26</v>
      </c>
      <c r="E1322" t="s">
        <v>211</v>
      </c>
      <c r="F1322">
        <v>9090</v>
      </c>
      <c r="G1322">
        <v>0</v>
      </c>
      <c r="H1322">
        <v>0</v>
      </c>
      <c r="I1322">
        <v>19</v>
      </c>
      <c r="J1322">
        <v>0</v>
      </c>
      <c r="K1322">
        <v>0</v>
      </c>
      <c r="L1322">
        <v>3342</v>
      </c>
      <c r="M1322">
        <v>0</v>
      </c>
      <c r="N1322">
        <v>0</v>
      </c>
      <c r="O1322">
        <v>8</v>
      </c>
      <c r="P1322">
        <v>0</v>
      </c>
      <c r="Q1322">
        <v>0</v>
      </c>
      <c r="R1322">
        <v>637</v>
      </c>
      <c r="S1322">
        <v>252</v>
      </c>
      <c r="T1322">
        <v>2789</v>
      </c>
      <c r="U1322">
        <v>0</v>
      </c>
      <c r="V1322">
        <v>0</v>
      </c>
      <c r="W1322">
        <v>1744</v>
      </c>
      <c r="X1322">
        <f>NHS_AE_2024_2025[[#This Row],[A&amp;E attendances Type 1]]+
NHS_AE_2024_2025[[#This Row],[A&amp;E attendances Type 2]]+
NHS_AE_2024_2025[[#This Row],[A&amp;E attendances Other A&amp;E Department]]</f>
        <v>9090</v>
      </c>
      <c r="Y1322">
        <f t="shared" si="40"/>
        <v>3342</v>
      </c>
      <c r="Z1322">
        <f t="shared" si="41"/>
        <v>4533</v>
      </c>
    </row>
    <row r="1323" spans="1:26" x14ac:dyDescent="0.2">
      <c r="A1323" t="s">
        <v>446</v>
      </c>
      <c r="B1323" t="s">
        <v>447</v>
      </c>
      <c r="C1323" t="s">
        <v>342</v>
      </c>
      <c r="D1323" t="s">
        <v>37</v>
      </c>
      <c r="E1323" t="s">
        <v>343</v>
      </c>
      <c r="F1323">
        <v>12539</v>
      </c>
      <c r="G1323">
        <v>0</v>
      </c>
      <c r="H1323">
        <v>12576</v>
      </c>
      <c r="I1323">
        <v>0</v>
      </c>
      <c r="J1323">
        <v>0</v>
      </c>
      <c r="K1323">
        <v>0</v>
      </c>
      <c r="L1323">
        <v>6018</v>
      </c>
      <c r="M1323">
        <v>0</v>
      </c>
      <c r="N1323">
        <v>221</v>
      </c>
      <c r="O1323">
        <v>0</v>
      </c>
      <c r="P1323">
        <v>0</v>
      </c>
      <c r="Q1323">
        <v>0</v>
      </c>
      <c r="R1323">
        <v>537</v>
      </c>
      <c r="S1323">
        <v>1189</v>
      </c>
      <c r="T1323">
        <v>3324</v>
      </c>
      <c r="U1323">
        <v>0</v>
      </c>
      <c r="V1323">
        <v>599</v>
      </c>
      <c r="W1323">
        <v>826</v>
      </c>
      <c r="X1323">
        <f>NHS_AE_2024_2025[[#This Row],[A&amp;E attendances Type 1]]+
NHS_AE_2024_2025[[#This Row],[A&amp;E attendances Type 2]]+
NHS_AE_2024_2025[[#This Row],[A&amp;E attendances Other A&amp;E Department]]</f>
        <v>25115</v>
      </c>
      <c r="Y1323">
        <f t="shared" si="40"/>
        <v>6239</v>
      </c>
      <c r="Z1323">
        <f t="shared" si="41"/>
        <v>4749</v>
      </c>
    </row>
    <row r="1324" spans="1:26" x14ac:dyDescent="0.2">
      <c r="A1324" t="s">
        <v>446</v>
      </c>
      <c r="B1324" t="s">
        <v>447</v>
      </c>
      <c r="C1324" t="s">
        <v>344</v>
      </c>
      <c r="D1324" t="s">
        <v>32</v>
      </c>
      <c r="E1324" t="s">
        <v>345</v>
      </c>
      <c r="F1324">
        <v>9852</v>
      </c>
      <c r="G1324">
        <v>0</v>
      </c>
      <c r="H1324">
        <v>10279</v>
      </c>
      <c r="I1324">
        <v>5</v>
      </c>
      <c r="J1324">
        <v>0</v>
      </c>
      <c r="K1324">
        <v>0</v>
      </c>
      <c r="L1324">
        <v>6692</v>
      </c>
      <c r="M1324">
        <v>0</v>
      </c>
      <c r="N1324">
        <v>1102</v>
      </c>
      <c r="O1324">
        <v>2</v>
      </c>
      <c r="P1324">
        <v>0</v>
      </c>
      <c r="Q1324">
        <v>0</v>
      </c>
      <c r="R1324">
        <v>985</v>
      </c>
      <c r="S1324">
        <v>1059</v>
      </c>
      <c r="T1324">
        <v>4053</v>
      </c>
      <c r="U1324">
        <v>0</v>
      </c>
      <c r="V1324">
        <v>0</v>
      </c>
      <c r="W1324">
        <v>1162</v>
      </c>
      <c r="X1324">
        <f>NHS_AE_2024_2025[[#This Row],[A&amp;E attendances Type 1]]+
NHS_AE_2024_2025[[#This Row],[A&amp;E attendances Type 2]]+
NHS_AE_2024_2025[[#This Row],[A&amp;E attendances Other A&amp;E Department]]</f>
        <v>20131</v>
      </c>
      <c r="Y1324">
        <f t="shared" si="40"/>
        <v>7794</v>
      </c>
      <c r="Z1324">
        <f t="shared" si="41"/>
        <v>5215</v>
      </c>
    </row>
    <row r="1325" spans="1:26" x14ac:dyDescent="0.2">
      <c r="A1325" t="s">
        <v>446</v>
      </c>
      <c r="B1325" t="s">
        <v>447</v>
      </c>
      <c r="C1325" t="s">
        <v>170</v>
      </c>
      <c r="D1325" t="s">
        <v>32</v>
      </c>
      <c r="E1325" t="s">
        <v>171</v>
      </c>
      <c r="F1325">
        <v>15585</v>
      </c>
      <c r="G1325">
        <v>2178</v>
      </c>
      <c r="H1325">
        <v>323</v>
      </c>
      <c r="I1325">
        <v>586</v>
      </c>
      <c r="J1325">
        <v>0</v>
      </c>
      <c r="K1325">
        <v>0</v>
      </c>
      <c r="L1325">
        <v>7096</v>
      </c>
      <c r="M1325">
        <v>111</v>
      </c>
      <c r="N1325">
        <v>9</v>
      </c>
      <c r="O1325">
        <v>264</v>
      </c>
      <c r="P1325">
        <v>0</v>
      </c>
      <c r="Q1325">
        <v>0</v>
      </c>
      <c r="R1325">
        <v>807</v>
      </c>
      <c r="S1325">
        <v>445</v>
      </c>
      <c r="T1325">
        <v>4247</v>
      </c>
      <c r="U1325">
        <v>0</v>
      </c>
      <c r="V1325">
        <v>0</v>
      </c>
      <c r="W1325">
        <v>3690</v>
      </c>
      <c r="X1325">
        <f>NHS_AE_2024_2025[[#This Row],[A&amp;E attendances Type 1]]+
NHS_AE_2024_2025[[#This Row],[A&amp;E attendances Type 2]]+
NHS_AE_2024_2025[[#This Row],[A&amp;E attendances Other A&amp;E Department]]</f>
        <v>18086</v>
      </c>
      <c r="Y1325">
        <f t="shared" si="40"/>
        <v>7216</v>
      </c>
      <c r="Z1325">
        <f t="shared" si="41"/>
        <v>7937</v>
      </c>
    </row>
    <row r="1326" spans="1:26" x14ac:dyDescent="0.2">
      <c r="A1326" t="s">
        <v>446</v>
      </c>
      <c r="B1326" t="s">
        <v>447</v>
      </c>
      <c r="C1326" t="s">
        <v>214</v>
      </c>
      <c r="D1326" t="s">
        <v>55</v>
      </c>
      <c r="E1326" t="s">
        <v>215</v>
      </c>
      <c r="F1326">
        <v>11893</v>
      </c>
      <c r="G1326">
        <v>0</v>
      </c>
      <c r="H1326">
        <v>3528</v>
      </c>
      <c r="I1326">
        <v>206</v>
      </c>
      <c r="J1326">
        <v>0</v>
      </c>
      <c r="K1326">
        <v>62</v>
      </c>
      <c r="L1326">
        <v>4378</v>
      </c>
      <c r="M1326">
        <v>0</v>
      </c>
      <c r="N1326">
        <v>134</v>
      </c>
      <c r="O1326">
        <v>33</v>
      </c>
      <c r="P1326">
        <v>0</v>
      </c>
      <c r="Q1326">
        <v>3</v>
      </c>
      <c r="R1326">
        <v>1027</v>
      </c>
      <c r="S1326">
        <v>244</v>
      </c>
      <c r="T1326">
        <v>2901</v>
      </c>
      <c r="U1326">
        <v>0</v>
      </c>
      <c r="V1326">
        <v>128</v>
      </c>
      <c r="W1326">
        <v>1103</v>
      </c>
      <c r="X1326">
        <f>NHS_AE_2024_2025[[#This Row],[A&amp;E attendances Type 1]]+
NHS_AE_2024_2025[[#This Row],[A&amp;E attendances Type 2]]+
NHS_AE_2024_2025[[#This Row],[A&amp;E attendances Other A&amp;E Department]]</f>
        <v>15421</v>
      </c>
      <c r="Y1326">
        <f t="shared" si="40"/>
        <v>4512</v>
      </c>
      <c r="Z1326">
        <f t="shared" si="41"/>
        <v>4132</v>
      </c>
    </row>
    <row r="1327" spans="1:26" x14ac:dyDescent="0.2">
      <c r="A1327" t="s">
        <v>446</v>
      </c>
      <c r="B1327" t="s">
        <v>447</v>
      </c>
      <c r="C1327" t="s">
        <v>356</v>
      </c>
      <c r="D1327" t="s">
        <v>32</v>
      </c>
      <c r="E1327" t="s">
        <v>357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7</v>
      </c>
      <c r="W1327">
        <v>71</v>
      </c>
      <c r="X1327">
        <f>NHS_AE_2024_2025[[#This Row],[A&amp;E attendances Type 1]]+
NHS_AE_2024_2025[[#This Row],[A&amp;E attendances Type 2]]+
NHS_AE_2024_2025[[#This Row],[A&amp;E attendances Other A&amp;E Department]]</f>
        <v>0</v>
      </c>
      <c r="Y1327">
        <f t="shared" si="40"/>
        <v>0</v>
      </c>
      <c r="Z1327">
        <f t="shared" si="41"/>
        <v>78</v>
      </c>
    </row>
    <row r="1328" spans="1:26" x14ac:dyDescent="0.2">
      <c r="A1328" t="s">
        <v>446</v>
      </c>
      <c r="B1328" t="s">
        <v>447</v>
      </c>
      <c r="C1328" t="s">
        <v>186</v>
      </c>
      <c r="D1328" t="s">
        <v>26</v>
      </c>
      <c r="E1328" t="s">
        <v>187</v>
      </c>
      <c r="F1328">
        <v>13603</v>
      </c>
      <c r="G1328">
        <v>0</v>
      </c>
      <c r="H1328">
        <v>5004</v>
      </c>
      <c r="I1328">
        <v>0</v>
      </c>
      <c r="J1328">
        <v>0</v>
      </c>
      <c r="K1328">
        <v>0</v>
      </c>
      <c r="L1328">
        <v>5175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770</v>
      </c>
      <c r="S1328">
        <v>157</v>
      </c>
      <c r="T1328">
        <v>4090</v>
      </c>
      <c r="U1328">
        <v>3</v>
      </c>
      <c r="V1328">
        <v>0</v>
      </c>
      <c r="W1328">
        <v>2234</v>
      </c>
      <c r="X1328">
        <f>NHS_AE_2024_2025[[#This Row],[A&amp;E attendances Type 1]]+
NHS_AE_2024_2025[[#This Row],[A&amp;E attendances Type 2]]+
NHS_AE_2024_2025[[#This Row],[A&amp;E attendances Other A&amp;E Department]]</f>
        <v>18607</v>
      </c>
      <c r="Y1328">
        <f t="shared" si="40"/>
        <v>5175</v>
      </c>
      <c r="Z1328">
        <f t="shared" si="41"/>
        <v>6327</v>
      </c>
    </row>
    <row r="1329" spans="1:26" x14ac:dyDescent="0.2">
      <c r="A1329" t="s">
        <v>446</v>
      </c>
      <c r="B1329" t="s">
        <v>447</v>
      </c>
      <c r="C1329" t="s">
        <v>148</v>
      </c>
      <c r="D1329" t="s">
        <v>32</v>
      </c>
      <c r="E1329" t="s">
        <v>149</v>
      </c>
      <c r="F1329">
        <v>0</v>
      </c>
      <c r="G1329">
        <v>0</v>
      </c>
      <c r="H1329">
        <v>3341</v>
      </c>
      <c r="I1329">
        <v>0</v>
      </c>
      <c r="J1329">
        <v>0</v>
      </c>
      <c r="K1329">
        <v>3</v>
      </c>
      <c r="L1329">
        <v>0</v>
      </c>
      <c r="M1329">
        <v>0</v>
      </c>
      <c r="N1329">
        <v>8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f>NHS_AE_2024_2025[[#This Row],[A&amp;E attendances Type 1]]+
NHS_AE_2024_2025[[#This Row],[A&amp;E attendances Type 2]]+
NHS_AE_2024_2025[[#This Row],[A&amp;E attendances Other A&amp;E Department]]</f>
        <v>3341</v>
      </c>
      <c r="Y1329">
        <f t="shared" si="40"/>
        <v>8</v>
      </c>
      <c r="Z1329">
        <f t="shared" si="41"/>
        <v>0</v>
      </c>
    </row>
    <row r="1330" spans="1:26" x14ac:dyDescent="0.2">
      <c r="A1330" t="s">
        <v>446</v>
      </c>
      <c r="B1330" t="s">
        <v>447</v>
      </c>
      <c r="C1330" t="s">
        <v>224</v>
      </c>
      <c r="D1330" t="s">
        <v>29</v>
      </c>
      <c r="E1330" t="s">
        <v>225</v>
      </c>
      <c r="F1330">
        <v>23982</v>
      </c>
      <c r="G1330">
        <v>958</v>
      </c>
      <c r="H1330">
        <v>17725</v>
      </c>
      <c r="I1330">
        <v>0</v>
      </c>
      <c r="J1330">
        <v>0</v>
      </c>
      <c r="K1330">
        <v>0</v>
      </c>
      <c r="L1330">
        <v>11574</v>
      </c>
      <c r="M1330">
        <v>15</v>
      </c>
      <c r="N1330">
        <v>1479</v>
      </c>
      <c r="O1330">
        <v>0</v>
      </c>
      <c r="P1330">
        <v>0</v>
      </c>
      <c r="Q1330">
        <v>0</v>
      </c>
      <c r="R1330">
        <v>1134</v>
      </c>
      <c r="S1330">
        <v>823</v>
      </c>
      <c r="T1330">
        <v>4761</v>
      </c>
      <c r="U1330">
        <v>0</v>
      </c>
      <c r="V1330">
        <v>0</v>
      </c>
      <c r="W1330">
        <v>1302</v>
      </c>
      <c r="X1330">
        <f>NHS_AE_2024_2025[[#This Row],[A&amp;E attendances Type 1]]+
NHS_AE_2024_2025[[#This Row],[A&amp;E attendances Type 2]]+
NHS_AE_2024_2025[[#This Row],[A&amp;E attendances Other A&amp;E Department]]</f>
        <v>42665</v>
      </c>
      <c r="Y1330">
        <f t="shared" si="40"/>
        <v>13068</v>
      </c>
      <c r="Z1330">
        <f t="shared" si="41"/>
        <v>6063</v>
      </c>
    </row>
    <row r="1331" spans="1:26" x14ac:dyDescent="0.2">
      <c r="A1331" t="s">
        <v>446</v>
      </c>
      <c r="B1331" t="s">
        <v>447</v>
      </c>
      <c r="C1331" t="s">
        <v>288</v>
      </c>
      <c r="D1331" t="s">
        <v>29</v>
      </c>
      <c r="E1331" t="s">
        <v>289</v>
      </c>
      <c r="F1331">
        <v>13085</v>
      </c>
      <c r="G1331">
        <v>0</v>
      </c>
      <c r="H1331">
        <v>15312</v>
      </c>
      <c r="I1331">
        <v>0</v>
      </c>
      <c r="J1331">
        <v>0</v>
      </c>
      <c r="K1331">
        <v>0</v>
      </c>
      <c r="L1331">
        <v>6928</v>
      </c>
      <c r="M1331">
        <v>0</v>
      </c>
      <c r="N1331">
        <v>167</v>
      </c>
      <c r="O1331">
        <v>0</v>
      </c>
      <c r="P1331">
        <v>0</v>
      </c>
      <c r="Q1331">
        <v>0</v>
      </c>
      <c r="R1331">
        <v>811</v>
      </c>
      <c r="S1331">
        <v>498</v>
      </c>
      <c r="T1331">
        <v>6526</v>
      </c>
      <c r="U1331">
        <v>0</v>
      </c>
      <c r="V1331">
        <v>0</v>
      </c>
      <c r="W1331">
        <v>345</v>
      </c>
      <c r="X1331">
        <f>NHS_AE_2024_2025[[#This Row],[A&amp;E attendances Type 1]]+
NHS_AE_2024_2025[[#This Row],[A&amp;E attendances Type 2]]+
NHS_AE_2024_2025[[#This Row],[A&amp;E attendances Other A&amp;E Department]]</f>
        <v>28397</v>
      </c>
      <c r="Y1331">
        <f t="shared" si="40"/>
        <v>7095</v>
      </c>
      <c r="Z1331">
        <f t="shared" si="41"/>
        <v>6871</v>
      </c>
    </row>
    <row r="1332" spans="1:26" x14ac:dyDescent="0.2">
      <c r="A1332" t="s">
        <v>446</v>
      </c>
      <c r="B1332" t="s">
        <v>447</v>
      </c>
      <c r="C1332" t="s">
        <v>290</v>
      </c>
      <c r="D1332" t="s">
        <v>29</v>
      </c>
      <c r="E1332" t="s">
        <v>291</v>
      </c>
      <c r="F1332">
        <v>7867</v>
      </c>
      <c r="G1332">
        <v>515</v>
      </c>
      <c r="H1332">
        <v>7762</v>
      </c>
      <c r="I1332">
        <v>172</v>
      </c>
      <c r="J1332">
        <v>1</v>
      </c>
      <c r="K1332">
        <v>296</v>
      </c>
      <c r="L1332">
        <v>4611</v>
      </c>
      <c r="M1332">
        <v>5</v>
      </c>
      <c r="N1332">
        <v>1103</v>
      </c>
      <c r="O1332">
        <v>84</v>
      </c>
      <c r="P1332">
        <v>0</v>
      </c>
      <c r="Q1332">
        <v>47</v>
      </c>
      <c r="R1332">
        <v>307</v>
      </c>
      <c r="S1332">
        <v>817</v>
      </c>
      <c r="T1332">
        <v>1597</v>
      </c>
      <c r="U1332">
        <v>0</v>
      </c>
      <c r="V1332">
        <v>0</v>
      </c>
      <c r="W1332">
        <v>142</v>
      </c>
      <c r="X1332">
        <f>NHS_AE_2024_2025[[#This Row],[A&amp;E attendances Type 1]]+
NHS_AE_2024_2025[[#This Row],[A&amp;E attendances Type 2]]+
NHS_AE_2024_2025[[#This Row],[A&amp;E attendances Other A&amp;E Department]]</f>
        <v>16144</v>
      </c>
      <c r="Y1332">
        <f t="shared" si="40"/>
        <v>5719</v>
      </c>
      <c r="Z1332">
        <f t="shared" si="41"/>
        <v>1739</v>
      </c>
    </row>
    <row r="1333" spans="1:26" x14ac:dyDescent="0.2">
      <c r="A1333" t="s">
        <v>446</v>
      </c>
      <c r="B1333" t="s">
        <v>447</v>
      </c>
      <c r="C1333" t="s">
        <v>192</v>
      </c>
      <c r="D1333" t="s">
        <v>55</v>
      </c>
      <c r="E1333" t="s">
        <v>193</v>
      </c>
      <c r="F1333">
        <v>5739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942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1002</v>
      </c>
      <c r="U1333">
        <v>0</v>
      </c>
      <c r="V1333">
        <v>0</v>
      </c>
      <c r="W1333">
        <v>307</v>
      </c>
      <c r="X1333">
        <f>NHS_AE_2024_2025[[#This Row],[A&amp;E attendances Type 1]]+
NHS_AE_2024_2025[[#This Row],[A&amp;E attendances Type 2]]+
NHS_AE_2024_2025[[#This Row],[A&amp;E attendances Other A&amp;E Department]]</f>
        <v>5739</v>
      </c>
      <c r="Y1333">
        <f t="shared" si="40"/>
        <v>942</v>
      </c>
      <c r="Z1333">
        <f t="shared" si="41"/>
        <v>1309</v>
      </c>
    </row>
    <row r="1334" spans="1:26" x14ac:dyDescent="0.2">
      <c r="A1334" t="s">
        <v>446</v>
      </c>
      <c r="B1334" t="s">
        <v>447</v>
      </c>
      <c r="C1334" t="s">
        <v>238</v>
      </c>
      <c r="D1334" t="s">
        <v>50</v>
      </c>
      <c r="E1334" t="s">
        <v>239</v>
      </c>
      <c r="F1334">
        <v>11392</v>
      </c>
      <c r="G1334">
        <v>340</v>
      </c>
      <c r="H1334">
        <v>8348</v>
      </c>
      <c r="I1334">
        <v>0</v>
      </c>
      <c r="J1334">
        <v>0</v>
      </c>
      <c r="K1334">
        <v>0</v>
      </c>
      <c r="L1334">
        <v>6141</v>
      </c>
      <c r="M1334">
        <v>0</v>
      </c>
      <c r="N1334">
        <v>426</v>
      </c>
      <c r="O1334">
        <v>0</v>
      </c>
      <c r="P1334">
        <v>0</v>
      </c>
      <c r="Q1334">
        <v>0</v>
      </c>
      <c r="R1334">
        <v>915</v>
      </c>
      <c r="S1334">
        <v>557</v>
      </c>
      <c r="T1334">
        <v>4529</v>
      </c>
      <c r="U1334">
        <v>4</v>
      </c>
      <c r="V1334">
        <v>0</v>
      </c>
      <c r="W1334">
        <v>1603</v>
      </c>
      <c r="X1334">
        <f>NHS_AE_2024_2025[[#This Row],[A&amp;E attendances Type 1]]+
NHS_AE_2024_2025[[#This Row],[A&amp;E attendances Type 2]]+
NHS_AE_2024_2025[[#This Row],[A&amp;E attendances Other A&amp;E Department]]</f>
        <v>20080</v>
      </c>
      <c r="Y1334">
        <f t="shared" si="40"/>
        <v>6567</v>
      </c>
      <c r="Z1334">
        <f t="shared" si="41"/>
        <v>6136</v>
      </c>
    </row>
    <row r="1335" spans="1:26" x14ac:dyDescent="0.2">
      <c r="A1335" t="s">
        <v>446</v>
      </c>
      <c r="B1335" t="s">
        <v>447</v>
      </c>
      <c r="C1335" t="s">
        <v>194</v>
      </c>
      <c r="D1335" t="s">
        <v>50</v>
      </c>
      <c r="E1335" t="s">
        <v>195</v>
      </c>
      <c r="F1335">
        <v>4810</v>
      </c>
      <c r="G1335">
        <v>0</v>
      </c>
      <c r="H1335">
        <v>319</v>
      </c>
      <c r="I1335">
        <v>273</v>
      </c>
      <c r="J1335">
        <v>0</v>
      </c>
      <c r="K1335">
        <v>32</v>
      </c>
      <c r="L1335">
        <v>408</v>
      </c>
      <c r="M1335">
        <v>0</v>
      </c>
      <c r="N1335">
        <v>0</v>
      </c>
      <c r="O1335">
        <v>24</v>
      </c>
      <c r="P1335">
        <v>0</v>
      </c>
      <c r="Q1335">
        <v>0</v>
      </c>
      <c r="R1335">
        <v>9</v>
      </c>
      <c r="S1335">
        <v>0</v>
      </c>
      <c r="T1335">
        <v>896</v>
      </c>
      <c r="U1335">
        <v>0</v>
      </c>
      <c r="V1335">
        <v>0</v>
      </c>
      <c r="W1335">
        <v>94</v>
      </c>
      <c r="X1335">
        <f>NHS_AE_2024_2025[[#This Row],[A&amp;E attendances Type 1]]+
NHS_AE_2024_2025[[#This Row],[A&amp;E attendances Type 2]]+
NHS_AE_2024_2025[[#This Row],[A&amp;E attendances Other A&amp;E Department]]</f>
        <v>5129</v>
      </c>
      <c r="Y1335">
        <f t="shared" si="40"/>
        <v>408</v>
      </c>
      <c r="Z1335">
        <f t="shared" si="41"/>
        <v>990</v>
      </c>
    </row>
    <row r="1336" spans="1:26" x14ac:dyDescent="0.2">
      <c r="A1336" t="s">
        <v>446</v>
      </c>
      <c r="B1336" t="s">
        <v>447</v>
      </c>
      <c r="C1336" t="s">
        <v>362</v>
      </c>
      <c r="D1336" t="s">
        <v>26</v>
      </c>
      <c r="E1336" t="s">
        <v>363</v>
      </c>
      <c r="F1336">
        <v>8500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3106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731</v>
      </c>
      <c r="S1336">
        <v>19</v>
      </c>
      <c r="T1336">
        <v>2515</v>
      </c>
      <c r="U1336">
        <v>0</v>
      </c>
      <c r="V1336">
        <v>6</v>
      </c>
      <c r="W1336">
        <v>1522</v>
      </c>
      <c r="X1336">
        <f>NHS_AE_2024_2025[[#This Row],[A&amp;E attendances Type 1]]+
NHS_AE_2024_2025[[#This Row],[A&amp;E attendances Type 2]]+
NHS_AE_2024_2025[[#This Row],[A&amp;E attendances Other A&amp;E Department]]</f>
        <v>8500</v>
      </c>
      <c r="Y1336">
        <f t="shared" si="40"/>
        <v>3106</v>
      </c>
      <c r="Z1336">
        <f t="shared" si="41"/>
        <v>4043</v>
      </c>
    </row>
    <row r="1337" spans="1:26" x14ac:dyDescent="0.2">
      <c r="A1337" t="s">
        <v>446</v>
      </c>
      <c r="B1337" t="s">
        <v>447</v>
      </c>
      <c r="C1337" t="s">
        <v>296</v>
      </c>
      <c r="D1337" t="s">
        <v>70</v>
      </c>
      <c r="E1337" t="s">
        <v>297</v>
      </c>
      <c r="F1337">
        <v>14872</v>
      </c>
      <c r="G1337">
        <v>0</v>
      </c>
      <c r="H1337">
        <v>12095</v>
      </c>
      <c r="I1337">
        <v>783</v>
      </c>
      <c r="J1337">
        <v>0</v>
      </c>
      <c r="K1337">
        <v>257</v>
      </c>
      <c r="L1337">
        <v>7055</v>
      </c>
      <c r="M1337">
        <v>0</v>
      </c>
      <c r="N1337">
        <v>165</v>
      </c>
      <c r="O1337">
        <v>0</v>
      </c>
      <c r="P1337">
        <v>0</v>
      </c>
      <c r="Q1337">
        <v>0</v>
      </c>
      <c r="R1337">
        <v>1204</v>
      </c>
      <c r="S1337">
        <v>333</v>
      </c>
      <c r="T1337">
        <v>6198</v>
      </c>
      <c r="U1337">
        <v>0</v>
      </c>
      <c r="V1337">
        <v>362</v>
      </c>
      <c r="W1337">
        <v>940</v>
      </c>
      <c r="X1337">
        <f>NHS_AE_2024_2025[[#This Row],[A&amp;E attendances Type 1]]+
NHS_AE_2024_2025[[#This Row],[A&amp;E attendances Type 2]]+
NHS_AE_2024_2025[[#This Row],[A&amp;E attendances Other A&amp;E Department]]</f>
        <v>26967</v>
      </c>
      <c r="Y1337">
        <f t="shared" si="40"/>
        <v>7220</v>
      </c>
      <c r="Z1337">
        <f t="shared" si="41"/>
        <v>7500</v>
      </c>
    </row>
    <row r="1338" spans="1:26" x14ac:dyDescent="0.2">
      <c r="A1338" t="s">
        <v>446</v>
      </c>
      <c r="B1338" t="s">
        <v>447</v>
      </c>
      <c r="C1338" t="s">
        <v>366</v>
      </c>
      <c r="D1338" t="s">
        <v>29</v>
      </c>
      <c r="E1338" t="s">
        <v>367</v>
      </c>
      <c r="F1338">
        <v>13032</v>
      </c>
      <c r="G1338">
        <v>2325</v>
      </c>
      <c r="H1338">
        <v>13414</v>
      </c>
      <c r="I1338">
        <v>0</v>
      </c>
      <c r="J1338">
        <v>0</v>
      </c>
      <c r="K1338">
        <v>0</v>
      </c>
      <c r="L1338">
        <v>5452</v>
      </c>
      <c r="M1338">
        <v>321</v>
      </c>
      <c r="N1338">
        <v>162</v>
      </c>
      <c r="O1338">
        <v>0</v>
      </c>
      <c r="P1338">
        <v>0</v>
      </c>
      <c r="Q1338">
        <v>0</v>
      </c>
      <c r="R1338">
        <v>708</v>
      </c>
      <c r="S1338">
        <v>484</v>
      </c>
      <c r="T1338">
        <v>7671</v>
      </c>
      <c r="U1338">
        <v>0</v>
      </c>
      <c r="V1338">
        <v>0</v>
      </c>
      <c r="W1338">
        <v>369</v>
      </c>
      <c r="X1338">
        <f>NHS_AE_2024_2025[[#This Row],[A&amp;E attendances Type 1]]+
NHS_AE_2024_2025[[#This Row],[A&amp;E attendances Type 2]]+
NHS_AE_2024_2025[[#This Row],[A&amp;E attendances Other A&amp;E Department]]</f>
        <v>28771</v>
      </c>
      <c r="Y1338">
        <f t="shared" si="40"/>
        <v>5935</v>
      </c>
      <c r="Z1338">
        <f t="shared" si="41"/>
        <v>8040</v>
      </c>
    </row>
    <row r="1339" spans="1:26" x14ac:dyDescent="0.2">
      <c r="A1339" t="s">
        <v>446</v>
      </c>
      <c r="B1339" t="s">
        <v>447</v>
      </c>
      <c r="C1339" t="s">
        <v>298</v>
      </c>
      <c r="D1339" t="s">
        <v>32</v>
      </c>
      <c r="E1339" t="s">
        <v>299</v>
      </c>
      <c r="F1339">
        <v>7027</v>
      </c>
      <c r="G1339">
        <v>0</v>
      </c>
      <c r="H1339">
        <v>1501</v>
      </c>
      <c r="I1339">
        <v>214</v>
      </c>
      <c r="J1339">
        <v>0</v>
      </c>
      <c r="K1339">
        <v>94</v>
      </c>
      <c r="L1339">
        <v>2637</v>
      </c>
      <c r="M1339">
        <v>0</v>
      </c>
      <c r="N1339">
        <v>145</v>
      </c>
      <c r="O1339">
        <v>79</v>
      </c>
      <c r="P1339">
        <v>0</v>
      </c>
      <c r="Q1339">
        <v>8</v>
      </c>
      <c r="R1339">
        <v>618</v>
      </c>
      <c r="S1339">
        <v>57</v>
      </c>
      <c r="T1339">
        <v>2670</v>
      </c>
      <c r="U1339">
        <v>0</v>
      </c>
      <c r="V1339">
        <v>291</v>
      </c>
      <c r="W1339">
        <v>555</v>
      </c>
      <c r="X1339">
        <f>NHS_AE_2024_2025[[#This Row],[A&amp;E attendances Type 1]]+
NHS_AE_2024_2025[[#This Row],[A&amp;E attendances Type 2]]+
NHS_AE_2024_2025[[#This Row],[A&amp;E attendances Other A&amp;E Department]]</f>
        <v>8528</v>
      </c>
      <c r="Y1339">
        <f t="shared" si="40"/>
        <v>2782</v>
      </c>
      <c r="Z1339">
        <f t="shared" si="41"/>
        <v>3516</v>
      </c>
    </row>
    <row r="1340" spans="1:26" x14ac:dyDescent="0.2">
      <c r="A1340" t="s">
        <v>446</v>
      </c>
      <c r="B1340" t="s">
        <v>447</v>
      </c>
      <c r="C1340" t="s">
        <v>416</v>
      </c>
      <c r="D1340" t="s">
        <v>70</v>
      </c>
      <c r="E1340" t="s">
        <v>417</v>
      </c>
      <c r="F1340">
        <v>7562</v>
      </c>
      <c r="G1340">
        <v>0</v>
      </c>
      <c r="H1340">
        <v>740</v>
      </c>
      <c r="I1340">
        <v>38</v>
      </c>
      <c r="J1340">
        <v>0</v>
      </c>
      <c r="K1340">
        <v>0</v>
      </c>
      <c r="L1340">
        <v>2837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523</v>
      </c>
      <c r="S1340">
        <v>510</v>
      </c>
      <c r="T1340">
        <v>2044</v>
      </c>
      <c r="U1340">
        <v>0</v>
      </c>
      <c r="V1340">
        <v>0</v>
      </c>
      <c r="W1340">
        <v>582</v>
      </c>
      <c r="X1340">
        <f>NHS_AE_2024_2025[[#This Row],[A&amp;E attendances Type 1]]+
NHS_AE_2024_2025[[#This Row],[A&amp;E attendances Type 2]]+
NHS_AE_2024_2025[[#This Row],[A&amp;E attendances Other A&amp;E Department]]</f>
        <v>8302</v>
      </c>
      <c r="Y1340">
        <f t="shared" si="40"/>
        <v>2837</v>
      </c>
      <c r="Z1340">
        <f t="shared" si="41"/>
        <v>2626</v>
      </c>
    </row>
    <row r="1341" spans="1:26" x14ac:dyDescent="0.2">
      <c r="A1341" t="s">
        <v>446</v>
      </c>
      <c r="B1341" t="s">
        <v>447</v>
      </c>
      <c r="C1341" t="s">
        <v>382</v>
      </c>
      <c r="D1341" t="s">
        <v>26</v>
      </c>
      <c r="E1341" t="s">
        <v>383</v>
      </c>
      <c r="F1341">
        <v>13146</v>
      </c>
      <c r="G1341">
        <v>0</v>
      </c>
      <c r="H1341">
        <v>10256</v>
      </c>
      <c r="I1341">
        <v>0</v>
      </c>
      <c r="J1341">
        <v>0</v>
      </c>
      <c r="K1341">
        <v>0</v>
      </c>
      <c r="L1341">
        <v>5491</v>
      </c>
      <c r="M1341">
        <v>0</v>
      </c>
      <c r="N1341">
        <v>194</v>
      </c>
      <c r="O1341">
        <v>0</v>
      </c>
      <c r="P1341">
        <v>0</v>
      </c>
      <c r="Q1341">
        <v>0</v>
      </c>
      <c r="R1341">
        <v>262</v>
      </c>
      <c r="S1341">
        <v>8</v>
      </c>
      <c r="T1341">
        <v>3180</v>
      </c>
      <c r="U1341">
        <v>0</v>
      </c>
      <c r="V1341">
        <v>0</v>
      </c>
      <c r="W1341">
        <v>2064</v>
      </c>
      <c r="X1341">
        <f>NHS_AE_2024_2025[[#This Row],[A&amp;E attendances Type 1]]+
NHS_AE_2024_2025[[#This Row],[A&amp;E attendances Type 2]]+
NHS_AE_2024_2025[[#This Row],[A&amp;E attendances Other A&amp;E Department]]</f>
        <v>23402</v>
      </c>
      <c r="Y1341">
        <f t="shared" si="40"/>
        <v>5685</v>
      </c>
      <c r="Z1341">
        <f t="shared" si="41"/>
        <v>5244</v>
      </c>
    </row>
    <row r="1342" spans="1:26" x14ac:dyDescent="0.2">
      <c r="A1342" t="s">
        <v>446</v>
      </c>
      <c r="B1342" t="s">
        <v>447</v>
      </c>
      <c r="C1342" t="s">
        <v>368</v>
      </c>
      <c r="D1342" t="s">
        <v>50</v>
      </c>
      <c r="E1342" t="s">
        <v>369</v>
      </c>
      <c r="F1342">
        <v>8962</v>
      </c>
      <c r="G1342">
        <v>1122</v>
      </c>
      <c r="H1342">
        <v>7183</v>
      </c>
      <c r="I1342">
        <v>455</v>
      </c>
      <c r="J1342">
        <v>0</v>
      </c>
      <c r="K1342">
        <v>1093</v>
      </c>
      <c r="L1342">
        <v>4245</v>
      </c>
      <c r="M1342">
        <v>0</v>
      </c>
      <c r="N1342">
        <v>165</v>
      </c>
      <c r="O1342">
        <v>183</v>
      </c>
      <c r="P1342">
        <v>0</v>
      </c>
      <c r="Q1342">
        <v>17</v>
      </c>
      <c r="R1342">
        <v>1016</v>
      </c>
      <c r="S1342">
        <v>7</v>
      </c>
      <c r="T1342">
        <v>3728</v>
      </c>
      <c r="U1342">
        <v>0</v>
      </c>
      <c r="V1342">
        <v>0</v>
      </c>
      <c r="W1342">
        <v>2831</v>
      </c>
      <c r="X1342">
        <f>NHS_AE_2024_2025[[#This Row],[A&amp;E attendances Type 1]]+
NHS_AE_2024_2025[[#This Row],[A&amp;E attendances Type 2]]+
NHS_AE_2024_2025[[#This Row],[A&amp;E attendances Other A&amp;E Department]]</f>
        <v>17267</v>
      </c>
      <c r="Y1342">
        <f t="shared" si="40"/>
        <v>4410</v>
      </c>
      <c r="Z1342">
        <f t="shared" si="41"/>
        <v>6559</v>
      </c>
    </row>
    <row r="1343" spans="1:26" x14ac:dyDescent="0.2">
      <c r="A1343" t="s">
        <v>446</v>
      </c>
      <c r="B1343" t="s">
        <v>447</v>
      </c>
      <c r="C1343" t="s">
        <v>370</v>
      </c>
      <c r="D1343" t="s">
        <v>29</v>
      </c>
      <c r="E1343" t="s">
        <v>371</v>
      </c>
      <c r="F1343">
        <v>13920</v>
      </c>
      <c r="G1343">
        <v>0</v>
      </c>
      <c r="H1343">
        <v>11086</v>
      </c>
      <c r="I1343">
        <v>29</v>
      </c>
      <c r="J1343">
        <v>0</v>
      </c>
      <c r="K1343">
        <v>0</v>
      </c>
      <c r="L1343">
        <v>6851</v>
      </c>
      <c r="M1343">
        <v>0</v>
      </c>
      <c r="N1343">
        <v>1360</v>
      </c>
      <c r="O1343">
        <v>6</v>
      </c>
      <c r="P1343">
        <v>0</v>
      </c>
      <c r="Q1343">
        <v>0</v>
      </c>
      <c r="R1343">
        <v>1025</v>
      </c>
      <c r="S1343">
        <v>465</v>
      </c>
      <c r="T1343">
        <v>3874</v>
      </c>
      <c r="U1343">
        <v>0</v>
      </c>
      <c r="V1343">
        <v>0</v>
      </c>
      <c r="W1343">
        <v>1325</v>
      </c>
      <c r="X1343">
        <f>NHS_AE_2024_2025[[#This Row],[A&amp;E attendances Type 1]]+
NHS_AE_2024_2025[[#This Row],[A&amp;E attendances Type 2]]+
NHS_AE_2024_2025[[#This Row],[A&amp;E attendances Other A&amp;E Department]]</f>
        <v>25006</v>
      </c>
      <c r="Y1343">
        <f t="shared" si="40"/>
        <v>8211</v>
      </c>
      <c r="Z1343">
        <f t="shared" si="41"/>
        <v>5199</v>
      </c>
    </row>
    <row r="1344" spans="1:26" x14ac:dyDescent="0.2">
      <c r="A1344" t="s">
        <v>446</v>
      </c>
      <c r="B1344" t="s">
        <v>447</v>
      </c>
      <c r="C1344" t="s">
        <v>200</v>
      </c>
      <c r="D1344" t="s">
        <v>32</v>
      </c>
      <c r="E1344" t="s">
        <v>201</v>
      </c>
      <c r="F1344">
        <v>13371</v>
      </c>
      <c r="G1344">
        <v>454</v>
      </c>
      <c r="H1344">
        <v>8862</v>
      </c>
      <c r="I1344">
        <v>720</v>
      </c>
      <c r="J1344">
        <v>0</v>
      </c>
      <c r="K1344">
        <v>517</v>
      </c>
      <c r="L1344">
        <v>6498</v>
      </c>
      <c r="M1344">
        <v>0</v>
      </c>
      <c r="N1344">
        <v>121</v>
      </c>
      <c r="O1344">
        <v>311</v>
      </c>
      <c r="P1344">
        <v>0</v>
      </c>
      <c r="Q1344">
        <v>5</v>
      </c>
      <c r="R1344">
        <v>998</v>
      </c>
      <c r="S1344">
        <v>875</v>
      </c>
      <c r="T1344">
        <v>5233</v>
      </c>
      <c r="U1344">
        <v>0</v>
      </c>
      <c r="V1344">
        <v>0</v>
      </c>
      <c r="W1344">
        <v>3383</v>
      </c>
      <c r="X1344">
        <f>NHS_AE_2024_2025[[#This Row],[A&amp;E attendances Type 1]]+
NHS_AE_2024_2025[[#This Row],[A&amp;E attendances Type 2]]+
NHS_AE_2024_2025[[#This Row],[A&amp;E attendances Other A&amp;E Department]]</f>
        <v>22687</v>
      </c>
      <c r="Y1344">
        <f t="shared" si="40"/>
        <v>6619</v>
      </c>
      <c r="Z1344">
        <f t="shared" si="41"/>
        <v>8616</v>
      </c>
    </row>
    <row r="1345" spans="1:26" x14ac:dyDescent="0.2">
      <c r="A1345" t="s">
        <v>446</v>
      </c>
      <c r="B1345" t="s">
        <v>447</v>
      </c>
      <c r="C1345" t="s">
        <v>408</v>
      </c>
      <c r="D1345" t="s">
        <v>50</v>
      </c>
      <c r="E1345" t="s">
        <v>409</v>
      </c>
      <c r="F1345">
        <v>8775</v>
      </c>
      <c r="G1345">
        <v>0</v>
      </c>
      <c r="H1345">
        <v>6847</v>
      </c>
      <c r="I1345">
        <v>0</v>
      </c>
      <c r="J1345">
        <v>0</v>
      </c>
      <c r="K1345">
        <v>402</v>
      </c>
      <c r="L1345">
        <v>4764</v>
      </c>
      <c r="M1345">
        <v>0</v>
      </c>
      <c r="N1345">
        <v>50</v>
      </c>
      <c r="O1345">
        <v>0</v>
      </c>
      <c r="P1345">
        <v>0</v>
      </c>
      <c r="Q1345">
        <v>2</v>
      </c>
      <c r="R1345">
        <v>592</v>
      </c>
      <c r="S1345">
        <v>923</v>
      </c>
      <c r="T1345">
        <v>4831</v>
      </c>
      <c r="U1345">
        <v>0</v>
      </c>
      <c r="V1345">
        <v>0</v>
      </c>
      <c r="W1345">
        <v>417</v>
      </c>
      <c r="X1345">
        <f>NHS_AE_2024_2025[[#This Row],[A&amp;E attendances Type 1]]+
NHS_AE_2024_2025[[#This Row],[A&amp;E attendances Type 2]]+
NHS_AE_2024_2025[[#This Row],[A&amp;E attendances Other A&amp;E Department]]</f>
        <v>15622</v>
      </c>
      <c r="Y1345">
        <f t="shared" si="40"/>
        <v>4814</v>
      </c>
      <c r="Z1345">
        <f t="shared" si="41"/>
        <v>5248</v>
      </c>
    </row>
    <row r="1346" spans="1:26" x14ac:dyDescent="0.2">
      <c r="A1346" t="s">
        <v>446</v>
      </c>
      <c r="B1346" t="s">
        <v>447</v>
      </c>
      <c r="C1346" t="s">
        <v>250</v>
      </c>
      <c r="D1346" t="s">
        <v>32</v>
      </c>
      <c r="E1346" t="s">
        <v>251</v>
      </c>
      <c r="F1346">
        <v>11024</v>
      </c>
      <c r="G1346">
        <v>0</v>
      </c>
      <c r="H1346">
        <v>5498</v>
      </c>
      <c r="I1346">
        <v>360</v>
      </c>
      <c r="J1346">
        <v>0</v>
      </c>
      <c r="K1346">
        <v>109</v>
      </c>
      <c r="L1346">
        <v>4552</v>
      </c>
      <c r="M1346">
        <v>0</v>
      </c>
      <c r="N1346">
        <v>213</v>
      </c>
      <c r="O1346">
        <v>178</v>
      </c>
      <c r="P1346">
        <v>0</v>
      </c>
      <c r="Q1346">
        <v>2</v>
      </c>
      <c r="R1346">
        <v>605</v>
      </c>
      <c r="S1346">
        <v>84</v>
      </c>
      <c r="T1346">
        <v>3714</v>
      </c>
      <c r="U1346">
        <v>0</v>
      </c>
      <c r="V1346">
        <v>0</v>
      </c>
      <c r="W1346">
        <v>352</v>
      </c>
      <c r="X1346">
        <f>NHS_AE_2024_2025[[#This Row],[A&amp;E attendances Type 1]]+
NHS_AE_2024_2025[[#This Row],[A&amp;E attendances Type 2]]+
NHS_AE_2024_2025[[#This Row],[A&amp;E attendances Other A&amp;E Department]]</f>
        <v>16522</v>
      </c>
      <c r="Y1346">
        <f t="shared" ref="Y1346:Y1409" si="42">L1346+M1346+N1346</f>
        <v>4765</v>
      </c>
      <c r="Z1346">
        <f t="shared" ref="Z1346:Z1409" si="43">T1346+U1346+V1346+W1346</f>
        <v>4066</v>
      </c>
    </row>
    <row r="1347" spans="1:26" x14ac:dyDescent="0.2">
      <c r="A1347" t="s">
        <v>446</v>
      </c>
      <c r="B1347" t="s">
        <v>447</v>
      </c>
      <c r="C1347" t="s">
        <v>372</v>
      </c>
      <c r="D1347" t="s">
        <v>29</v>
      </c>
      <c r="E1347" t="s">
        <v>373</v>
      </c>
      <c r="F1347">
        <v>9125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2598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208</v>
      </c>
      <c r="S1347">
        <v>339</v>
      </c>
      <c r="T1347">
        <v>1043</v>
      </c>
      <c r="U1347">
        <v>0</v>
      </c>
      <c r="V1347">
        <v>0</v>
      </c>
      <c r="W1347">
        <v>46</v>
      </c>
      <c r="X1347">
        <f>NHS_AE_2024_2025[[#This Row],[A&amp;E attendances Type 1]]+
NHS_AE_2024_2025[[#This Row],[A&amp;E attendances Type 2]]+
NHS_AE_2024_2025[[#This Row],[A&amp;E attendances Other A&amp;E Department]]</f>
        <v>9125</v>
      </c>
      <c r="Y1347">
        <f t="shared" si="42"/>
        <v>2598</v>
      </c>
      <c r="Z1347">
        <f t="shared" si="43"/>
        <v>1089</v>
      </c>
    </row>
    <row r="1348" spans="1:26" x14ac:dyDescent="0.2">
      <c r="A1348" t="s">
        <v>446</v>
      </c>
      <c r="B1348" t="s">
        <v>447</v>
      </c>
      <c r="C1348" t="s">
        <v>318</v>
      </c>
      <c r="D1348" t="s">
        <v>55</v>
      </c>
      <c r="E1348" t="s">
        <v>319</v>
      </c>
      <c r="F1348">
        <v>8285</v>
      </c>
      <c r="G1348">
        <v>0</v>
      </c>
      <c r="H1348">
        <v>2466</v>
      </c>
      <c r="I1348">
        <v>386</v>
      </c>
      <c r="J1348">
        <v>0</v>
      </c>
      <c r="K1348">
        <v>213</v>
      </c>
      <c r="L1348">
        <v>4231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535</v>
      </c>
      <c r="S1348">
        <v>31</v>
      </c>
      <c r="T1348">
        <v>2469</v>
      </c>
      <c r="U1348">
        <v>0</v>
      </c>
      <c r="V1348">
        <v>0</v>
      </c>
      <c r="W1348">
        <v>581</v>
      </c>
      <c r="X1348">
        <f>NHS_AE_2024_2025[[#This Row],[A&amp;E attendances Type 1]]+
NHS_AE_2024_2025[[#This Row],[A&amp;E attendances Type 2]]+
NHS_AE_2024_2025[[#This Row],[A&amp;E attendances Other A&amp;E Department]]</f>
        <v>10751</v>
      </c>
      <c r="Y1348">
        <f t="shared" si="42"/>
        <v>4231</v>
      </c>
      <c r="Z1348">
        <f t="shared" si="43"/>
        <v>3050</v>
      </c>
    </row>
    <row r="1349" spans="1:26" x14ac:dyDescent="0.2">
      <c r="A1349" t="s">
        <v>446</v>
      </c>
      <c r="B1349" t="s">
        <v>447</v>
      </c>
      <c r="C1349" t="s">
        <v>390</v>
      </c>
      <c r="D1349" t="s">
        <v>26</v>
      </c>
      <c r="E1349" t="s">
        <v>391</v>
      </c>
      <c r="F1349">
        <v>5418</v>
      </c>
      <c r="G1349">
        <v>0</v>
      </c>
      <c r="H1349">
        <v>5537</v>
      </c>
      <c r="I1349">
        <v>0</v>
      </c>
      <c r="J1349">
        <v>0</v>
      </c>
      <c r="K1349">
        <v>181</v>
      </c>
      <c r="L1349">
        <v>2480</v>
      </c>
      <c r="M1349">
        <v>0</v>
      </c>
      <c r="N1349">
        <v>301</v>
      </c>
      <c r="O1349">
        <v>0</v>
      </c>
      <c r="P1349">
        <v>0</v>
      </c>
      <c r="Q1349">
        <v>3</v>
      </c>
      <c r="R1349">
        <v>501</v>
      </c>
      <c r="S1349">
        <v>84</v>
      </c>
      <c r="T1349">
        <v>2308</v>
      </c>
      <c r="U1349">
        <v>0</v>
      </c>
      <c r="V1349">
        <v>0</v>
      </c>
      <c r="W1349">
        <v>1460</v>
      </c>
      <c r="X1349">
        <f>NHS_AE_2024_2025[[#This Row],[A&amp;E attendances Type 1]]+
NHS_AE_2024_2025[[#This Row],[A&amp;E attendances Type 2]]+
NHS_AE_2024_2025[[#This Row],[A&amp;E attendances Other A&amp;E Department]]</f>
        <v>10955</v>
      </c>
      <c r="Y1349">
        <f t="shared" si="42"/>
        <v>2781</v>
      </c>
      <c r="Z1349">
        <f t="shared" si="43"/>
        <v>3768</v>
      </c>
    </row>
    <row r="1350" spans="1:26" x14ac:dyDescent="0.2">
      <c r="A1350" t="s">
        <v>446</v>
      </c>
      <c r="B1350" t="s">
        <v>447</v>
      </c>
      <c r="C1350" t="s">
        <v>252</v>
      </c>
      <c r="D1350" t="s">
        <v>37</v>
      </c>
      <c r="E1350" t="s">
        <v>253</v>
      </c>
      <c r="F1350">
        <v>12260</v>
      </c>
      <c r="G1350">
        <v>124</v>
      </c>
      <c r="H1350">
        <v>530</v>
      </c>
      <c r="I1350">
        <v>0</v>
      </c>
      <c r="J1350">
        <v>0</v>
      </c>
      <c r="K1350">
        <v>164</v>
      </c>
      <c r="L1350">
        <v>4225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529</v>
      </c>
      <c r="S1350">
        <v>7</v>
      </c>
      <c r="T1350">
        <v>4200</v>
      </c>
      <c r="U1350">
        <v>8</v>
      </c>
      <c r="V1350">
        <v>1</v>
      </c>
      <c r="W1350">
        <v>1069</v>
      </c>
      <c r="X1350">
        <f>NHS_AE_2024_2025[[#This Row],[A&amp;E attendances Type 1]]+
NHS_AE_2024_2025[[#This Row],[A&amp;E attendances Type 2]]+
NHS_AE_2024_2025[[#This Row],[A&amp;E attendances Other A&amp;E Department]]</f>
        <v>12914</v>
      </c>
      <c r="Y1350">
        <f t="shared" si="42"/>
        <v>4225</v>
      </c>
      <c r="Z1350">
        <f t="shared" si="43"/>
        <v>5278</v>
      </c>
    </row>
    <row r="1351" spans="1:26" x14ac:dyDescent="0.2">
      <c r="A1351" t="s">
        <v>446</v>
      </c>
      <c r="B1351" t="s">
        <v>447</v>
      </c>
      <c r="C1351" t="s">
        <v>374</v>
      </c>
      <c r="D1351" t="s">
        <v>37</v>
      </c>
      <c r="E1351" t="s">
        <v>375</v>
      </c>
      <c r="F1351">
        <v>11218</v>
      </c>
      <c r="G1351">
        <v>0</v>
      </c>
      <c r="H1351">
        <v>3758</v>
      </c>
      <c r="I1351">
        <v>0</v>
      </c>
      <c r="J1351">
        <v>0</v>
      </c>
      <c r="K1351">
        <v>0</v>
      </c>
      <c r="L1351">
        <v>3886</v>
      </c>
      <c r="M1351">
        <v>0</v>
      </c>
      <c r="N1351">
        <v>34</v>
      </c>
      <c r="O1351">
        <v>0</v>
      </c>
      <c r="P1351">
        <v>0</v>
      </c>
      <c r="Q1351">
        <v>0</v>
      </c>
      <c r="R1351">
        <v>748</v>
      </c>
      <c r="S1351">
        <v>104</v>
      </c>
      <c r="T1351">
        <v>2921</v>
      </c>
      <c r="U1351">
        <v>0</v>
      </c>
      <c r="V1351">
        <v>0</v>
      </c>
      <c r="W1351">
        <v>464</v>
      </c>
      <c r="X1351">
        <f>NHS_AE_2024_2025[[#This Row],[A&amp;E attendances Type 1]]+
NHS_AE_2024_2025[[#This Row],[A&amp;E attendances Type 2]]+
NHS_AE_2024_2025[[#This Row],[A&amp;E attendances Other A&amp;E Department]]</f>
        <v>14976</v>
      </c>
      <c r="Y1351">
        <f t="shared" si="42"/>
        <v>3920</v>
      </c>
      <c r="Z1351">
        <f t="shared" si="43"/>
        <v>3385</v>
      </c>
    </row>
    <row r="1352" spans="1:26" x14ac:dyDescent="0.2">
      <c r="A1352" t="s">
        <v>446</v>
      </c>
      <c r="B1352" t="s">
        <v>447</v>
      </c>
      <c r="C1352" t="s">
        <v>322</v>
      </c>
      <c r="D1352" t="s">
        <v>50</v>
      </c>
      <c r="E1352" t="s">
        <v>323</v>
      </c>
      <c r="F1352">
        <v>13676</v>
      </c>
      <c r="G1352">
        <v>0</v>
      </c>
      <c r="H1352">
        <v>3799</v>
      </c>
      <c r="I1352">
        <v>0</v>
      </c>
      <c r="J1352">
        <v>0</v>
      </c>
      <c r="K1352">
        <v>0</v>
      </c>
      <c r="L1352">
        <v>4626</v>
      </c>
      <c r="M1352">
        <v>0</v>
      </c>
      <c r="N1352">
        <v>23</v>
      </c>
      <c r="O1352">
        <v>0</v>
      </c>
      <c r="P1352">
        <v>0</v>
      </c>
      <c r="Q1352">
        <v>0</v>
      </c>
      <c r="R1352">
        <v>852</v>
      </c>
      <c r="S1352">
        <v>108</v>
      </c>
      <c r="T1352">
        <v>4062</v>
      </c>
      <c r="U1352">
        <v>0</v>
      </c>
      <c r="V1352">
        <v>477</v>
      </c>
      <c r="W1352">
        <v>1103</v>
      </c>
      <c r="X1352">
        <f>NHS_AE_2024_2025[[#This Row],[A&amp;E attendances Type 1]]+
NHS_AE_2024_2025[[#This Row],[A&amp;E attendances Type 2]]+
NHS_AE_2024_2025[[#This Row],[A&amp;E attendances Other A&amp;E Department]]</f>
        <v>17475</v>
      </c>
      <c r="Y1352">
        <f t="shared" si="42"/>
        <v>4649</v>
      </c>
      <c r="Z1352">
        <f t="shared" si="43"/>
        <v>5642</v>
      </c>
    </row>
    <row r="1353" spans="1:26" x14ac:dyDescent="0.2">
      <c r="A1353" t="s">
        <v>446</v>
      </c>
      <c r="B1353" t="s">
        <v>447</v>
      </c>
      <c r="C1353" t="s">
        <v>324</v>
      </c>
      <c r="D1353" t="s">
        <v>37</v>
      </c>
      <c r="E1353" t="s">
        <v>325</v>
      </c>
      <c r="F1353">
        <v>9024</v>
      </c>
      <c r="G1353">
        <v>0</v>
      </c>
      <c r="H1353">
        <v>6884</v>
      </c>
      <c r="I1353">
        <v>323</v>
      </c>
      <c r="J1353">
        <v>0</v>
      </c>
      <c r="K1353">
        <v>972</v>
      </c>
      <c r="L1353">
        <v>2860</v>
      </c>
      <c r="M1353">
        <v>0</v>
      </c>
      <c r="N1353">
        <v>697</v>
      </c>
      <c r="O1353">
        <v>57</v>
      </c>
      <c r="P1353">
        <v>0</v>
      </c>
      <c r="Q1353">
        <v>0</v>
      </c>
      <c r="R1353">
        <v>355</v>
      </c>
      <c r="S1353">
        <v>616</v>
      </c>
      <c r="T1353">
        <v>1957</v>
      </c>
      <c r="U1353">
        <v>0</v>
      </c>
      <c r="V1353">
        <v>0</v>
      </c>
      <c r="W1353">
        <v>781</v>
      </c>
      <c r="X1353">
        <f>NHS_AE_2024_2025[[#This Row],[A&amp;E attendances Type 1]]+
NHS_AE_2024_2025[[#This Row],[A&amp;E attendances Type 2]]+
NHS_AE_2024_2025[[#This Row],[A&amp;E attendances Other A&amp;E Department]]</f>
        <v>15908</v>
      </c>
      <c r="Y1353">
        <f t="shared" si="42"/>
        <v>3557</v>
      </c>
      <c r="Z1353">
        <f t="shared" si="43"/>
        <v>2738</v>
      </c>
    </row>
    <row r="1354" spans="1:26" x14ac:dyDescent="0.2">
      <c r="A1354" t="s">
        <v>446</v>
      </c>
      <c r="B1354" t="s">
        <v>447</v>
      </c>
      <c r="C1354" t="s">
        <v>410</v>
      </c>
      <c r="D1354" t="s">
        <v>32</v>
      </c>
      <c r="E1354" t="s">
        <v>411</v>
      </c>
      <c r="F1354">
        <v>5243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1046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1027</v>
      </c>
      <c r="U1354">
        <v>0</v>
      </c>
      <c r="V1354">
        <v>0</v>
      </c>
      <c r="W1354">
        <v>204</v>
      </c>
      <c r="X1354">
        <f>NHS_AE_2024_2025[[#This Row],[A&amp;E attendances Type 1]]+
NHS_AE_2024_2025[[#This Row],[A&amp;E attendances Type 2]]+
NHS_AE_2024_2025[[#This Row],[A&amp;E attendances Other A&amp;E Department]]</f>
        <v>5243</v>
      </c>
      <c r="Y1354">
        <f t="shared" si="42"/>
        <v>1046</v>
      </c>
      <c r="Z1354">
        <f t="shared" si="43"/>
        <v>1231</v>
      </c>
    </row>
    <row r="1355" spans="1:26" x14ac:dyDescent="0.2">
      <c r="A1355" t="s">
        <v>446</v>
      </c>
      <c r="B1355" t="s">
        <v>447</v>
      </c>
      <c r="C1355" t="s">
        <v>326</v>
      </c>
      <c r="D1355" t="s">
        <v>29</v>
      </c>
      <c r="E1355" t="s">
        <v>327</v>
      </c>
      <c r="F1355">
        <v>19566</v>
      </c>
      <c r="G1355">
        <v>0</v>
      </c>
      <c r="H1355">
        <v>6243</v>
      </c>
      <c r="I1355">
        <v>855</v>
      </c>
      <c r="J1355">
        <v>0</v>
      </c>
      <c r="K1355">
        <v>0</v>
      </c>
      <c r="L1355">
        <v>5077</v>
      </c>
      <c r="M1355">
        <v>0</v>
      </c>
      <c r="N1355">
        <v>116</v>
      </c>
      <c r="O1355">
        <v>0</v>
      </c>
      <c r="P1355">
        <v>0</v>
      </c>
      <c r="Q1355">
        <v>0</v>
      </c>
      <c r="R1355">
        <v>827</v>
      </c>
      <c r="S1355">
        <v>63</v>
      </c>
      <c r="T1355">
        <v>2657</v>
      </c>
      <c r="U1355">
        <v>0</v>
      </c>
      <c r="V1355">
        <v>0</v>
      </c>
      <c r="W1355">
        <v>342</v>
      </c>
      <c r="X1355">
        <f>NHS_AE_2024_2025[[#This Row],[A&amp;E attendances Type 1]]+
NHS_AE_2024_2025[[#This Row],[A&amp;E attendances Type 2]]+
NHS_AE_2024_2025[[#This Row],[A&amp;E attendances Other A&amp;E Department]]</f>
        <v>25809</v>
      </c>
      <c r="Y1355">
        <f t="shared" si="42"/>
        <v>5193</v>
      </c>
      <c r="Z1355">
        <f t="shared" si="43"/>
        <v>2999</v>
      </c>
    </row>
    <row r="1356" spans="1:26" x14ac:dyDescent="0.2">
      <c r="A1356" t="s">
        <v>446</v>
      </c>
      <c r="B1356" t="s">
        <v>447</v>
      </c>
      <c r="C1356" t="s">
        <v>336</v>
      </c>
      <c r="D1356" t="s">
        <v>50</v>
      </c>
      <c r="E1356" t="s">
        <v>337</v>
      </c>
      <c r="F1356">
        <v>9433</v>
      </c>
      <c r="G1356">
        <v>0</v>
      </c>
      <c r="H1356">
        <v>12936</v>
      </c>
      <c r="I1356">
        <v>0</v>
      </c>
      <c r="J1356">
        <v>0</v>
      </c>
      <c r="K1356">
        <v>0</v>
      </c>
      <c r="L1356">
        <v>2536</v>
      </c>
      <c r="M1356">
        <v>0</v>
      </c>
      <c r="N1356">
        <v>9</v>
      </c>
      <c r="O1356">
        <v>0</v>
      </c>
      <c r="P1356">
        <v>0</v>
      </c>
      <c r="Q1356">
        <v>0</v>
      </c>
      <c r="R1356">
        <v>28</v>
      </c>
      <c r="S1356">
        <v>1</v>
      </c>
      <c r="T1356">
        <v>4486</v>
      </c>
      <c r="U1356">
        <v>0</v>
      </c>
      <c r="V1356">
        <v>55</v>
      </c>
      <c r="W1356">
        <v>1193</v>
      </c>
      <c r="X1356">
        <f>NHS_AE_2024_2025[[#This Row],[A&amp;E attendances Type 1]]+
NHS_AE_2024_2025[[#This Row],[A&amp;E attendances Type 2]]+
NHS_AE_2024_2025[[#This Row],[A&amp;E attendances Other A&amp;E Department]]</f>
        <v>22369</v>
      </c>
      <c r="Y1356">
        <f t="shared" si="42"/>
        <v>2545</v>
      </c>
      <c r="Z1356">
        <f t="shared" si="43"/>
        <v>5734</v>
      </c>
    </row>
    <row r="1357" spans="1:26" x14ac:dyDescent="0.2">
      <c r="A1357" t="s">
        <v>446</v>
      </c>
      <c r="B1357" t="s">
        <v>447</v>
      </c>
      <c r="C1357" t="s">
        <v>260</v>
      </c>
      <c r="D1357" t="s">
        <v>37</v>
      </c>
      <c r="E1357" t="s">
        <v>261</v>
      </c>
      <c r="F1357">
        <v>10146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3211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582</v>
      </c>
      <c r="S1357">
        <v>142</v>
      </c>
      <c r="T1357">
        <v>2939</v>
      </c>
      <c r="U1357">
        <v>0</v>
      </c>
      <c r="V1357">
        <v>0</v>
      </c>
      <c r="W1357">
        <v>556</v>
      </c>
      <c r="X1357">
        <f>NHS_AE_2024_2025[[#This Row],[A&amp;E attendances Type 1]]+
NHS_AE_2024_2025[[#This Row],[A&amp;E attendances Type 2]]+
NHS_AE_2024_2025[[#This Row],[A&amp;E attendances Other A&amp;E Department]]</f>
        <v>10146</v>
      </c>
      <c r="Y1357">
        <f t="shared" si="42"/>
        <v>3211</v>
      </c>
      <c r="Z1357">
        <f t="shared" si="43"/>
        <v>3495</v>
      </c>
    </row>
    <row r="1358" spans="1:26" x14ac:dyDescent="0.2">
      <c r="A1358" t="s">
        <v>446</v>
      </c>
      <c r="B1358" t="s">
        <v>447</v>
      </c>
      <c r="C1358" t="s">
        <v>338</v>
      </c>
      <c r="D1358" t="s">
        <v>50</v>
      </c>
      <c r="E1358" t="s">
        <v>339</v>
      </c>
      <c r="F1358">
        <v>7245</v>
      </c>
      <c r="G1358">
        <v>0</v>
      </c>
      <c r="H1358">
        <v>9317</v>
      </c>
      <c r="I1358">
        <v>0</v>
      </c>
      <c r="J1358">
        <v>0</v>
      </c>
      <c r="K1358">
        <v>1633</v>
      </c>
      <c r="L1358">
        <v>3748</v>
      </c>
      <c r="M1358">
        <v>0</v>
      </c>
      <c r="N1358">
        <v>787</v>
      </c>
      <c r="O1358">
        <v>0</v>
      </c>
      <c r="P1358">
        <v>0</v>
      </c>
      <c r="Q1358">
        <v>137</v>
      </c>
      <c r="R1358">
        <v>353</v>
      </c>
      <c r="S1358">
        <v>24</v>
      </c>
      <c r="T1358">
        <v>2498</v>
      </c>
      <c r="U1358">
        <v>0</v>
      </c>
      <c r="V1358">
        <v>107</v>
      </c>
      <c r="W1358">
        <v>2149</v>
      </c>
      <c r="X1358">
        <f>NHS_AE_2024_2025[[#This Row],[A&amp;E attendances Type 1]]+
NHS_AE_2024_2025[[#This Row],[A&amp;E attendances Type 2]]+
NHS_AE_2024_2025[[#This Row],[A&amp;E attendances Other A&amp;E Department]]</f>
        <v>16562</v>
      </c>
      <c r="Y1358">
        <f t="shared" si="42"/>
        <v>4535</v>
      </c>
      <c r="Z1358">
        <f t="shared" si="43"/>
        <v>4754</v>
      </c>
    </row>
    <row r="1359" spans="1:26" x14ac:dyDescent="0.2">
      <c r="A1359" t="s">
        <v>446</v>
      </c>
      <c r="B1359" t="s">
        <v>447</v>
      </c>
      <c r="C1359" t="s">
        <v>264</v>
      </c>
      <c r="D1359" t="s">
        <v>50</v>
      </c>
      <c r="E1359" t="s">
        <v>265</v>
      </c>
      <c r="F1359">
        <v>9116</v>
      </c>
      <c r="G1359">
        <v>0</v>
      </c>
      <c r="H1359">
        <v>4454</v>
      </c>
      <c r="I1359">
        <v>0</v>
      </c>
      <c r="J1359">
        <v>0</v>
      </c>
      <c r="K1359">
        <v>0</v>
      </c>
      <c r="L1359">
        <v>4836</v>
      </c>
      <c r="M1359">
        <v>0</v>
      </c>
      <c r="N1359">
        <v>450</v>
      </c>
      <c r="O1359">
        <v>0</v>
      </c>
      <c r="P1359">
        <v>0</v>
      </c>
      <c r="Q1359">
        <v>0</v>
      </c>
      <c r="R1359">
        <v>862</v>
      </c>
      <c r="S1359">
        <v>463</v>
      </c>
      <c r="T1359">
        <v>3445</v>
      </c>
      <c r="U1359">
        <v>0</v>
      </c>
      <c r="V1359">
        <v>0</v>
      </c>
      <c r="W1359">
        <v>1762</v>
      </c>
      <c r="X1359">
        <f>NHS_AE_2024_2025[[#This Row],[A&amp;E attendances Type 1]]+
NHS_AE_2024_2025[[#This Row],[A&amp;E attendances Type 2]]+
NHS_AE_2024_2025[[#This Row],[A&amp;E attendances Other A&amp;E Department]]</f>
        <v>13570</v>
      </c>
      <c r="Y1359">
        <f t="shared" si="42"/>
        <v>5286</v>
      </c>
      <c r="Z1359">
        <f t="shared" si="43"/>
        <v>5207</v>
      </c>
    </row>
    <row r="1360" spans="1:26" x14ac:dyDescent="0.2">
      <c r="A1360" t="s">
        <v>446</v>
      </c>
      <c r="B1360" t="s">
        <v>447</v>
      </c>
      <c r="C1360" t="s">
        <v>350</v>
      </c>
      <c r="D1360" t="s">
        <v>55</v>
      </c>
      <c r="E1360" t="s">
        <v>351</v>
      </c>
      <c r="F1360">
        <v>6731</v>
      </c>
      <c r="G1360">
        <v>0</v>
      </c>
      <c r="H1360">
        <v>3001</v>
      </c>
      <c r="I1360">
        <v>267</v>
      </c>
      <c r="J1360">
        <v>0</v>
      </c>
      <c r="K1360">
        <v>109</v>
      </c>
      <c r="L1360">
        <v>3210</v>
      </c>
      <c r="M1360">
        <v>0</v>
      </c>
      <c r="N1360">
        <v>92</v>
      </c>
      <c r="O1360">
        <v>94</v>
      </c>
      <c r="P1360">
        <v>0</v>
      </c>
      <c r="Q1360">
        <v>4</v>
      </c>
      <c r="R1360">
        <v>641</v>
      </c>
      <c r="S1360">
        <v>633</v>
      </c>
      <c r="T1360">
        <v>1794</v>
      </c>
      <c r="U1360">
        <v>0</v>
      </c>
      <c r="V1360">
        <v>0</v>
      </c>
      <c r="W1360">
        <v>206</v>
      </c>
      <c r="X1360">
        <f>NHS_AE_2024_2025[[#This Row],[A&amp;E attendances Type 1]]+
NHS_AE_2024_2025[[#This Row],[A&amp;E attendances Type 2]]+
NHS_AE_2024_2025[[#This Row],[A&amp;E attendances Other A&amp;E Department]]</f>
        <v>9732</v>
      </c>
      <c r="Y1360">
        <f t="shared" si="42"/>
        <v>3302</v>
      </c>
      <c r="Z1360">
        <f t="shared" si="43"/>
        <v>2000</v>
      </c>
    </row>
    <row r="1361" spans="1:26" x14ac:dyDescent="0.2">
      <c r="A1361" t="s">
        <v>446</v>
      </c>
      <c r="B1361" t="s">
        <v>447</v>
      </c>
      <c r="C1361" t="s">
        <v>352</v>
      </c>
      <c r="D1361" t="s">
        <v>50</v>
      </c>
      <c r="E1361" t="s">
        <v>353</v>
      </c>
      <c r="F1361">
        <v>16962</v>
      </c>
      <c r="G1361">
        <v>142</v>
      </c>
      <c r="H1361">
        <v>6191</v>
      </c>
      <c r="I1361">
        <v>120</v>
      </c>
      <c r="J1361">
        <v>0</v>
      </c>
      <c r="K1361">
        <v>106</v>
      </c>
      <c r="L1361">
        <v>6404</v>
      </c>
      <c r="M1361">
        <v>0</v>
      </c>
      <c r="N1361">
        <v>333</v>
      </c>
      <c r="O1361">
        <v>11</v>
      </c>
      <c r="P1361">
        <v>0</v>
      </c>
      <c r="Q1361">
        <v>1</v>
      </c>
      <c r="R1361">
        <v>2311</v>
      </c>
      <c r="S1361">
        <v>89</v>
      </c>
      <c r="T1361">
        <v>3532</v>
      </c>
      <c r="U1361">
        <v>0</v>
      </c>
      <c r="V1361">
        <v>180</v>
      </c>
      <c r="W1361">
        <v>925</v>
      </c>
      <c r="X1361">
        <f>NHS_AE_2024_2025[[#This Row],[A&amp;E attendances Type 1]]+
NHS_AE_2024_2025[[#This Row],[A&amp;E attendances Type 2]]+
NHS_AE_2024_2025[[#This Row],[A&amp;E attendances Other A&amp;E Department]]</f>
        <v>23295</v>
      </c>
      <c r="Y1361">
        <f t="shared" si="42"/>
        <v>6737</v>
      </c>
      <c r="Z1361">
        <f t="shared" si="43"/>
        <v>4637</v>
      </c>
    </row>
    <row r="1362" spans="1:26" x14ac:dyDescent="0.2">
      <c r="A1362" t="s">
        <v>446</v>
      </c>
      <c r="B1362" t="s">
        <v>447</v>
      </c>
      <c r="C1362" t="s">
        <v>174</v>
      </c>
      <c r="D1362" t="s">
        <v>50</v>
      </c>
      <c r="E1362" t="s">
        <v>175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115</v>
      </c>
      <c r="X1362">
        <f>NHS_AE_2024_2025[[#This Row],[A&amp;E attendances Type 1]]+
NHS_AE_2024_2025[[#This Row],[A&amp;E attendances Type 2]]+
NHS_AE_2024_2025[[#This Row],[A&amp;E attendances Other A&amp;E Department]]</f>
        <v>0</v>
      </c>
      <c r="Y1362">
        <f t="shared" si="42"/>
        <v>0</v>
      </c>
      <c r="Z1362">
        <f t="shared" si="43"/>
        <v>115</v>
      </c>
    </row>
    <row r="1363" spans="1:26" x14ac:dyDescent="0.2">
      <c r="A1363" t="s">
        <v>446</v>
      </c>
      <c r="B1363" t="s">
        <v>447</v>
      </c>
      <c r="C1363" t="s">
        <v>358</v>
      </c>
      <c r="D1363" t="s">
        <v>29</v>
      </c>
      <c r="E1363" t="s">
        <v>359</v>
      </c>
      <c r="F1363">
        <v>11912</v>
      </c>
      <c r="G1363">
        <v>3960</v>
      </c>
      <c r="H1363">
        <v>7425</v>
      </c>
      <c r="I1363">
        <v>0</v>
      </c>
      <c r="J1363">
        <v>0</v>
      </c>
      <c r="K1363">
        <v>385</v>
      </c>
      <c r="L1363">
        <v>4742</v>
      </c>
      <c r="M1363">
        <v>112</v>
      </c>
      <c r="N1363">
        <v>357</v>
      </c>
      <c r="O1363">
        <v>0</v>
      </c>
      <c r="P1363">
        <v>0</v>
      </c>
      <c r="Q1363">
        <v>0</v>
      </c>
      <c r="R1363">
        <v>614</v>
      </c>
      <c r="S1363">
        <v>109</v>
      </c>
      <c r="T1363">
        <v>3927</v>
      </c>
      <c r="U1363">
        <v>1</v>
      </c>
      <c r="V1363">
        <v>0</v>
      </c>
      <c r="W1363">
        <v>1079</v>
      </c>
      <c r="X1363">
        <f>NHS_AE_2024_2025[[#This Row],[A&amp;E attendances Type 1]]+
NHS_AE_2024_2025[[#This Row],[A&amp;E attendances Type 2]]+
NHS_AE_2024_2025[[#This Row],[A&amp;E attendances Other A&amp;E Department]]</f>
        <v>23297</v>
      </c>
      <c r="Y1363">
        <f t="shared" si="42"/>
        <v>5211</v>
      </c>
      <c r="Z1363">
        <f t="shared" si="43"/>
        <v>5007</v>
      </c>
    </row>
    <row r="1364" spans="1:26" x14ac:dyDescent="0.2">
      <c r="A1364" t="s">
        <v>446</v>
      </c>
      <c r="B1364" t="s">
        <v>447</v>
      </c>
      <c r="C1364" t="s">
        <v>364</v>
      </c>
      <c r="D1364" t="s">
        <v>37</v>
      </c>
      <c r="E1364" t="s">
        <v>365</v>
      </c>
      <c r="F1364">
        <v>0</v>
      </c>
      <c r="G1364">
        <v>0</v>
      </c>
      <c r="H1364">
        <v>12076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85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f>NHS_AE_2024_2025[[#This Row],[A&amp;E attendances Type 1]]+
NHS_AE_2024_2025[[#This Row],[A&amp;E attendances Type 2]]+
NHS_AE_2024_2025[[#This Row],[A&amp;E attendances Other A&amp;E Department]]</f>
        <v>12076</v>
      </c>
      <c r="Y1364">
        <f t="shared" si="42"/>
        <v>85</v>
      </c>
      <c r="Z1364">
        <f t="shared" si="43"/>
        <v>0</v>
      </c>
    </row>
    <row r="1365" spans="1:26" x14ac:dyDescent="0.2">
      <c r="A1365" t="s">
        <v>446</v>
      </c>
      <c r="B1365" t="s">
        <v>447</v>
      </c>
      <c r="C1365" t="s">
        <v>246</v>
      </c>
      <c r="D1365" t="s">
        <v>70</v>
      </c>
      <c r="E1365" t="s">
        <v>247</v>
      </c>
      <c r="F1365">
        <v>10072</v>
      </c>
      <c r="G1365">
        <v>0</v>
      </c>
      <c r="H1365">
        <v>6096</v>
      </c>
      <c r="I1365">
        <v>592</v>
      </c>
      <c r="J1365">
        <v>0</v>
      </c>
      <c r="K1365">
        <v>429</v>
      </c>
      <c r="L1365">
        <v>4963</v>
      </c>
      <c r="M1365">
        <v>0</v>
      </c>
      <c r="N1365">
        <v>83</v>
      </c>
      <c r="O1365">
        <v>244</v>
      </c>
      <c r="P1365">
        <v>0</v>
      </c>
      <c r="Q1365">
        <v>6</v>
      </c>
      <c r="R1365">
        <v>449</v>
      </c>
      <c r="S1365">
        <v>648</v>
      </c>
      <c r="T1365">
        <v>2535</v>
      </c>
      <c r="U1365">
        <v>0</v>
      </c>
      <c r="V1365">
        <v>31</v>
      </c>
      <c r="W1365">
        <v>432</v>
      </c>
      <c r="X1365">
        <f>NHS_AE_2024_2025[[#This Row],[A&amp;E attendances Type 1]]+
NHS_AE_2024_2025[[#This Row],[A&amp;E attendances Type 2]]+
NHS_AE_2024_2025[[#This Row],[A&amp;E attendances Other A&amp;E Department]]</f>
        <v>16168</v>
      </c>
      <c r="Y1365">
        <f t="shared" si="42"/>
        <v>5046</v>
      </c>
      <c r="Z1365">
        <f t="shared" si="43"/>
        <v>2998</v>
      </c>
    </row>
    <row r="1366" spans="1:26" x14ac:dyDescent="0.2">
      <c r="A1366" t="s">
        <v>446</v>
      </c>
      <c r="B1366" t="s">
        <v>447</v>
      </c>
      <c r="C1366" t="s">
        <v>300</v>
      </c>
      <c r="D1366" t="s">
        <v>37</v>
      </c>
      <c r="E1366" t="s">
        <v>301</v>
      </c>
      <c r="F1366">
        <v>11461</v>
      </c>
      <c r="G1366">
        <v>1297</v>
      </c>
      <c r="H1366">
        <v>0</v>
      </c>
      <c r="I1366">
        <v>166</v>
      </c>
      <c r="J1366">
        <v>0</v>
      </c>
      <c r="K1366">
        <v>0</v>
      </c>
      <c r="L1366">
        <v>3783</v>
      </c>
      <c r="M1366">
        <v>77</v>
      </c>
      <c r="N1366">
        <v>0</v>
      </c>
      <c r="O1366">
        <v>55</v>
      </c>
      <c r="P1366">
        <v>0</v>
      </c>
      <c r="Q1366">
        <v>0</v>
      </c>
      <c r="R1366">
        <v>305</v>
      </c>
      <c r="S1366">
        <v>9</v>
      </c>
      <c r="T1366">
        <v>3645</v>
      </c>
      <c r="U1366">
        <v>11</v>
      </c>
      <c r="V1366">
        <v>0</v>
      </c>
      <c r="W1366">
        <v>1430</v>
      </c>
      <c r="X1366">
        <f>NHS_AE_2024_2025[[#This Row],[A&amp;E attendances Type 1]]+
NHS_AE_2024_2025[[#This Row],[A&amp;E attendances Type 2]]+
NHS_AE_2024_2025[[#This Row],[A&amp;E attendances Other A&amp;E Department]]</f>
        <v>12758</v>
      </c>
      <c r="Y1366">
        <f t="shared" si="42"/>
        <v>3860</v>
      </c>
      <c r="Z1366">
        <f t="shared" si="43"/>
        <v>5086</v>
      </c>
    </row>
    <row r="1367" spans="1:26" x14ac:dyDescent="0.2">
      <c r="A1367" t="s">
        <v>446</v>
      </c>
      <c r="B1367" t="s">
        <v>447</v>
      </c>
      <c r="C1367" t="s">
        <v>316</v>
      </c>
      <c r="D1367" t="s">
        <v>70</v>
      </c>
      <c r="E1367" t="s">
        <v>317</v>
      </c>
      <c r="F1367">
        <v>12047</v>
      </c>
      <c r="G1367">
        <v>0</v>
      </c>
      <c r="H1367">
        <v>8517</v>
      </c>
      <c r="I1367">
        <v>315</v>
      </c>
      <c r="J1367">
        <v>0</v>
      </c>
      <c r="K1367">
        <v>1</v>
      </c>
      <c r="L1367">
        <v>3626</v>
      </c>
      <c r="M1367">
        <v>0</v>
      </c>
      <c r="N1367">
        <v>10</v>
      </c>
      <c r="O1367">
        <v>54</v>
      </c>
      <c r="P1367">
        <v>0</v>
      </c>
      <c r="Q1367">
        <v>0</v>
      </c>
      <c r="R1367">
        <v>691</v>
      </c>
      <c r="S1367">
        <v>112</v>
      </c>
      <c r="T1367">
        <v>2591</v>
      </c>
      <c r="U1367">
        <v>0</v>
      </c>
      <c r="V1367">
        <v>0</v>
      </c>
      <c r="W1367">
        <v>1526</v>
      </c>
      <c r="X1367">
        <f>NHS_AE_2024_2025[[#This Row],[A&amp;E attendances Type 1]]+
NHS_AE_2024_2025[[#This Row],[A&amp;E attendances Type 2]]+
NHS_AE_2024_2025[[#This Row],[A&amp;E attendances Other A&amp;E Department]]</f>
        <v>20564</v>
      </c>
      <c r="Y1367">
        <f t="shared" si="42"/>
        <v>3636</v>
      </c>
      <c r="Z1367">
        <f t="shared" si="43"/>
        <v>4117</v>
      </c>
    </row>
    <row r="1368" spans="1:26" x14ac:dyDescent="0.2">
      <c r="A1368" t="s">
        <v>446</v>
      </c>
      <c r="B1368" t="s">
        <v>447</v>
      </c>
      <c r="C1368" t="s">
        <v>388</v>
      </c>
      <c r="D1368" t="s">
        <v>55</v>
      </c>
      <c r="E1368" t="s">
        <v>389</v>
      </c>
      <c r="F1368">
        <v>7628</v>
      </c>
      <c r="G1368">
        <v>0</v>
      </c>
      <c r="H1368">
        <v>3462</v>
      </c>
      <c r="I1368">
        <v>78</v>
      </c>
      <c r="J1368">
        <v>0</v>
      </c>
      <c r="K1368">
        <v>83</v>
      </c>
      <c r="L1368">
        <v>3952</v>
      </c>
      <c r="M1368">
        <v>0</v>
      </c>
      <c r="N1368">
        <v>295</v>
      </c>
      <c r="O1368">
        <v>40</v>
      </c>
      <c r="P1368">
        <v>0</v>
      </c>
      <c r="Q1368">
        <v>7</v>
      </c>
      <c r="R1368">
        <v>497</v>
      </c>
      <c r="S1368">
        <v>607</v>
      </c>
      <c r="T1368">
        <v>2120</v>
      </c>
      <c r="U1368">
        <v>0</v>
      </c>
      <c r="V1368">
        <v>47</v>
      </c>
      <c r="W1368">
        <v>712</v>
      </c>
      <c r="X1368">
        <f>NHS_AE_2024_2025[[#This Row],[A&amp;E attendances Type 1]]+
NHS_AE_2024_2025[[#This Row],[A&amp;E attendances Type 2]]+
NHS_AE_2024_2025[[#This Row],[A&amp;E attendances Other A&amp;E Department]]</f>
        <v>11090</v>
      </c>
      <c r="Y1368">
        <f t="shared" si="42"/>
        <v>4247</v>
      </c>
      <c r="Z1368">
        <f t="shared" si="43"/>
        <v>2879</v>
      </c>
    </row>
    <row r="1369" spans="1:26" x14ac:dyDescent="0.2">
      <c r="A1369" t="s">
        <v>446</v>
      </c>
      <c r="B1369" t="s">
        <v>447</v>
      </c>
      <c r="C1369" t="s">
        <v>334</v>
      </c>
      <c r="D1369" t="s">
        <v>26</v>
      </c>
      <c r="E1369" t="s">
        <v>335</v>
      </c>
      <c r="F1369">
        <v>12603</v>
      </c>
      <c r="G1369">
        <v>0</v>
      </c>
      <c r="H1369">
        <v>0</v>
      </c>
      <c r="I1369">
        <v>252</v>
      </c>
      <c r="J1369">
        <v>0</v>
      </c>
      <c r="K1369">
        <v>0</v>
      </c>
      <c r="L1369">
        <v>5233</v>
      </c>
      <c r="M1369">
        <v>0</v>
      </c>
      <c r="N1369">
        <v>0</v>
      </c>
      <c r="O1369">
        <v>92</v>
      </c>
      <c r="P1369">
        <v>0</v>
      </c>
      <c r="Q1369">
        <v>0</v>
      </c>
      <c r="R1369">
        <v>276</v>
      </c>
      <c r="S1369">
        <v>676</v>
      </c>
      <c r="T1369">
        <v>2500</v>
      </c>
      <c r="U1369">
        <v>0</v>
      </c>
      <c r="V1369">
        <v>0</v>
      </c>
      <c r="W1369">
        <v>1880</v>
      </c>
      <c r="X1369">
        <f>NHS_AE_2024_2025[[#This Row],[A&amp;E attendances Type 1]]+
NHS_AE_2024_2025[[#This Row],[A&amp;E attendances Type 2]]+
NHS_AE_2024_2025[[#This Row],[A&amp;E attendances Other A&amp;E Department]]</f>
        <v>12603</v>
      </c>
      <c r="Y1369">
        <f t="shared" si="42"/>
        <v>5233</v>
      </c>
      <c r="Z1369">
        <f t="shared" si="43"/>
        <v>4380</v>
      </c>
    </row>
    <row r="1370" spans="1:26" x14ac:dyDescent="0.2">
      <c r="A1370" t="s">
        <v>446</v>
      </c>
      <c r="B1370" t="s">
        <v>447</v>
      </c>
      <c r="C1370" t="s">
        <v>126</v>
      </c>
      <c r="D1370" t="s">
        <v>70</v>
      </c>
      <c r="E1370" t="s">
        <v>127</v>
      </c>
      <c r="F1370">
        <v>8128</v>
      </c>
      <c r="G1370">
        <v>0</v>
      </c>
      <c r="H1370">
        <v>8198</v>
      </c>
      <c r="I1370">
        <v>0</v>
      </c>
      <c r="J1370">
        <v>0</v>
      </c>
      <c r="K1370">
        <v>822</v>
      </c>
      <c r="L1370">
        <v>2609</v>
      </c>
      <c r="M1370">
        <v>0</v>
      </c>
      <c r="N1370">
        <v>371</v>
      </c>
      <c r="O1370">
        <v>0</v>
      </c>
      <c r="P1370">
        <v>0</v>
      </c>
      <c r="Q1370">
        <v>0</v>
      </c>
      <c r="R1370">
        <v>486</v>
      </c>
      <c r="S1370">
        <v>4</v>
      </c>
      <c r="T1370">
        <v>4027</v>
      </c>
      <c r="U1370">
        <v>0</v>
      </c>
      <c r="V1370">
        <v>0</v>
      </c>
      <c r="W1370">
        <v>629</v>
      </c>
      <c r="X1370">
        <f>NHS_AE_2024_2025[[#This Row],[A&amp;E attendances Type 1]]+
NHS_AE_2024_2025[[#This Row],[A&amp;E attendances Type 2]]+
NHS_AE_2024_2025[[#This Row],[A&amp;E attendances Other A&amp;E Department]]</f>
        <v>16326</v>
      </c>
      <c r="Y1370">
        <f t="shared" si="42"/>
        <v>2980</v>
      </c>
      <c r="Z1370">
        <f t="shared" si="43"/>
        <v>4656</v>
      </c>
    </row>
    <row r="1371" spans="1:26" x14ac:dyDescent="0.2">
      <c r="A1371" t="s">
        <v>446</v>
      </c>
      <c r="B1371" t="s">
        <v>447</v>
      </c>
      <c r="C1371" t="s">
        <v>348</v>
      </c>
      <c r="D1371" t="s">
        <v>55</v>
      </c>
      <c r="E1371" t="s">
        <v>349</v>
      </c>
      <c r="F1371">
        <v>7762</v>
      </c>
      <c r="G1371">
        <v>0</v>
      </c>
      <c r="H1371">
        <v>1012</v>
      </c>
      <c r="I1371">
        <v>449</v>
      </c>
      <c r="J1371">
        <v>0</v>
      </c>
      <c r="K1371">
        <v>100</v>
      </c>
      <c r="L1371">
        <v>3031</v>
      </c>
      <c r="M1371">
        <v>0</v>
      </c>
      <c r="N1371">
        <v>22</v>
      </c>
      <c r="O1371">
        <v>150</v>
      </c>
      <c r="P1371">
        <v>0</v>
      </c>
      <c r="Q1371">
        <v>2</v>
      </c>
      <c r="R1371">
        <v>716</v>
      </c>
      <c r="S1371">
        <v>270</v>
      </c>
      <c r="T1371">
        <v>2492</v>
      </c>
      <c r="U1371">
        <v>0</v>
      </c>
      <c r="V1371">
        <v>77</v>
      </c>
      <c r="W1371">
        <v>678</v>
      </c>
      <c r="X1371">
        <f>NHS_AE_2024_2025[[#This Row],[A&amp;E attendances Type 1]]+
NHS_AE_2024_2025[[#This Row],[A&amp;E attendances Type 2]]+
NHS_AE_2024_2025[[#This Row],[A&amp;E attendances Other A&amp;E Department]]</f>
        <v>8774</v>
      </c>
      <c r="Y1371">
        <f t="shared" si="42"/>
        <v>3053</v>
      </c>
      <c r="Z1371">
        <f t="shared" si="43"/>
        <v>3247</v>
      </c>
    </row>
    <row r="1372" spans="1:26" x14ac:dyDescent="0.2">
      <c r="A1372" t="s">
        <v>446</v>
      </c>
      <c r="B1372" t="s">
        <v>447</v>
      </c>
      <c r="C1372" t="s">
        <v>378</v>
      </c>
      <c r="D1372" t="s">
        <v>37</v>
      </c>
      <c r="E1372" t="s">
        <v>379</v>
      </c>
      <c r="F1372">
        <v>0</v>
      </c>
      <c r="G1372">
        <v>0</v>
      </c>
      <c r="H1372">
        <v>1629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19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35</v>
      </c>
      <c r="W1372">
        <v>0</v>
      </c>
      <c r="X1372">
        <f>NHS_AE_2024_2025[[#This Row],[A&amp;E attendances Type 1]]+
NHS_AE_2024_2025[[#This Row],[A&amp;E attendances Type 2]]+
NHS_AE_2024_2025[[#This Row],[A&amp;E attendances Other A&amp;E Department]]</f>
        <v>1629</v>
      </c>
      <c r="Y1372">
        <f t="shared" si="42"/>
        <v>19</v>
      </c>
      <c r="Z1372">
        <f t="shared" si="43"/>
        <v>35</v>
      </c>
    </row>
    <row r="1373" spans="1:26" x14ac:dyDescent="0.2">
      <c r="A1373" t="s">
        <v>446</v>
      </c>
      <c r="B1373" t="s">
        <v>447</v>
      </c>
      <c r="C1373" t="s">
        <v>178</v>
      </c>
      <c r="D1373" t="s">
        <v>55</v>
      </c>
      <c r="E1373" t="s">
        <v>179</v>
      </c>
      <c r="F1373">
        <v>0</v>
      </c>
      <c r="G1373">
        <v>0</v>
      </c>
      <c r="H1373">
        <v>3173</v>
      </c>
      <c r="I1373">
        <v>0</v>
      </c>
      <c r="J1373">
        <v>0</v>
      </c>
      <c r="K1373">
        <v>161</v>
      </c>
      <c r="L1373">
        <v>0</v>
      </c>
      <c r="M1373">
        <v>0</v>
      </c>
      <c r="N1373">
        <v>19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f>NHS_AE_2024_2025[[#This Row],[A&amp;E attendances Type 1]]+
NHS_AE_2024_2025[[#This Row],[A&amp;E attendances Type 2]]+
NHS_AE_2024_2025[[#This Row],[A&amp;E attendances Other A&amp;E Department]]</f>
        <v>3173</v>
      </c>
      <c r="Y1373">
        <f t="shared" si="42"/>
        <v>19</v>
      </c>
      <c r="Z1373">
        <f t="shared" si="43"/>
        <v>0</v>
      </c>
    </row>
    <row r="1374" spans="1:26" x14ac:dyDescent="0.2">
      <c r="A1374" t="s">
        <v>446</v>
      </c>
      <c r="B1374" t="s">
        <v>447</v>
      </c>
      <c r="C1374" t="s">
        <v>234</v>
      </c>
      <c r="D1374" t="s">
        <v>26</v>
      </c>
      <c r="E1374" t="s">
        <v>235</v>
      </c>
      <c r="F1374">
        <v>4311</v>
      </c>
      <c r="G1374">
        <v>0</v>
      </c>
      <c r="H1374">
        <v>0</v>
      </c>
      <c r="I1374">
        <v>344</v>
      </c>
      <c r="J1374">
        <v>0</v>
      </c>
      <c r="K1374">
        <v>4200</v>
      </c>
      <c r="L1374">
        <v>1826</v>
      </c>
      <c r="M1374">
        <v>0</v>
      </c>
      <c r="N1374">
        <v>0</v>
      </c>
      <c r="O1374">
        <v>106</v>
      </c>
      <c r="P1374">
        <v>0</v>
      </c>
      <c r="Q1374">
        <v>6</v>
      </c>
      <c r="R1374">
        <v>234</v>
      </c>
      <c r="S1374">
        <v>71</v>
      </c>
      <c r="T1374">
        <v>1727</v>
      </c>
      <c r="U1374">
        <v>0</v>
      </c>
      <c r="V1374">
        <v>0</v>
      </c>
      <c r="W1374">
        <v>549</v>
      </c>
      <c r="X1374">
        <f>NHS_AE_2024_2025[[#This Row],[A&amp;E attendances Type 1]]+
NHS_AE_2024_2025[[#This Row],[A&amp;E attendances Type 2]]+
NHS_AE_2024_2025[[#This Row],[A&amp;E attendances Other A&amp;E Department]]</f>
        <v>4311</v>
      </c>
      <c r="Y1374">
        <f t="shared" si="42"/>
        <v>1826</v>
      </c>
      <c r="Z1374">
        <f t="shared" si="43"/>
        <v>2276</v>
      </c>
    </row>
    <row r="1375" spans="1:26" x14ac:dyDescent="0.2">
      <c r="A1375" t="s">
        <v>446</v>
      </c>
      <c r="B1375" t="s">
        <v>447</v>
      </c>
      <c r="C1375" t="s">
        <v>196</v>
      </c>
      <c r="D1375" t="s">
        <v>37</v>
      </c>
      <c r="E1375" t="s">
        <v>197</v>
      </c>
      <c r="F1375">
        <v>22963</v>
      </c>
      <c r="G1375">
        <v>941</v>
      </c>
      <c r="H1375">
        <v>11866</v>
      </c>
      <c r="I1375">
        <v>0</v>
      </c>
      <c r="J1375">
        <v>0</v>
      </c>
      <c r="K1375">
        <v>0</v>
      </c>
      <c r="L1375">
        <v>9744</v>
      </c>
      <c r="M1375">
        <v>0</v>
      </c>
      <c r="N1375">
        <v>156</v>
      </c>
      <c r="O1375">
        <v>0</v>
      </c>
      <c r="P1375">
        <v>0</v>
      </c>
      <c r="Q1375">
        <v>0</v>
      </c>
      <c r="R1375">
        <v>2059</v>
      </c>
      <c r="S1375">
        <v>376</v>
      </c>
      <c r="T1375">
        <v>5823</v>
      </c>
      <c r="U1375">
        <v>0</v>
      </c>
      <c r="V1375">
        <v>0</v>
      </c>
      <c r="W1375">
        <v>314</v>
      </c>
      <c r="X1375">
        <f>NHS_AE_2024_2025[[#This Row],[A&amp;E attendances Type 1]]+
NHS_AE_2024_2025[[#This Row],[A&amp;E attendances Type 2]]+
NHS_AE_2024_2025[[#This Row],[A&amp;E attendances Other A&amp;E Department]]</f>
        <v>35770</v>
      </c>
      <c r="Y1375">
        <f t="shared" si="42"/>
        <v>9900</v>
      </c>
      <c r="Z1375">
        <f t="shared" si="43"/>
        <v>6137</v>
      </c>
    </row>
    <row r="1376" spans="1:26" x14ac:dyDescent="0.2">
      <c r="A1376" t="s">
        <v>446</v>
      </c>
      <c r="B1376" t="s">
        <v>447</v>
      </c>
      <c r="C1376" t="s">
        <v>418</v>
      </c>
      <c r="D1376" t="s">
        <v>55</v>
      </c>
      <c r="E1376" t="s">
        <v>419</v>
      </c>
      <c r="F1376">
        <v>25044</v>
      </c>
      <c r="G1376">
        <v>0</v>
      </c>
      <c r="H1376">
        <v>8709</v>
      </c>
      <c r="I1376">
        <v>0</v>
      </c>
      <c r="J1376">
        <v>0</v>
      </c>
      <c r="K1376">
        <v>0</v>
      </c>
      <c r="L1376">
        <v>10980</v>
      </c>
      <c r="M1376">
        <v>0</v>
      </c>
      <c r="N1376">
        <v>305</v>
      </c>
      <c r="O1376">
        <v>0</v>
      </c>
      <c r="P1376">
        <v>0</v>
      </c>
      <c r="Q1376">
        <v>0</v>
      </c>
      <c r="R1376">
        <v>1265</v>
      </c>
      <c r="S1376">
        <v>1066</v>
      </c>
      <c r="T1376">
        <v>6873</v>
      </c>
      <c r="U1376">
        <v>0</v>
      </c>
      <c r="V1376">
        <v>363</v>
      </c>
      <c r="W1376">
        <v>1567</v>
      </c>
      <c r="X1376">
        <f>NHS_AE_2024_2025[[#This Row],[A&amp;E attendances Type 1]]+
NHS_AE_2024_2025[[#This Row],[A&amp;E attendances Type 2]]+
NHS_AE_2024_2025[[#This Row],[A&amp;E attendances Other A&amp;E Department]]</f>
        <v>33753</v>
      </c>
      <c r="Y1376">
        <f t="shared" si="42"/>
        <v>11285</v>
      </c>
      <c r="Z1376">
        <f t="shared" si="43"/>
        <v>8803</v>
      </c>
    </row>
    <row r="1377" spans="1:26" x14ac:dyDescent="0.2">
      <c r="A1377" t="s">
        <v>446</v>
      </c>
      <c r="B1377" t="s">
        <v>447</v>
      </c>
      <c r="C1377" t="s">
        <v>340</v>
      </c>
      <c r="D1377" t="s">
        <v>29</v>
      </c>
      <c r="E1377" t="s">
        <v>341</v>
      </c>
      <c r="F1377">
        <v>11286</v>
      </c>
      <c r="G1377">
        <v>305</v>
      </c>
      <c r="H1377">
        <v>1565</v>
      </c>
      <c r="I1377">
        <v>350</v>
      </c>
      <c r="J1377">
        <v>0</v>
      </c>
      <c r="K1377">
        <v>21</v>
      </c>
      <c r="L1377">
        <v>2902</v>
      </c>
      <c r="M1377">
        <v>0</v>
      </c>
      <c r="N1377">
        <v>51</v>
      </c>
      <c r="O1377">
        <v>38</v>
      </c>
      <c r="P1377">
        <v>0</v>
      </c>
      <c r="Q1377">
        <v>1</v>
      </c>
      <c r="R1377">
        <v>241</v>
      </c>
      <c r="S1377">
        <v>668</v>
      </c>
      <c r="T1377">
        <v>1848</v>
      </c>
      <c r="U1377">
        <v>1</v>
      </c>
      <c r="V1377">
        <v>0</v>
      </c>
      <c r="W1377">
        <v>134</v>
      </c>
      <c r="X1377">
        <f>NHS_AE_2024_2025[[#This Row],[A&amp;E attendances Type 1]]+
NHS_AE_2024_2025[[#This Row],[A&amp;E attendances Type 2]]+
NHS_AE_2024_2025[[#This Row],[A&amp;E attendances Other A&amp;E Department]]</f>
        <v>13156</v>
      </c>
      <c r="Y1377">
        <f t="shared" si="42"/>
        <v>2953</v>
      </c>
      <c r="Z1377">
        <f t="shared" si="43"/>
        <v>1983</v>
      </c>
    </row>
    <row r="1378" spans="1:26" x14ac:dyDescent="0.2">
      <c r="A1378" t="s">
        <v>446</v>
      </c>
      <c r="B1378" t="s">
        <v>447</v>
      </c>
      <c r="C1378" t="s">
        <v>248</v>
      </c>
      <c r="D1378" t="s">
        <v>55</v>
      </c>
      <c r="E1378" t="s">
        <v>249</v>
      </c>
      <c r="F1378">
        <v>5098</v>
      </c>
      <c r="G1378">
        <v>0</v>
      </c>
      <c r="H1378">
        <v>1971</v>
      </c>
      <c r="I1378">
        <v>0</v>
      </c>
      <c r="J1378">
        <v>0</v>
      </c>
      <c r="K1378">
        <v>0</v>
      </c>
      <c r="L1378">
        <v>2763</v>
      </c>
      <c r="M1378">
        <v>0</v>
      </c>
      <c r="N1378">
        <v>180</v>
      </c>
      <c r="O1378">
        <v>0</v>
      </c>
      <c r="P1378">
        <v>0</v>
      </c>
      <c r="Q1378">
        <v>0</v>
      </c>
      <c r="R1378">
        <v>300</v>
      </c>
      <c r="S1378">
        <v>597</v>
      </c>
      <c r="T1378">
        <v>1470</v>
      </c>
      <c r="U1378">
        <v>0</v>
      </c>
      <c r="V1378">
        <v>0</v>
      </c>
      <c r="W1378">
        <v>1202</v>
      </c>
      <c r="X1378">
        <f>NHS_AE_2024_2025[[#This Row],[A&amp;E attendances Type 1]]+
NHS_AE_2024_2025[[#This Row],[A&amp;E attendances Type 2]]+
NHS_AE_2024_2025[[#This Row],[A&amp;E attendances Other A&amp;E Department]]</f>
        <v>7069</v>
      </c>
      <c r="Y1378">
        <f t="shared" si="42"/>
        <v>2943</v>
      </c>
      <c r="Z1378">
        <f t="shared" si="43"/>
        <v>2672</v>
      </c>
    </row>
    <row r="1379" spans="1:26" x14ac:dyDescent="0.2">
      <c r="A1379" t="s">
        <v>446</v>
      </c>
      <c r="B1379" t="s">
        <v>447</v>
      </c>
      <c r="C1379" t="s">
        <v>354</v>
      </c>
      <c r="D1379" t="s">
        <v>50</v>
      </c>
      <c r="E1379" t="s">
        <v>355</v>
      </c>
      <c r="F1379">
        <v>12780</v>
      </c>
      <c r="G1379">
        <v>0</v>
      </c>
      <c r="H1379">
        <v>4447</v>
      </c>
      <c r="I1379">
        <v>0</v>
      </c>
      <c r="J1379">
        <v>0</v>
      </c>
      <c r="K1379">
        <v>7151</v>
      </c>
      <c r="L1379">
        <v>5547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1936</v>
      </c>
      <c r="S1379">
        <v>26</v>
      </c>
      <c r="T1379">
        <v>4262</v>
      </c>
      <c r="U1379">
        <v>0</v>
      </c>
      <c r="V1379">
        <v>0</v>
      </c>
      <c r="W1379">
        <v>742</v>
      </c>
      <c r="X1379">
        <f>NHS_AE_2024_2025[[#This Row],[A&amp;E attendances Type 1]]+
NHS_AE_2024_2025[[#This Row],[A&amp;E attendances Type 2]]+
NHS_AE_2024_2025[[#This Row],[A&amp;E attendances Other A&amp;E Department]]</f>
        <v>17227</v>
      </c>
      <c r="Y1379">
        <f t="shared" si="42"/>
        <v>5547</v>
      </c>
      <c r="Z1379">
        <f t="shared" si="43"/>
        <v>5004</v>
      </c>
    </row>
    <row r="1380" spans="1:26" x14ac:dyDescent="0.2">
      <c r="A1380" t="s">
        <v>446</v>
      </c>
      <c r="B1380" t="s">
        <v>447</v>
      </c>
      <c r="C1380" t="s">
        <v>182</v>
      </c>
      <c r="D1380" t="s">
        <v>29</v>
      </c>
      <c r="E1380" t="s">
        <v>183</v>
      </c>
      <c r="F1380">
        <v>0</v>
      </c>
      <c r="G1380">
        <v>0</v>
      </c>
      <c r="H1380">
        <v>11180</v>
      </c>
      <c r="I1380">
        <v>0</v>
      </c>
      <c r="J1380">
        <v>0</v>
      </c>
      <c r="K1380">
        <v>391</v>
      </c>
      <c r="L1380">
        <v>0</v>
      </c>
      <c r="M1380">
        <v>0</v>
      </c>
      <c r="N1380">
        <v>261</v>
      </c>
      <c r="O1380">
        <v>0</v>
      </c>
      <c r="P1380">
        <v>0</v>
      </c>
      <c r="Q1380">
        <v>29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f>NHS_AE_2024_2025[[#This Row],[A&amp;E attendances Type 1]]+
NHS_AE_2024_2025[[#This Row],[A&amp;E attendances Type 2]]+
NHS_AE_2024_2025[[#This Row],[A&amp;E attendances Other A&amp;E Department]]</f>
        <v>11180</v>
      </c>
      <c r="Y1380">
        <f t="shared" si="42"/>
        <v>261</v>
      </c>
      <c r="Z1380">
        <f t="shared" si="43"/>
        <v>0</v>
      </c>
    </row>
    <row r="1381" spans="1:26" x14ac:dyDescent="0.2">
      <c r="A1381" t="s">
        <v>446</v>
      </c>
      <c r="B1381" t="s">
        <v>447</v>
      </c>
      <c r="C1381" t="s">
        <v>230</v>
      </c>
      <c r="D1381" t="s">
        <v>29</v>
      </c>
      <c r="E1381" t="s">
        <v>231</v>
      </c>
      <c r="F1381">
        <v>17990</v>
      </c>
      <c r="G1381">
        <v>0</v>
      </c>
      <c r="H1381">
        <v>8392</v>
      </c>
      <c r="I1381">
        <v>0</v>
      </c>
      <c r="J1381">
        <v>0</v>
      </c>
      <c r="K1381">
        <v>0</v>
      </c>
      <c r="L1381">
        <v>6667</v>
      </c>
      <c r="M1381">
        <v>0</v>
      </c>
      <c r="N1381">
        <v>188</v>
      </c>
      <c r="O1381">
        <v>0</v>
      </c>
      <c r="P1381">
        <v>0</v>
      </c>
      <c r="Q1381">
        <v>0</v>
      </c>
      <c r="R1381">
        <v>1040</v>
      </c>
      <c r="S1381">
        <v>560</v>
      </c>
      <c r="T1381">
        <v>3834</v>
      </c>
      <c r="U1381">
        <v>0</v>
      </c>
      <c r="V1381">
        <v>0</v>
      </c>
      <c r="W1381">
        <v>567</v>
      </c>
      <c r="X1381">
        <f>NHS_AE_2024_2025[[#This Row],[A&amp;E attendances Type 1]]+
NHS_AE_2024_2025[[#This Row],[A&amp;E attendances Type 2]]+
NHS_AE_2024_2025[[#This Row],[A&amp;E attendances Other A&amp;E Department]]</f>
        <v>26382</v>
      </c>
      <c r="Y1381">
        <f t="shared" si="42"/>
        <v>6855</v>
      </c>
      <c r="Z1381">
        <f t="shared" si="43"/>
        <v>4401</v>
      </c>
    </row>
    <row r="1382" spans="1:26" x14ac:dyDescent="0.2">
      <c r="A1382" t="s">
        <v>446</v>
      </c>
      <c r="B1382" t="s">
        <v>447</v>
      </c>
      <c r="C1382" t="s">
        <v>398</v>
      </c>
      <c r="D1382" t="s">
        <v>55</v>
      </c>
      <c r="E1382" t="s">
        <v>399</v>
      </c>
      <c r="F1382">
        <v>7780</v>
      </c>
      <c r="G1382">
        <v>0</v>
      </c>
      <c r="H1382">
        <v>2781</v>
      </c>
      <c r="I1382">
        <v>185</v>
      </c>
      <c r="J1382">
        <v>0</v>
      </c>
      <c r="K1382">
        <v>166</v>
      </c>
      <c r="L1382">
        <v>4534</v>
      </c>
      <c r="M1382">
        <v>0</v>
      </c>
      <c r="N1382">
        <v>20</v>
      </c>
      <c r="O1382">
        <v>68</v>
      </c>
      <c r="P1382">
        <v>0</v>
      </c>
      <c r="Q1382">
        <v>1</v>
      </c>
      <c r="R1382">
        <v>751</v>
      </c>
      <c r="S1382">
        <v>534</v>
      </c>
      <c r="T1382">
        <v>2143</v>
      </c>
      <c r="U1382">
        <v>0</v>
      </c>
      <c r="V1382">
        <v>0</v>
      </c>
      <c r="W1382">
        <v>1584</v>
      </c>
      <c r="X1382">
        <f>NHS_AE_2024_2025[[#This Row],[A&amp;E attendances Type 1]]+
NHS_AE_2024_2025[[#This Row],[A&amp;E attendances Type 2]]+
NHS_AE_2024_2025[[#This Row],[A&amp;E attendances Other A&amp;E Department]]</f>
        <v>10561</v>
      </c>
      <c r="Y1382">
        <f t="shared" si="42"/>
        <v>4554</v>
      </c>
      <c r="Z1382">
        <f t="shared" si="43"/>
        <v>3727</v>
      </c>
    </row>
    <row r="1383" spans="1:26" x14ac:dyDescent="0.2">
      <c r="A1383" t="s">
        <v>446</v>
      </c>
      <c r="B1383" t="s">
        <v>447</v>
      </c>
      <c r="C1383" t="s">
        <v>386</v>
      </c>
      <c r="D1383" t="s">
        <v>32</v>
      </c>
      <c r="E1383" t="s">
        <v>387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32</v>
      </c>
      <c r="X1383">
        <f>NHS_AE_2024_2025[[#This Row],[A&amp;E attendances Type 1]]+
NHS_AE_2024_2025[[#This Row],[A&amp;E attendances Type 2]]+
NHS_AE_2024_2025[[#This Row],[A&amp;E attendances Other A&amp;E Department]]</f>
        <v>0</v>
      </c>
      <c r="Y1383">
        <f t="shared" si="42"/>
        <v>0</v>
      </c>
      <c r="Z1383">
        <f t="shared" si="43"/>
        <v>32</v>
      </c>
    </row>
    <row r="1384" spans="1:26" x14ac:dyDescent="0.2">
      <c r="A1384" t="s">
        <v>446</v>
      </c>
      <c r="B1384" t="s">
        <v>447</v>
      </c>
      <c r="C1384" t="s">
        <v>424</v>
      </c>
      <c r="D1384" t="s">
        <v>37</v>
      </c>
      <c r="E1384" t="s">
        <v>425</v>
      </c>
      <c r="F1384">
        <v>12092</v>
      </c>
      <c r="G1384">
        <v>1819</v>
      </c>
      <c r="H1384">
        <v>1922</v>
      </c>
      <c r="I1384">
        <v>1529</v>
      </c>
      <c r="J1384">
        <v>0</v>
      </c>
      <c r="K1384">
        <v>111</v>
      </c>
      <c r="L1384">
        <v>4110</v>
      </c>
      <c r="M1384">
        <v>0</v>
      </c>
      <c r="N1384">
        <v>2</v>
      </c>
      <c r="O1384">
        <v>435</v>
      </c>
      <c r="P1384">
        <v>0</v>
      </c>
      <c r="Q1384">
        <v>1</v>
      </c>
      <c r="R1384">
        <v>635</v>
      </c>
      <c r="S1384">
        <v>0</v>
      </c>
      <c r="T1384">
        <v>4127</v>
      </c>
      <c r="U1384">
        <v>133</v>
      </c>
      <c r="V1384">
        <v>19</v>
      </c>
      <c r="W1384">
        <v>4523</v>
      </c>
      <c r="X1384">
        <f>NHS_AE_2024_2025[[#This Row],[A&amp;E attendances Type 1]]+
NHS_AE_2024_2025[[#This Row],[A&amp;E attendances Type 2]]+
NHS_AE_2024_2025[[#This Row],[A&amp;E attendances Other A&amp;E Department]]</f>
        <v>15833</v>
      </c>
      <c r="Y1384">
        <f t="shared" si="42"/>
        <v>4112</v>
      </c>
      <c r="Z1384">
        <f t="shared" si="43"/>
        <v>8802</v>
      </c>
    </row>
    <row r="1385" spans="1:26" x14ac:dyDescent="0.2">
      <c r="A1385" t="s">
        <v>446</v>
      </c>
      <c r="B1385" t="s">
        <v>447</v>
      </c>
      <c r="C1385" t="s">
        <v>346</v>
      </c>
      <c r="D1385" t="s">
        <v>70</v>
      </c>
      <c r="E1385" t="s">
        <v>347</v>
      </c>
      <c r="F1385">
        <v>9180</v>
      </c>
      <c r="G1385">
        <v>0</v>
      </c>
      <c r="H1385">
        <v>7282</v>
      </c>
      <c r="I1385">
        <v>5</v>
      </c>
      <c r="J1385">
        <v>0</v>
      </c>
      <c r="K1385">
        <v>15</v>
      </c>
      <c r="L1385">
        <v>4559</v>
      </c>
      <c r="M1385">
        <v>0</v>
      </c>
      <c r="N1385">
        <v>267</v>
      </c>
      <c r="O1385">
        <v>2</v>
      </c>
      <c r="P1385">
        <v>0</v>
      </c>
      <c r="Q1385">
        <v>0</v>
      </c>
      <c r="R1385">
        <v>141</v>
      </c>
      <c r="S1385">
        <v>23</v>
      </c>
      <c r="T1385">
        <v>3469</v>
      </c>
      <c r="U1385">
        <v>0</v>
      </c>
      <c r="V1385">
        <v>79</v>
      </c>
      <c r="W1385">
        <v>267</v>
      </c>
      <c r="X1385">
        <f>NHS_AE_2024_2025[[#This Row],[A&amp;E attendances Type 1]]+
NHS_AE_2024_2025[[#This Row],[A&amp;E attendances Type 2]]+
NHS_AE_2024_2025[[#This Row],[A&amp;E attendances Other A&amp;E Department]]</f>
        <v>16462</v>
      </c>
      <c r="Y1385">
        <f t="shared" si="42"/>
        <v>4826</v>
      </c>
      <c r="Z1385">
        <f t="shared" si="43"/>
        <v>3815</v>
      </c>
    </row>
    <row r="1386" spans="1:26" x14ac:dyDescent="0.2">
      <c r="A1386" t="s">
        <v>446</v>
      </c>
      <c r="B1386" t="s">
        <v>447</v>
      </c>
      <c r="C1386" t="s">
        <v>304</v>
      </c>
      <c r="D1386" t="s">
        <v>29</v>
      </c>
      <c r="E1386" t="s">
        <v>305</v>
      </c>
      <c r="F1386">
        <v>13337</v>
      </c>
      <c r="G1386">
        <v>0</v>
      </c>
      <c r="H1386">
        <v>4958</v>
      </c>
      <c r="I1386">
        <v>1</v>
      </c>
      <c r="J1386">
        <v>0</v>
      </c>
      <c r="K1386">
        <v>0</v>
      </c>
      <c r="L1386">
        <v>4748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404</v>
      </c>
      <c r="S1386">
        <v>649</v>
      </c>
      <c r="T1386">
        <v>1335</v>
      </c>
      <c r="U1386">
        <v>0</v>
      </c>
      <c r="V1386">
        <v>0</v>
      </c>
      <c r="W1386">
        <v>116</v>
      </c>
      <c r="X1386">
        <f>NHS_AE_2024_2025[[#This Row],[A&amp;E attendances Type 1]]+
NHS_AE_2024_2025[[#This Row],[A&amp;E attendances Type 2]]+
NHS_AE_2024_2025[[#This Row],[A&amp;E attendances Other A&amp;E Department]]</f>
        <v>18295</v>
      </c>
      <c r="Y1386">
        <f t="shared" si="42"/>
        <v>4748</v>
      </c>
      <c r="Z1386">
        <f t="shared" si="43"/>
        <v>1451</v>
      </c>
    </row>
    <row r="1387" spans="1:26" x14ac:dyDescent="0.2">
      <c r="A1387" t="s">
        <v>446</v>
      </c>
      <c r="B1387" t="s">
        <v>447</v>
      </c>
      <c r="C1387" t="s">
        <v>384</v>
      </c>
      <c r="D1387" t="s">
        <v>55</v>
      </c>
      <c r="E1387" t="s">
        <v>385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173</v>
      </c>
      <c r="X1387">
        <f>NHS_AE_2024_2025[[#This Row],[A&amp;E attendances Type 1]]+
NHS_AE_2024_2025[[#This Row],[A&amp;E attendances Type 2]]+
NHS_AE_2024_2025[[#This Row],[A&amp;E attendances Other A&amp;E Department]]</f>
        <v>0</v>
      </c>
      <c r="Y1387">
        <f t="shared" si="42"/>
        <v>0</v>
      </c>
      <c r="Z1387">
        <f t="shared" si="43"/>
        <v>173</v>
      </c>
    </row>
    <row r="1388" spans="1:26" x14ac:dyDescent="0.2">
      <c r="A1388" t="s">
        <v>446</v>
      </c>
      <c r="B1388" t="s">
        <v>447</v>
      </c>
      <c r="C1388" t="s">
        <v>61</v>
      </c>
      <c r="D1388" t="s">
        <v>55</v>
      </c>
      <c r="E1388" t="s">
        <v>62</v>
      </c>
      <c r="F1388">
        <v>0</v>
      </c>
      <c r="G1388">
        <v>0</v>
      </c>
      <c r="H1388">
        <v>1627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4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f>NHS_AE_2024_2025[[#This Row],[A&amp;E attendances Type 1]]+
NHS_AE_2024_2025[[#This Row],[A&amp;E attendances Type 2]]+
NHS_AE_2024_2025[[#This Row],[A&amp;E attendances Other A&amp;E Department]]</f>
        <v>1627</v>
      </c>
      <c r="Y1388">
        <f t="shared" si="42"/>
        <v>4</v>
      </c>
      <c r="Z1388">
        <f t="shared" si="43"/>
        <v>0</v>
      </c>
    </row>
    <row r="1389" spans="1:26" x14ac:dyDescent="0.2">
      <c r="A1389" t="s">
        <v>446</v>
      </c>
      <c r="B1389" t="s">
        <v>447</v>
      </c>
      <c r="C1389" t="s">
        <v>420</v>
      </c>
      <c r="D1389" t="s">
        <v>37</v>
      </c>
      <c r="E1389" t="s">
        <v>421</v>
      </c>
      <c r="F1389">
        <v>9788</v>
      </c>
      <c r="G1389">
        <v>742</v>
      </c>
      <c r="H1389">
        <v>3055</v>
      </c>
      <c r="I1389">
        <v>1398</v>
      </c>
      <c r="J1389">
        <v>0</v>
      </c>
      <c r="K1389">
        <v>725</v>
      </c>
      <c r="L1389">
        <v>5307</v>
      </c>
      <c r="M1389">
        <v>3</v>
      </c>
      <c r="N1389">
        <v>27</v>
      </c>
      <c r="O1389">
        <v>0</v>
      </c>
      <c r="P1389">
        <v>0</v>
      </c>
      <c r="Q1389">
        <v>0</v>
      </c>
      <c r="R1389">
        <v>1380</v>
      </c>
      <c r="S1389">
        <v>33</v>
      </c>
      <c r="T1389">
        <v>3525</v>
      </c>
      <c r="U1389">
        <v>0</v>
      </c>
      <c r="V1389">
        <v>0</v>
      </c>
      <c r="W1389">
        <v>2461</v>
      </c>
      <c r="X1389">
        <f>NHS_AE_2024_2025[[#This Row],[A&amp;E attendances Type 1]]+
NHS_AE_2024_2025[[#This Row],[A&amp;E attendances Type 2]]+
NHS_AE_2024_2025[[#This Row],[A&amp;E attendances Other A&amp;E Department]]</f>
        <v>13585</v>
      </c>
      <c r="Y1389">
        <f t="shared" si="42"/>
        <v>5337</v>
      </c>
      <c r="Z1389">
        <f t="shared" si="43"/>
        <v>5986</v>
      </c>
    </row>
    <row r="1390" spans="1:26" x14ac:dyDescent="0.2">
      <c r="A1390" t="s">
        <v>446</v>
      </c>
      <c r="B1390" t="s">
        <v>447</v>
      </c>
      <c r="C1390" t="s">
        <v>380</v>
      </c>
      <c r="D1390" t="s">
        <v>55</v>
      </c>
      <c r="E1390" t="s">
        <v>381</v>
      </c>
      <c r="F1390">
        <v>16606</v>
      </c>
      <c r="G1390">
        <v>0</v>
      </c>
      <c r="H1390">
        <v>7186</v>
      </c>
      <c r="I1390">
        <v>387</v>
      </c>
      <c r="J1390">
        <v>0</v>
      </c>
      <c r="K1390">
        <v>0</v>
      </c>
      <c r="L1390">
        <v>6364</v>
      </c>
      <c r="M1390">
        <v>0</v>
      </c>
      <c r="N1390">
        <v>206</v>
      </c>
      <c r="O1390">
        <v>47</v>
      </c>
      <c r="P1390">
        <v>0</v>
      </c>
      <c r="Q1390">
        <v>0</v>
      </c>
      <c r="R1390">
        <v>589</v>
      </c>
      <c r="S1390">
        <v>311</v>
      </c>
      <c r="T1390">
        <v>6800</v>
      </c>
      <c r="U1390">
        <v>0</v>
      </c>
      <c r="V1390">
        <v>0</v>
      </c>
      <c r="W1390">
        <v>632</v>
      </c>
      <c r="X1390">
        <f>NHS_AE_2024_2025[[#This Row],[A&amp;E attendances Type 1]]+
NHS_AE_2024_2025[[#This Row],[A&amp;E attendances Type 2]]+
NHS_AE_2024_2025[[#This Row],[A&amp;E attendances Other A&amp;E Department]]</f>
        <v>23792</v>
      </c>
      <c r="Y1390">
        <f t="shared" si="42"/>
        <v>6570</v>
      </c>
      <c r="Z1390">
        <f t="shared" si="43"/>
        <v>7432</v>
      </c>
    </row>
    <row r="1391" spans="1:26" x14ac:dyDescent="0.2">
      <c r="A1391" t="s">
        <v>446</v>
      </c>
      <c r="B1391" t="s">
        <v>447</v>
      </c>
      <c r="C1391" t="s">
        <v>302</v>
      </c>
      <c r="D1391" t="s">
        <v>29</v>
      </c>
      <c r="E1391" t="s">
        <v>303</v>
      </c>
      <c r="F1391">
        <v>10382</v>
      </c>
      <c r="G1391">
        <v>739</v>
      </c>
      <c r="H1391">
        <v>6688</v>
      </c>
      <c r="I1391">
        <v>0</v>
      </c>
      <c r="J1391">
        <v>0</v>
      </c>
      <c r="K1391">
        <v>0</v>
      </c>
      <c r="L1391">
        <v>4003</v>
      </c>
      <c r="M1391">
        <v>0</v>
      </c>
      <c r="N1391">
        <v>264</v>
      </c>
      <c r="O1391">
        <v>0</v>
      </c>
      <c r="P1391">
        <v>0</v>
      </c>
      <c r="Q1391">
        <v>0</v>
      </c>
      <c r="R1391">
        <v>96</v>
      </c>
      <c r="S1391">
        <v>72</v>
      </c>
      <c r="T1391">
        <v>2114</v>
      </c>
      <c r="U1391">
        <v>0</v>
      </c>
      <c r="V1391">
        <v>0</v>
      </c>
      <c r="W1391">
        <v>194</v>
      </c>
      <c r="X1391">
        <f>NHS_AE_2024_2025[[#This Row],[A&amp;E attendances Type 1]]+
NHS_AE_2024_2025[[#This Row],[A&amp;E attendances Type 2]]+
NHS_AE_2024_2025[[#This Row],[A&amp;E attendances Other A&amp;E Department]]</f>
        <v>17809</v>
      </c>
      <c r="Y1391">
        <f t="shared" si="42"/>
        <v>4267</v>
      </c>
      <c r="Z1391">
        <f t="shared" si="43"/>
        <v>2308</v>
      </c>
    </row>
    <row r="1392" spans="1:26" x14ac:dyDescent="0.2">
      <c r="A1392" t="s">
        <v>446</v>
      </c>
      <c r="B1392" t="s">
        <v>431</v>
      </c>
      <c r="C1392" t="s">
        <v>431</v>
      </c>
      <c r="D1392" t="s">
        <v>431</v>
      </c>
      <c r="E1392" t="s">
        <v>431</v>
      </c>
      <c r="F1392">
        <v>1374917</v>
      </c>
      <c r="G1392">
        <v>48707</v>
      </c>
      <c r="H1392">
        <v>792016</v>
      </c>
      <c r="I1392">
        <v>30741</v>
      </c>
      <c r="J1392">
        <v>675</v>
      </c>
      <c r="K1392">
        <v>47009</v>
      </c>
      <c r="L1392">
        <v>547250</v>
      </c>
      <c r="M1392">
        <v>1841</v>
      </c>
      <c r="N1392">
        <v>25423</v>
      </c>
      <c r="O1392">
        <v>7803</v>
      </c>
      <c r="P1392">
        <v>13</v>
      </c>
      <c r="Q1392">
        <v>626</v>
      </c>
      <c r="R1392">
        <v>90008</v>
      </c>
      <c r="S1392">
        <v>38106</v>
      </c>
      <c r="T1392">
        <v>396204</v>
      </c>
      <c r="U1392">
        <v>1406</v>
      </c>
      <c r="V1392">
        <v>4445</v>
      </c>
      <c r="W1392">
        <v>134829</v>
      </c>
      <c r="X1392">
        <f>NHS_AE_2024_2025[[#This Row],[A&amp;E attendances Type 1]]+
NHS_AE_2024_2025[[#This Row],[A&amp;E attendances Type 2]]+
NHS_AE_2024_2025[[#This Row],[A&amp;E attendances Other A&amp;E Department]]</f>
        <v>2215640</v>
      </c>
      <c r="Y1392">
        <f t="shared" si="42"/>
        <v>574514</v>
      </c>
      <c r="Z1392">
        <f t="shared" si="43"/>
        <v>536884</v>
      </c>
    </row>
    <row r="1393" spans="1:26" x14ac:dyDescent="0.2">
      <c r="A1393" t="s">
        <v>448</v>
      </c>
      <c r="B1393" t="s">
        <v>449</v>
      </c>
      <c r="C1393" t="s">
        <v>28</v>
      </c>
      <c r="D1393" t="s">
        <v>29</v>
      </c>
      <c r="E1393" t="s">
        <v>30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27</v>
      </c>
      <c r="X1393">
        <f>NHS_AE_2024_2025[[#This Row],[A&amp;E attendances Type 1]]+
NHS_AE_2024_2025[[#This Row],[A&amp;E attendances Type 2]]+
NHS_AE_2024_2025[[#This Row],[A&amp;E attendances Other A&amp;E Department]]</f>
        <v>0</v>
      </c>
      <c r="Y1393">
        <f t="shared" si="42"/>
        <v>0</v>
      </c>
      <c r="Z1393">
        <f t="shared" si="43"/>
        <v>27</v>
      </c>
    </row>
    <row r="1394" spans="1:26" x14ac:dyDescent="0.2">
      <c r="A1394" t="s">
        <v>448</v>
      </c>
      <c r="B1394" t="s">
        <v>449</v>
      </c>
      <c r="C1394" t="s">
        <v>47</v>
      </c>
      <c r="D1394" t="s">
        <v>26</v>
      </c>
      <c r="E1394" t="s">
        <v>48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16</v>
      </c>
      <c r="W1394">
        <v>74</v>
      </c>
      <c r="X1394">
        <f>NHS_AE_2024_2025[[#This Row],[A&amp;E attendances Type 1]]+
NHS_AE_2024_2025[[#This Row],[A&amp;E attendances Type 2]]+
NHS_AE_2024_2025[[#This Row],[A&amp;E attendances Other A&amp;E Department]]</f>
        <v>0</v>
      </c>
      <c r="Y1394">
        <f t="shared" si="42"/>
        <v>0</v>
      </c>
      <c r="Z1394">
        <f t="shared" si="43"/>
        <v>90</v>
      </c>
    </row>
    <row r="1395" spans="1:26" x14ac:dyDescent="0.2">
      <c r="A1395" t="s">
        <v>448</v>
      </c>
      <c r="B1395" t="s">
        <v>449</v>
      </c>
      <c r="C1395" t="s">
        <v>128</v>
      </c>
      <c r="D1395" t="s">
        <v>37</v>
      </c>
      <c r="E1395" t="s">
        <v>129</v>
      </c>
      <c r="F1395">
        <v>0</v>
      </c>
      <c r="G1395">
        <v>0</v>
      </c>
      <c r="H1395">
        <v>9690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32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f>NHS_AE_2024_2025[[#This Row],[A&amp;E attendances Type 1]]+
NHS_AE_2024_2025[[#This Row],[A&amp;E attendances Type 2]]+
NHS_AE_2024_2025[[#This Row],[A&amp;E attendances Other A&amp;E Department]]</f>
        <v>9690</v>
      </c>
      <c r="Y1395">
        <f t="shared" si="42"/>
        <v>32</v>
      </c>
      <c r="Z1395">
        <f t="shared" si="43"/>
        <v>0</v>
      </c>
    </row>
    <row r="1396" spans="1:26" x14ac:dyDescent="0.2">
      <c r="A1396" t="s">
        <v>448</v>
      </c>
      <c r="B1396" t="s">
        <v>449</v>
      </c>
      <c r="C1396" t="s">
        <v>59</v>
      </c>
      <c r="D1396" t="s">
        <v>37</v>
      </c>
      <c r="E1396" t="s">
        <v>60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f>NHS_AE_2024_2025[[#This Row],[A&amp;E attendances Type 1]]+
NHS_AE_2024_2025[[#This Row],[A&amp;E attendances Type 2]]+
NHS_AE_2024_2025[[#This Row],[A&amp;E attendances Other A&amp;E Department]]</f>
        <v>0</v>
      </c>
      <c r="Y1396">
        <f t="shared" si="42"/>
        <v>0</v>
      </c>
      <c r="Z1396">
        <f t="shared" si="43"/>
        <v>0</v>
      </c>
    </row>
    <row r="1397" spans="1:26" x14ac:dyDescent="0.2">
      <c r="A1397" t="s">
        <v>448</v>
      </c>
      <c r="B1397" t="s">
        <v>449</v>
      </c>
      <c r="C1397" t="s">
        <v>106</v>
      </c>
      <c r="D1397" t="s">
        <v>37</v>
      </c>
      <c r="E1397" t="s">
        <v>107</v>
      </c>
      <c r="F1397">
        <v>0</v>
      </c>
      <c r="G1397">
        <v>0</v>
      </c>
      <c r="H1397">
        <v>2040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f>NHS_AE_2024_2025[[#This Row],[A&amp;E attendances Type 1]]+
NHS_AE_2024_2025[[#This Row],[A&amp;E attendances Type 2]]+
NHS_AE_2024_2025[[#This Row],[A&amp;E attendances Other A&amp;E Department]]</f>
        <v>2040</v>
      </c>
      <c r="Y1397">
        <f t="shared" si="42"/>
        <v>0</v>
      </c>
      <c r="Z1397">
        <f t="shared" si="43"/>
        <v>0</v>
      </c>
    </row>
    <row r="1398" spans="1:26" x14ac:dyDescent="0.2">
      <c r="A1398" t="s">
        <v>448</v>
      </c>
      <c r="B1398" t="s">
        <v>449</v>
      </c>
      <c r="C1398" t="s">
        <v>31</v>
      </c>
      <c r="D1398" t="s">
        <v>32</v>
      </c>
      <c r="E1398" t="s">
        <v>33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1438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f>NHS_AE_2024_2025[[#This Row],[A&amp;E attendances Type 1]]+
NHS_AE_2024_2025[[#This Row],[A&amp;E attendances Type 2]]+
NHS_AE_2024_2025[[#This Row],[A&amp;E attendances Other A&amp;E Department]]</f>
        <v>0</v>
      </c>
      <c r="Y1398">
        <f t="shared" si="42"/>
        <v>0</v>
      </c>
      <c r="Z1398">
        <f t="shared" si="43"/>
        <v>0</v>
      </c>
    </row>
    <row r="1399" spans="1:26" x14ac:dyDescent="0.2">
      <c r="A1399" t="s">
        <v>448</v>
      </c>
      <c r="B1399" t="s">
        <v>449</v>
      </c>
      <c r="C1399" t="s">
        <v>278</v>
      </c>
      <c r="D1399" t="s">
        <v>32</v>
      </c>
      <c r="E1399" t="s">
        <v>279</v>
      </c>
      <c r="F1399">
        <v>0</v>
      </c>
      <c r="G1399">
        <v>0</v>
      </c>
      <c r="H1399">
        <v>315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f>NHS_AE_2024_2025[[#This Row],[A&amp;E attendances Type 1]]+
NHS_AE_2024_2025[[#This Row],[A&amp;E attendances Type 2]]+
NHS_AE_2024_2025[[#This Row],[A&amp;E attendances Other A&amp;E Department]]</f>
        <v>315</v>
      </c>
      <c r="Y1399">
        <f t="shared" si="42"/>
        <v>0</v>
      </c>
      <c r="Z1399">
        <f t="shared" si="43"/>
        <v>0</v>
      </c>
    </row>
    <row r="1400" spans="1:26" x14ac:dyDescent="0.2">
      <c r="A1400" t="s">
        <v>448</v>
      </c>
      <c r="B1400" t="s">
        <v>449</v>
      </c>
      <c r="C1400" t="s">
        <v>94</v>
      </c>
      <c r="D1400" t="s">
        <v>32</v>
      </c>
      <c r="E1400" t="s">
        <v>95</v>
      </c>
      <c r="F1400">
        <v>0</v>
      </c>
      <c r="G1400">
        <v>0</v>
      </c>
      <c r="H1400">
        <v>350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f>NHS_AE_2024_2025[[#This Row],[A&amp;E attendances Type 1]]+
NHS_AE_2024_2025[[#This Row],[A&amp;E attendances Type 2]]+
NHS_AE_2024_2025[[#This Row],[A&amp;E attendances Other A&amp;E Department]]</f>
        <v>350</v>
      </c>
      <c r="Y1400">
        <f t="shared" si="42"/>
        <v>0</v>
      </c>
      <c r="Z1400">
        <f t="shared" si="43"/>
        <v>0</v>
      </c>
    </row>
    <row r="1401" spans="1:26" x14ac:dyDescent="0.2">
      <c r="A1401" t="s">
        <v>448</v>
      </c>
      <c r="B1401" t="s">
        <v>449</v>
      </c>
      <c r="C1401" t="s">
        <v>134</v>
      </c>
      <c r="D1401" t="s">
        <v>37</v>
      </c>
      <c r="E1401" t="s">
        <v>135</v>
      </c>
      <c r="F1401">
        <v>0</v>
      </c>
      <c r="G1401">
        <v>0</v>
      </c>
      <c r="H1401">
        <v>2464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f>NHS_AE_2024_2025[[#This Row],[A&amp;E attendances Type 1]]+
NHS_AE_2024_2025[[#This Row],[A&amp;E attendances Type 2]]+
NHS_AE_2024_2025[[#This Row],[A&amp;E attendances Other A&amp;E Department]]</f>
        <v>2464</v>
      </c>
      <c r="Y1401">
        <f t="shared" si="42"/>
        <v>0</v>
      </c>
      <c r="Z1401">
        <f t="shared" si="43"/>
        <v>0</v>
      </c>
    </row>
    <row r="1402" spans="1:26" x14ac:dyDescent="0.2">
      <c r="A1402" t="s">
        <v>448</v>
      </c>
      <c r="B1402" t="s">
        <v>449</v>
      </c>
      <c r="C1402" t="s">
        <v>222</v>
      </c>
      <c r="D1402" t="s">
        <v>32</v>
      </c>
      <c r="E1402" t="s">
        <v>223</v>
      </c>
      <c r="F1402">
        <v>0</v>
      </c>
      <c r="G1402">
        <v>0</v>
      </c>
      <c r="H1402">
        <v>3164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f>NHS_AE_2024_2025[[#This Row],[A&amp;E attendances Type 1]]+
NHS_AE_2024_2025[[#This Row],[A&amp;E attendances Type 2]]+
NHS_AE_2024_2025[[#This Row],[A&amp;E attendances Other A&amp;E Department]]</f>
        <v>3164</v>
      </c>
      <c r="Y1402">
        <f t="shared" si="42"/>
        <v>0</v>
      </c>
      <c r="Z1402">
        <f t="shared" si="43"/>
        <v>0</v>
      </c>
    </row>
    <row r="1403" spans="1:26" x14ac:dyDescent="0.2">
      <c r="A1403" t="s">
        <v>448</v>
      </c>
      <c r="B1403" t="s">
        <v>449</v>
      </c>
      <c r="C1403" t="s">
        <v>110</v>
      </c>
      <c r="D1403" t="s">
        <v>37</v>
      </c>
      <c r="E1403" t="s">
        <v>111</v>
      </c>
      <c r="F1403">
        <v>0</v>
      </c>
      <c r="G1403">
        <v>0</v>
      </c>
      <c r="H1403">
        <v>1024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f>NHS_AE_2024_2025[[#This Row],[A&amp;E attendances Type 1]]+
NHS_AE_2024_2025[[#This Row],[A&amp;E attendances Type 2]]+
NHS_AE_2024_2025[[#This Row],[A&amp;E attendances Other A&amp;E Department]]</f>
        <v>1024</v>
      </c>
      <c r="Y1403">
        <f t="shared" si="42"/>
        <v>0</v>
      </c>
      <c r="Z1403">
        <f t="shared" si="43"/>
        <v>0</v>
      </c>
    </row>
    <row r="1404" spans="1:26" x14ac:dyDescent="0.2">
      <c r="A1404" t="s">
        <v>448</v>
      </c>
      <c r="B1404" t="s">
        <v>449</v>
      </c>
      <c r="C1404" t="s">
        <v>41</v>
      </c>
      <c r="D1404" t="s">
        <v>32</v>
      </c>
      <c r="E1404" t="s">
        <v>42</v>
      </c>
      <c r="F1404">
        <v>0</v>
      </c>
      <c r="G1404">
        <v>0</v>
      </c>
      <c r="H1404">
        <v>3151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f>NHS_AE_2024_2025[[#This Row],[A&amp;E attendances Type 1]]+
NHS_AE_2024_2025[[#This Row],[A&amp;E attendances Type 2]]+
NHS_AE_2024_2025[[#This Row],[A&amp;E attendances Other A&amp;E Department]]</f>
        <v>3151</v>
      </c>
      <c r="Y1404">
        <f t="shared" si="42"/>
        <v>0</v>
      </c>
      <c r="Z1404">
        <f t="shared" si="43"/>
        <v>0</v>
      </c>
    </row>
    <row r="1405" spans="1:26" x14ac:dyDescent="0.2">
      <c r="A1405" t="s">
        <v>448</v>
      </c>
      <c r="B1405" t="s">
        <v>449</v>
      </c>
      <c r="C1405" t="s">
        <v>78</v>
      </c>
      <c r="D1405" t="s">
        <v>37</v>
      </c>
      <c r="E1405" t="s">
        <v>79</v>
      </c>
      <c r="F1405">
        <v>0</v>
      </c>
      <c r="G1405">
        <v>0</v>
      </c>
      <c r="H1405">
        <v>2374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23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f>NHS_AE_2024_2025[[#This Row],[A&amp;E attendances Type 1]]+
NHS_AE_2024_2025[[#This Row],[A&amp;E attendances Type 2]]+
NHS_AE_2024_2025[[#This Row],[A&amp;E attendances Other A&amp;E Department]]</f>
        <v>2374</v>
      </c>
      <c r="Y1405">
        <f t="shared" si="42"/>
        <v>23</v>
      </c>
      <c r="Z1405">
        <f t="shared" si="43"/>
        <v>0</v>
      </c>
    </row>
    <row r="1406" spans="1:26" x14ac:dyDescent="0.2">
      <c r="A1406" t="s">
        <v>448</v>
      </c>
      <c r="B1406" t="s">
        <v>449</v>
      </c>
      <c r="C1406" t="s">
        <v>80</v>
      </c>
      <c r="D1406" t="s">
        <v>37</v>
      </c>
      <c r="E1406" t="s">
        <v>81</v>
      </c>
      <c r="F1406">
        <v>0</v>
      </c>
      <c r="G1406">
        <v>0</v>
      </c>
      <c r="H1406">
        <v>2683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12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f>NHS_AE_2024_2025[[#This Row],[A&amp;E attendances Type 1]]+
NHS_AE_2024_2025[[#This Row],[A&amp;E attendances Type 2]]+
NHS_AE_2024_2025[[#This Row],[A&amp;E attendances Other A&amp;E Department]]</f>
        <v>2683</v>
      </c>
      <c r="Y1406">
        <f t="shared" si="42"/>
        <v>12</v>
      </c>
      <c r="Z1406">
        <f t="shared" si="43"/>
        <v>0</v>
      </c>
    </row>
    <row r="1407" spans="1:26" x14ac:dyDescent="0.2">
      <c r="A1407" t="s">
        <v>448</v>
      </c>
      <c r="B1407" t="s">
        <v>449</v>
      </c>
      <c r="C1407" t="s">
        <v>43</v>
      </c>
      <c r="D1407" t="s">
        <v>26</v>
      </c>
      <c r="E1407" t="s">
        <v>44</v>
      </c>
      <c r="F1407">
        <v>6650</v>
      </c>
      <c r="G1407">
        <v>0</v>
      </c>
      <c r="H1407">
        <v>3358</v>
      </c>
      <c r="I1407">
        <v>405</v>
      </c>
      <c r="J1407">
        <v>0</v>
      </c>
      <c r="K1407">
        <v>154</v>
      </c>
      <c r="L1407">
        <v>2977</v>
      </c>
      <c r="M1407">
        <v>0</v>
      </c>
      <c r="N1407">
        <v>47</v>
      </c>
      <c r="O1407">
        <v>160</v>
      </c>
      <c r="P1407">
        <v>0</v>
      </c>
      <c r="Q1407">
        <v>3</v>
      </c>
      <c r="R1407">
        <v>285</v>
      </c>
      <c r="S1407">
        <v>45</v>
      </c>
      <c r="T1407">
        <v>2305</v>
      </c>
      <c r="U1407">
        <v>0</v>
      </c>
      <c r="V1407">
        <v>0</v>
      </c>
      <c r="W1407">
        <v>1183</v>
      </c>
      <c r="X1407">
        <f>NHS_AE_2024_2025[[#This Row],[A&amp;E attendances Type 1]]+
NHS_AE_2024_2025[[#This Row],[A&amp;E attendances Type 2]]+
NHS_AE_2024_2025[[#This Row],[A&amp;E attendances Other A&amp;E Department]]</f>
        <v>10008</v>
      </c>
      <c r="Y1407">
        <f t="shared" si="42"/>
        <v>3024</v>
      </c>
      <c r="Z1407">
        <f t="shared" si="43"/>
        <v>3488</v>
      </c>
    </row>
    <row r="1408" spans="1:26" x14ac:dyDescent="0.2">
      <c r="A1408" t="s">
        <v>448</v>
      </c>
      <c r="B1408" t="s">
        <v>449</v>
      </c>
      <c r="C1408" t="s">
        <v>84</v>
      </c>
      <c r="D1408" t="s">
        <v>50</v>
      </c>
      <c r="E1408" t="s">
        <v>85</v>
      </c>
      <c r="F1408">
        <v>9281</v>
      </c>
      <c r="G1408">
        <v>0</v>
      </c>
      <c r="H1408">
        <v>0</v>
      </c>
      <c r="I1408">
        <v>12</v>
      </c>
      <c r="J1408">
        <v>0</v>
      </c>
      <c r="K1408">
        <v>0</v>
      </c>
      <c r="L1408">
        <v>1838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229</v>
      </c>
      <c r="S1408">
        <v>0</v>
      </c>
      <c r="T1408">
        <v>3249</v>
      </c>
      <c r="U1408">
        <v>0</v>
      </c>
      <c r="V1408">
        <v>0</v>
      </c>
      <c r="W1408">
        <v>530</v>
      </c>
      <c r="X1408">
        <f>NHS_AE_2024_2025[[#This Row],[A&amp;E attendances Type 1]]+
NHS_AE_2024_2025[[#This Row],[A&amp;E attendances Type 2]]+
NHS_AE_2024_2025[[#This Row],[A&amp;E attendances Other A&amp;E Department]]</f>
        <v>9281</v>
      </c>
      <c r="Y1408">
        <f t="shared" si="42"/>
        <v>1838</v>
      </c>
      <c r="Z1408">
        <f t="shared" si="43"/>
        <v>3779</v>
      </c>
    </row>
    <row r="1409" spans="1:26" x14ac:dyDescent="0.2">
      <c r="A1409" t="s">
        <v>448</v>
      </c>
      <c r="B1409" t="s">
        <v>449</v>
      </c>
      <c r="C1409" t="s">
        <v>256</v>
      </c>
      <c r="D1409" t="s">
        <v>37</v>
      </c>
      <c r="E1409" t="s">
        <v>257</v>
      </c>
      <c r="F1409">
        <v>0</v>
      </c>
      <c r="G1409">
        <v>0</v>
      </c>
      <c r="H1409">
        <v>3656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419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f>NHS_AE_2024_2025[[#This Row],[A&amp;E attendances Type 1]]+
NHS_AE_2024_2025[[#This Row],[A&amp;E attendances Type 2]]+
NHS_AE_2024_2025[[#This Row],[A&amp;E attendances Other A&amp;E Department]]</f>
        <v>3656</v>
      </c>
      <c r="Y1409">
        <f t="shared" si="42"/>
        <v>419</v>
      </c>
      <c r="Z1409">
        <f t="shared" si="43"/>
        <v>0</v>
      </c>
    </row>
    <row r="1410" spans="1:26" x14ac:dyDescent="0.2">
      <c r="A1410" t="s">
        <v>448</v>
      </c>
      <c r="B1410" t="s">
        <v>449</v>
      </c>
      <c r="C1410" t="s">
        <v>49</v>
      </c>
      <c r="D1410" t="s">
        <v>50</v>
      </c>
      <c r="E1410" t="s">
        <v>51</v>
      </c>
      <c r="F1410">
        <v>16307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2976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885</v>
      </c>
      <c r="S1410">
        <v>20</v>
      </c>
      <c r="T1410">
        <v>2750</v>
      </c>
      <c r="U1410">
        <v>0</v>
      </c>
      <c r="V1410">
        <v>0</v>
      </c>
      <c r="W1410">
        <v>209</v>
      </c>
      <c r="X1410">
        <f>NHS_AE_2024_2025[[#This Row],[A&amp;E attendances Type 1]]+
NHS_AE_2024_2025[[#This Row],[A&amp;E attendances Type 2]]+
NHS_AE_2024_2025[[#This Row],[A&amp;E attendances Other A&amp;E Department]]</f>
        <v>16307</v>
      </c>
      <c r="Y1410">
        <f t="shared" ref="Y1410:Y1473" si="44">L1410+M1410+N1410</f>
        <v>2976</v>
      </c>
      <c r="Z1410">
        <f t="shared" ref="Z1410:Z1473" si="45">T1410+U1410+V1410+W1410</f>
        <v>2959</v>
      </c>
    </row>
    <row r="1411" spans="1:26" x14ac:dyDescent="0.2">
      <c r="A1411" t="s">
        <v>448</v>
      </c>
      <c r="B1411" t="s">
        <v>449</v>
      </c>
      <c r="C1411" t="s">
        <v>90</v>
      </c>
      <c r="D1411" t="s">
        <v>29</v>
      </c>
      <c r="E1411" t="s">
        <v>91</v>
      </c>
      <c r="F1411">
        <v>0</v>
      </c>
      <c r="G1411">
        <v>0</v>
      </c>
      <c r="H1411">
        <v>8224</v>
      </c>
      <c r="I1411">
        <v>0</v>
      </c>
      <c r="J1411">
        <v>0</v>
      </c>
      <c r="K1411">
        <v>419</v>
      </c>
      <c r="L1411">
        <v>0</v>
      </c>
      <c r="M1411">
        <v>0</v>
      </c>
      <c r="N1411">
        <v>184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f>NHS_AE_2024_2025[[#This Row],[A&amp;E attendances Type 1]]+
NHS_AE_2024_2025[[#This Row],[A&amp;E attendances Type 2]]+
NHS_AE_2024_2025[[#This Row],[A&amp;E attendances Other A&amp;E Department]]</f>
        <v>8224</v>
      </c>
      <c r="Y1411">
        <f t="shared" si="44"/>
        <v>184</v>
      </c>
      <c r="Z1411">
        <f t="shared" si="45"/>
        <v>0</v>
      </c>
    </row>
    <row r="1412" spans="1:26" x14ac:dyDescent="0.2">
      <c r="A1412" t="s">
        <v>448</v>
      </c>
      <c r="B1412" t="s">
        <v>449</v>
      </c>
      <c r="C1412" t="s">
        <v>61</v>
      </c>
      <c r="D1412" t="s">
        <v>55</v>
      </c>
      <c r="E1412" t="s">
        <v>62</v>
      </c>
      <c r="F1412">
        <v>0</v>
      </c>
      <c r="G1412">
        <v>0</v>
      </c>
      <c r="H1412">
        <v>1709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f>NHS_AE_2024_2025[[#This Row],[A&amp;E attendances Type 1]]+
NHS_AE_2024_2025[[#This Row],[A&amp;E attendances Type 2]]+
NHS_AE_2024_2025[[#This Row],[A&amp;E attendances Other A&amp;E Department]]</f>
        <v>1709</v>
      </c>
      <c r="Y1412">
        <f t="shared" si="44"/>
        <v>0</v>
      </c>
      <c r="Z1412">
        <f t="shared" si="45"/>
        <v>0</v>
      </c>
    </row>
    <row r="1413" spans="1:26" x14ac:dyDescent="0.2">
      <c r="A1413" t="s">
        <v>448</v>
      </c>
      <c r="B1413" t="s">
        <v>449</v>
      </c>
      <c r="C1413" t="s">
        <v>63</v>
      </c>
      <c r="D1413" t="s">
        <v>32</v>
      </c>
      <c r="E1413" t="s">
        <v>64</v>
      </c>
      <c r="F1413">
        <v>0</v>
      </c>
      <c r="G1413">
        <v>0</v>
      </c>
      <c r="H1413">
        <v>7113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f>NHS_AE_2024_2025[[#This Row],[A&amp;E attendances Type 1]]+
NHS_AE_2024_2025[[#This Row],[A&amp;E attendances Type 2]]+
NHS_AE_2024_2025[[#This Row],[A&amp;E attendances Other A&amp;E Department]]</f>
        <v>7113</v>
      </c>
      <c r="Y1413">
        <f t="shared" si="44"/>
        <v>0</v>
      </c>
      <c r="Z1413">
        <f t="shared" si="45"/>
        <v>0</v>
      </c>
    </row>
    <row r="1414" spans="1:26" x14ac:dyDescent="0.2">
      <c r="A1414" t="s">
        <v>448</v>
      </c>
      <c r="B1414" t="s">
        <v>449</v>
      </c>
      <c r="C1414" t="s">
        <v>25</v>
      </c>
      <c r="D1414" t="s">
        <v>26</v>
      </c>
      <c r="E1414" t="s">
        <v>27</v>
      </c>
      <c r="F1414">
        <v>0</v>
      </c>
      <c r="G1414">
        <v>0</v>
      </c>
      <c r="H1414">
        <v>707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f>NHS_AE_2024_2025[[#This Row],[A&amp;E attendances Type 1]]+
NHS_AE_2024_2025[[#This Row],[A&amp;E attendances Type 2]]+
NHS_AE_2024_2025[[#This Row],[A&amp;E attendances Other A&amp;E Department]]</f>
        <v>707</v>
      </c>
      <c r="Y1414">
        <f t="shared" si="44"/>
        <v>0</v>
      </c>
      <c r="Z1414">
        <f t="shared" si="45"/>
        <v>0</v>
      </c>
    </row>
    <row r="1415" spans="1:26" x14ac:dyDescent="0.2">
      <c r="A1415" t="s">
        <v>448</v>
      </c>
      <c r="B1415" t="s">
        <v>449</v>
      </c>
      <c r="C1415" t="s">
        <v>184</v>
      </c>
      <c r="D1415" t="s">
        <v>55</v>
      </c>
      <c r="E1415" t="s">
        <v>185</v>
      </c>
      <c r="F1415">
        <v>0</v>
      </c>
      <c r="G1415">
        <v>0</v>
      </c>
      <c r="H1415">
        <v>1122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f>NHS_AE_2024_2025[[#This Row],[A&amp;E attendances Type 1]]+
NHS_AE_2024_2025[[#This Row],[A&amp;E attendances Type 2]]+
NHS_AE_2024_2025[[#This Row],[A&amp;E attendances Other A&amp;E Department]]</f>
        <v>1122</v>
      </c>
      <c r="Y1415">
        <f t="shared" si="44"/>
        <v>1</v>
      </c>
      <c r="Z1415">
        <f t="shared" si="45"/>
        <v>0</v>
      </c>
    </row>
    <row r="1416" spans="1:26" x14ac:dyDescent="0.2">
      <c r="A1416" t="s">
        <v>448</v>
      </c>
      <c r="B1416" t="s">
        <v>449</v>
      </c>
      <c r="C1416" t="s">
        <v>400</v>
      </c>
      <c r="D1416" t="s">
        <v>50</v>
      </c>
      <c r="E1416" t="s">
        <v>401</v>
      </c>
      <c r="F1416">
        <v>5137</v>
      </c>
      <c r="G1416">
        <v>0</v>
      </c>
      <c r="H1416">
        <v>993</v>
      </c>
      <c r="I1416">
        <v>354</v>
      </c>
      <c r="J1416">
        <v>0</v>
      </c>
      <c r="K1416">
        <v>21</v>
      </c>
      <c r="L1416">
        <v>1314</v>
      </c>
      <c r="M1416">
        <v>0</v>
      </c>
      <c r="N1416">
        <v>1</v>
      </c>
      <c r="O1416">
        <v>57</v>
      </c>
      <c r="P1416">
        <v>0</v>
      </c>
      <c r="Q1416">
        <v>0</v>
      </c>
      <c r="R1416">
        <v>386</v>
      </c>
      <c r="S1416">
        <v>23</v>
      </c>
      <c r="T1416">
        <v>1150</v>
      </c>
      <c r="U1416">
        <v>0</v>
      </c>
      <c r="V1416">
        <v>0</v>
      </c>
      <c r="W1416">
        <v>315</v>
      </c>
      <c r="X1416">
        <f>NHS_AE_2024_2025[[#This Row],[A&amp;E attendances Type 1]]+
NHS_AE_2024_2025[[#This Row],[A&amp;E attendances Type 2]]+
NHS_AE_2024_2025[[#This Row],[A&amp;E attendances Other A&amp;E Department]]</f>
        <v>6130</v>
      </c>
      <c r="Y1416">
        <f t="shared" si="44"/>
        <v>1315</v>
      </c>
      <c r="Z1416">
        <f t="shared" si="45"/>
        <v>1465</v>
      </c>
    </row>
    <row r="1417" spans="1:26" x14ac:dyDescent="0.2">
      <c r="A1417" t="s">
        <v>448</v>
      </c>
      <c r="B1417" t="s">
        <v>449</v>
      </c>
      <c r="C1417" t="s">
        <v>164</v>
      </c>
      <c r="D1417" t="s">
        <v>37</v>
      </c>
      <c r="E1417" t="s">
        <v>165</v>
      </c>
      <c r="F1417">
        <v>10472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3739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487</v>
      </c>
      <c r="S1417">
        <v>688</v>
      </c>
      <c r="T1417">
        <v>3223</v>
      </c>
      <c r="U1417">
        <v>0</v>
      </c>
      <c r="V1417">
        <v>0</v>
      </c>
      <c r="W1417">
        <v>923</v>
      </c>
      <c r="X1417">
        <f>NHS_AE_2024_2025[[#This Row],[A&amp;E attendances Type 1]]+
NHS_AE_2024_2025[[#This Row],[A&amp;E attendances Type 2]]+
NHS_AE_2024_2025[[#This Row],[A&amp;E attendances Other A&amp;E Department]]</f>
        <v>10472</v>
      </c>
      <c r="Y1417">
        <f t="shared" si="44"/>
        <v>3739</v>
      </c>
      <c r="Z1417">
        <f t="shared" si="45"/>
        <v>4146</v>
      </c>
    </row>
    <row r="1418" spans="1:26" x14ac:dyDescent="0.2">
      <c r="A1418" t="s">
        <v>448</v>
      </c>
      <c r="B1418" t="s">
        <v>449</v>
      </c>
      <c r="C1418" t="s">
        <v>166</v>
      </c>
      <c r="D1418" t="s">
        <v>50</v>
      </c>
      <c r="E1418" t="s">
        <v>167</v>
      </c>
      <c r="F1418">
        <v>0</v>
      </c>
      <c r="G1418">
        <v>0</v>
      </c>
      <c r="H1418">
        <v>1048</v>
      </c>
      <c r="I1418">
        <v>0</v>
      </c>
      <c r="J1418">
        <v>0</v>
      </c>
      <c r="K1418">
        <v>28</v>
      </c>
      <c r="L1418">
        <v>0</v>
      </c>
      <c r="M1418">
        <v>0</v>
      </c>
      <c r="N1418">
        <v>10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f>NHS_AE_2024_2025[[#This Row],[A&amp;E attendances Type 1]]+
NHS_AE_2024_2025[[#This Row],[A&amp;E attendances Type 2]]+
NHS_AE_2024_2025[[#This Row],[A&amp;E attendances Other A&amp;E Department]]</f>
        <v>1048</v>
      </c>
      <c r="Y1418">
        <f t="shared" si="44"/>
        <v>10</v>
      </c>
      <c r="Z1418">
        <f t="shared" si="45"/>
        <v>0</v>
      </c>
    </row>
    <row r="1419" spans="1:26" x14ac:dyDescent="0.2">
      <c r="A1419" t="s">
        <v>448</v>
      </c>
      <c r="B1419" t="s">
        <v>449</v>
      </c>
      <c r="C1419" t="s">
        <v>216</v>
      </c>
      <c r="D1419" t="s">
        <v>55</v>
      </c>
      <c r="E1419" t="s">
        <v>217</v>
      </c>
      <c r="F1419">
        <v>13340</v>
      </c>
      <c r="G1419">
        <v>0</v>
      </c>
      <c r="H1419">
        <v>11173</v>
      </c>
      <c r="I1419">
        <v>0</v>
      </c>
      <c r="J1419">
        <v>0</v>
      </c>
      <c r="K1419">
        <v>0</v>
      </c>
      <c r="L1419">
        <v>4452</v>
      </c>
      <c r="M1419">
        <v>0</v>
      </c>
      <c r="N1419">
        <v>527</v>
      </c>
      <c r="O1419">
        <v>0</v>
      </c>
      <c r="P1419">
        <v>0</v>
      </c>
      <c r="Q1419">
        <v>0</v>
      </c>
      <c r="R1419">
        <v>524</v>
      </c>
      <c r="S1419">
        <v>1105</v>
      </c>
      <c r="T1419">
        <v>3876</v>
      </c>
      <c r="U1419">
        <v>0</v>
      </c>
      <c r="V1419">
        <v>101</v>
      </c>
      <c r="W1419">
        <v>1664</v>
      </c>
      <c r="X1419">
        <f>NHS_AE_2024_2025[[#This Row],[A&amp;E attendances Type 1]]+
NHS_AE_2024_2025[[#This Row],[A&amp;E attendances Type 2]]+
NHS_AE_2024_2025[[#This Row],[A&amp;E attendances Other A&amp;E Department]]</f>
        <v>24513</v>
      </c>
      <c r="Y1419">
        <f t="shared" si="44"/>
        <v>4979</v>
      </c>
      <c r="Z1419">
        <f t="shared" si="45"/>
        <v>5641</v>
      </c>
    </row>
    <row r="1420" spans="1:26" x14ac:dyDescent="0.2">
      <c r="A1420" t="s">
        <v>448</v>
      </c>
      <c r="B1420" t="s">
        <v>449</v>
      </c>
      <c r="C1420" t="s">
        <v>54</v>
      </c>
      <c r="D1420" t="s">
        <v>55</v>
      </c>
      <c r="E1420" t="s">
        <v>56</v>
      </c>
      <c r="F1420">
        <v>0</v>
      </c>
      <c r="G1420">
        <v>0</v>
      </c>
      <c r="H1420">
        <v>4551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402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f>NHS_AE_2024_2025[[#This Row],[A&amp;E attendances Type 1]]+
NHS_AE_2024_2025[[#This Row],[A&amp;E attendances Type 2]]+
NHS_AE_2024_2025[[#This Row],[A&amp;E attendances Other A&amp;E Department]]</f>
        <v>4551</v>
      </c>
      <c r="Y1420">
        <f t="shared" si="44"/>
        <v>402</v>
      </c>
      <c r="Z1420">
        <f t="shared" si="45"/>
        <v>0</v>
      </c>
    </row>
    <row r="1421" spans="1:26" x14ac:dyDescent="0.2">
      <c r="A1421" t="s">
        <v>448</v>
      </c>
      <c r="B1421" t="s">
        <v>449</v>
      </c>
      <c r="C1421" t="s">
        <v>130</v>
      </c>
      <c r="D1421" t="s">
        <v>70</v>
      </c>
      <c r="E1421" t="s">
        <v>131</v>
      </c>
      <c r="F1421">
        <v>0</v>
      </c>
      <c r="G1421">
        <v>0</v>
      </c>
      <c r="H1421">
        <v>3139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f>NHS_AE_2024_2025[[#This Row],[A&amp;E attendances Type 1]]+
NHS_AE_2024_2025[[#This Row],[A&amp;E attendances Type 2]]+
NHS_AE_2024_2025[[#This Row],[A&amp;E attendances Other A&amp;E Department]]</f>
        <v>3139</v>
      </c>
      <c r="Y1421">
        <f t="shared" si="44"/>
        <v>0</v>
      </c>
      <c r="Z1421">
        <f t="shared" si="45"/>
        <v>0</v>
      </c>
    </row>
    <row r="1422" spans="1:26" x14ac:dyDescent="0.2">
      <c r="A1422" t="s">
        <v>448</v>
      </c>
      <c r="B1422" t="s">
        <v>449</v>
      </c>
      <c r="C1422" t="s">
        <v>65</v>
      </c>
      <c r="D1422" t="s">
        <v>32</v>
      </c>
      <c r="E1422" t="s">
        <v>66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1942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f>NHS_AE_2024_2025[[#This Row],[A&amp;E attendances Type 1]]+
NHS_AE_2024_2025[[#This Row],[A&amp;E attendances Type 2]]+
NHS_AE_2024_2025[[#This Row],[A&amp;E attendances Other A&amp;E Department]]</f>
        <v>0</v>
      </c>
      <c r="Y1422">
        <f t="shared" si="44"/>
        <v>0</v>
      </c>
      <c r="Z1422">
        <f t="shared" si="45"/>
        <v>0</v>
      </c>
    </row>
    <row r="1423" spans="1:26" x14ac:dyDescent="0.2">
      <c r="A1423" t="s">
        <v>448</v>
      </c>
      <c r="B1423" t="s">
        <v>449</v>
      </c>
      <c r="C1423" t="s">
        <v>36</v>
      </c>
      <c r="D1423" t="s">
        <v>37</v>
      </c>
      <c r="E1423" t="s">
        <v>38</v>
      </c>
      <c r="F1423">
        <v>0</v>
      </c>
      <c r="G1423">
        <v>0</v>
      </c>
      <c r="H1423">
        <v>3105</v>
      </c>
      <c r="I1423">
        <v>0</v>
      </c>
      <c r="J1423">
        <v>0</v>
      </c>
      <c r="K1423">
        <v>24</v>
      </c>
      <c r="L1423">
        <v>0</v>
      </c>
      <c r="M1423">
        <v>0</v>
      </c>
      <c r="N1423">
        <v>16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f>NHS_AE_2024_2025[[#This Row],[A&amp;E attendances Type 1]]+
NHS_AE_2024_2025[[#This Row],[A&amp;E attendances Type 2]]+
NHS_AE_2024_2025[[#This Row],[A&amp;E attendances Other A&amp;E Department]]</f>
        <v>3105</v>
      </c>
      <c r="Y1423">
        <f t="shared" si="44"/>
        <v>16</v>
      </c>
      <c r="Z1423">
        <f t="shared" si="45"/>
        <v>0</v>
      </c>
    </row>
    <row r="1424" spans="1:26" x14ac:dyDescent="0.2">
      <c r="A1424" t="s">
        <v>448</v>
      </c>
      <c r="B1424" t="s">
        <v>449</v>
      </c>
      <c r="C1424" t="s">
        <v>69</v>
      </c>
      <c r="D1424" t="s">
        <v>70</v>
      </c>
      <c r="E1424" t="s">
        <v>71</v>
      </c>
      <c r="F1424">
        <v>0</v>
      </c>
      <c r="G1424">
        <v>0</v>
      </c>
      <c r="H1424">
        <v>2413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124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f>NHS_AE_2024_2025[[#This Row],[A&amp;E attendances Type 1]]+
NHS_AE_2024_2025[[#This Row],[A&amp;E attendances Type 2]]+
NHS_AE_2024_2025[[#This Row],[A&amp;E attendances Other A&amp;E Department]]</f>
        <v>2413</v>
      </c>
      <c r="Y1424">
        <f t="shared" si="44"/>
        <v>124</v>
      </c>
      <c r="Z1424">
        <f t="shared" si="45"/>
        <v>0</v>
      </c>
    </row>
    <row r="1425" spans="1:26" x14ac:dyDescent="0.2">
      <c r="A1425" t="s">
        <v>448</v>
      </c>
      <c r="B1425" t="s">
        <v>449</v>
      </c>
      <c r="C1425" t="s">
        <v>120</v>
      </c>
      <c r="D1425" t="s">
        <v>50</v>
      </c>
      <c r="E1425" t="s">
        <v>121</v>
      </c>
      <c r="F1425">
        <v>11463</v>
      </c>
      <c r="G1425">
        <v>1338</v>
      </c>
      <c r="H1425">
        <v>6275</v>
      </c>
      <c r="I1425">
        <v>786</v>
      </c>
      <c r="J1425">
        <v>0</v>
      </c>
      <c r="K1425">
        <v>1488</v>
      </c>
      <c r="L1425">
        <v>4812</v>
      </c>
      <c r="M1425">
        <v>25</v>
      </c>
      <c r="N1425">
        <v>239</v>
      </c>
      <c r="O1425">
        <v>347</v>
      </c>
      <c r="P1425">
        <v>0</v>
      </c>
      <c r="Q1425">
        <v>64</v>
      </c>
      <c r="R1425">
        <v>316</v>
      </c>
      <c r="S1425">
        <v>2</v>
      </c>
      <c r="T1425">
        <v>4487</v>
      </c>
      <c r="U1425">
        <v>12</v>
      </c>
      <c r="V1425">
        <v>0</v>
      </c>
      <c r="W1425">
        <v>1547</v>
      </c>
      <c r="X1425">
        <f>NHS_AE_2024_2025[[#This Row],[A&amp;E attendances Type 1]]+
NHS_AE_2024_2025[[#This Row],[A&amp;E attendances Type 2]]+
NHS_AE_2024_2025[[#This Row],[A&amp;E attendances Other A&amp;E Department]]</f>
        <v>19076</v>
      </c>
      <c r="Y1425">
        <f t="shared" si="44"/>
        <v>5076</v>
      </c>
      <c r="Z1425">
        <f t="shared" si="45"/>
        <v>6046</v>
      </c>
    </row>
    <row r="1426" spans="1:26" x14ac:dyDescent="0.2">
      <c r="A1426" t="s">
        <v>448</v>
      </c>
      <c r="B1426" t="s">
        <v>449</v>
      </c>
      <c r="C1426" t="s">
        <v>296</v>
      </c>
      <c r="D1426" t="s">
        <v>70</v>
      </c>
      <c r="E1426" t="s">
        <v>297</v>
      </c>
      <c r="F1426">
        <v>11802</v>
      </c>
      <c r="G1426">
        <v>0</v>
      </c>
      <c r="H1426">
        <v>14870</v>
      </c>
      <c r="I1426">
        <v>1315</v>
      </c>
      <c r="J1426">
        <v>0</v>
      </c>
      <c r="K1426">
        <v>693</v>
      </c>
      <c r="L1426">
        <v>5648</v>
      </c>
      <c r="M1426">
        <v>0</v>
      </c>
      <c r="N1426">
        <v>555</v>
      </c>
      <c r="O1426">
        <v>0</v>
      </c>
      <c r="P1426">
        <v>0</v>
      </c>
      <c r="Q1426">
        <v>0</v>
      </c>
      <c r="R1426">
        <v>976</v>
      </c>
      <c r="S1426">
        <v>733</v>
      </c>
      <c r="T1426">
        <v>6306</v>
      </c>
      <c r="U1426">
        <v>0</v>
      </c>
      <c r="V1426">
        <v>386</v>
      </c>
      <c r="W1426">
        <v>1212</v>
      </c>
      <c r="X1426">
        <f>NHS_AE_2024_2025[[#This Row],[A&amp;E attendances Type 1]]+
NHS_AE_2024_2025[[#This Row],[A&amp;E attendances Type 2]]+
NHS_AE_2024_2025[[#This Row],[A&amp;E attendances Other A&amp;E Department]]</f>
        <v>26672</v>
      </c>
      <c r="Y1426">
        <f t="shared" si="44"/>
        <v>6203</v>
      </c>
      <c r="Z1426">
        <f t="shared" si="45"/>
        <v>7904</v>
      </c>
    </row>
    <row r="1427" spans="1:26" x14ac:dyDescent="0.2">
      <c r="A1427" t="s">
        <v>448</v>
      </c>
      <c r="B1427" t="s">
        <v>449</v>
      </c>
      <c r="C1427" t="s">
        <v>104</v>
      </c>
      <c r="D1427" t="s">
        <v>29</v>
      </c>
      <c r="E1427" t="s">
        <v>105</v>
      </c>
      <c r="F1427">
        <v>11231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1927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206</v>
      </c>
      <c r="S1427">
        <v>22</v>
      </c>
      <c r="T1427">
        <v>1842</v>
      </c>
      <c r="U1427">
        <v>0</v>
      </c>
      <c r="V1427">
        <v>0</v>
      </c>
      <c r="W1427">
        <v>349</v>
      </c>
      <c r="X1427">
        <f>NHS_AE_2024_2025[[#This Row],[A&amp;E attendances Type 1]]+
NHS_AE_2024_2025[[#This Row],[A&amp;E attendances Type 2]]+
NHS_AE_2024_2025[[#This Row],[A&amp;E attendances Other A&amp;E Department]]</f>
        <v>11231</v>
      </c>
      <c r="Y1427">
        <f t="shared" si="44"/>
        <v>1927</v>
      </c>
      <c r="Z1427">
        <f t="shared" si="45"/>
        <v>2191</v>
      </c>
    </row>
    <row r="1428" spans="1:26" x14ac:dyDescent="0.2">
      <c r="A1428" t="s">
        <v>448</v>
      </c>
      <c r="B1428" t="s">
        <v>449</v>
      </c>
      <c r="C1428" t="s">
        <v>260</v>
      </c>
      <c r="D1428" t="s">
        <v>37</v>
      </c>
      <c r="E1428" t="s">
        <v>261</v>
      </c>
      <c r="F1428">
        <v>10757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3695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528</v>
      </c>
      <c r="S1428">
        <v>231</v>
      </c>
      <c r="T1428">
        <v>2884</v>
      </c>
      <c r="U1428">
        <v>0</v>
      </c>
      <c r="V1428">
        <v>0</v>
      </c>
      <c r="W1428">
        <v>678</v>
      </c>
      <c r="X1428">
        <f>NHS_AE_2024_2025[[#This Row],[A&amp;E attendances Type 1]]+
NHS_AE_2024_2025[[#This Row],[A&amp;E attendances Type 2]]+
NHS_AE_2024_2025[[#This Row],[A&amp;E attendances Other A&amp;E Department]]</f>
        <v>10757</v>
      </c>
      <c r="Y1428">
        <f t="shared" si="44"/>
        <v>3695</v>
      </c>
      <c r="Z1428">
        <f t="shared" si="45"/>
        <v>3562</v>
      </c>
    </row>
    <row r="1429" spans="1:26" x14ac:dyDescent="0.2">
      <c r="A1429" t="s">
        <v>448</v>
      </c>
      <c r="B1429" t="s">
        <v>449</v>
      </c>
      <c r="C1429" t="s">
        <v>274</v>
      </c>
      <c r="D1429" t="s">
        <v>32</v>
      </c>
      <c r="E1429" t="s">
        <v>275</v>
      </c>
      <c r="F1429">
        <v>0</v>
      </c>
      <c r="G1429">
        <v>0</v>
      </c>
      <c r="H1429">
        <v>8775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250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f>NHS_AE_2024_2025[[#This Row],[A&amp;E attendances Type 1]]+
NHS_AE_2024_2025[[#This Row],[A&amp;E attendances Type 2]]+
NHS_AE_2024_2025[[#This Row],[A&amp;E attendances Other A&amp;E Department]]</f>
        <v>8775</v>
      </c>
      <c r="Y1429">
        <f t="shared" si="44"/>
        <v>250</v>
      </c>
      <c r="Z1429">
        <f t="shared" si="45"/>
        <v>0</v>
      </c>
    </row>
    <row r="1430" spans="1:26" x14ac:dyDescent="0.2">
      <c r="A1430" t="s">
        <v>448</v>
      </c>
      <c r="B1430" t="s">
        <v>449</v>
      </c>
      <c r="C1430" t="s">
        <v>96</v>
      </c>
      <c r="D1430" t="s">
        <v>29</v>
      </c>
      <c r="E1430" t="s">
        <v>97</v>
      </c>
      <c r="F1430">
        <v>0</v>
      </c>
      <c r="G1430">
        <v>0</v>
      </c>
      <c r="H1430">
        <v>2910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30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f>NHS_AE_2024_2025[[#This Row],[A&amp;E attendances Type 1]]+
NHS_AE_2024_2025[[#This Row],[A&amp;E attendances Type 2]]+
NHS_AE_2024_2025[[#This Row],[A&amp;E attendances Other A&amp;E Department]]</f>
        <v>2910</v>
      </c>
      <c r="Y1430">
        <f t="shared" si="44"/>
        <v>30</v>
      </c>
      <c r="Z1430">
        <f t="shared" si="45"/>
        <v>0</v>
      </c>
    </row>
    <row r="1431" spans="1:26" x14ac:dyDescent="0.2">
      <c r="A1431" t="s">
        <v>448</v>
      </c>
      <c r="B1431" t="s">
        <v>449</v>
      </c>
      <c r="C1431" t="s">
        <v>98</v>
      </c>
      <c r="D1431" t="s">
        <v>29</v>
      </c>
      <c r="E1431" t="s">
        <v>99</v>
      </c>
      <c r="F1431">
        <v>0</v>
      </c>
      <c r="G1431">
        <v>0</v>
      </c>
      <c r="H1431">
        <v>2364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5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f>NHS_AE_2024_2025[[#This Row],[A&amp;E attendances Type 1]]+
NHS_AE_2024_2025[[#This Row],[A&amp;E attendances Type 2]]+
NHS_AE_2024_2025[[#This Row],[A&amp;E attendances Other A&amp;E Department]]</f>
        <v>2364</v>
      </c>
      <c r="Y1431">
        <f t="shared" si="44"/>
        <v>5</v>
      </c>
      <c r="Z1431">
        <f t="shared" si="45"/>
        <v>0</v>
      </c>
    </row>
    <row r="1432" spans="1:26" x14ac:dyDescent="0.2">
      <c r="A1432" t="s">
        <v>448</v>
      </c>
      <c r="B1432" t="s">
        <v>449</v>
      </c>
      <c r="C1432" t="s">
        <v>100</v>
      </c>
      <c r="D1432" t="s">
        <v>37</v>
      </c>
      <c r="E1432" t="s">
        <v>101</v>
      </c>
      <c r="F1432">
        <v>0</v>
      </c>
      <c r="G1432">
        <v>0</v>
      </c>
      <c r="H1432">
        <v>5772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350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f>NHS_AE_2024_2025[[#This Row],[A&amp;E attendances Type 1]]+
NHS_AE_2024_2025[[#This Row],[A&amp;E attendances Type 2]]+
NHS_AE_2024_2025[[#This Row],[A&amp;E attendances Other A&amp;E Department]]</f>
        <v>5772</v>
      </c>
      <c r="Y1432">
        <f t="shared" si="44"/>
        <v>350</v>
      </c>
      <c r="Z1432">
        <f t="shared" si="45"/>
        <v>0</v>
      </c>
    </row>
    <row r="1433" spans="1:26" x14ac:dyDescent="0.2">
      <c r="A1433" t="s">
        <v>448</v>
      </c>
      <c r="B1433" t="s">
        <v>449</v>
      </c>
      <c r="C1433" t="s">
        <v>45</v>
      </c>
      <c r="D1433" t="s">
        <v>26</v>
      </c>
      <c r="E1433" t="s">
        <v>46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f>NHS_AE_2024_2025[[#This Row],[A&amp;E attendances Type 1]]+
NHS_AE_2024_2025[[#This Row],[A&amp;E attendances Type 2]]+
NHS_AE_2024_2025[[#This Row],[A&amp;E attendances Other A&amp;E Department]]</f>
        <v>0</v>
      </c>
      <c r="Y1433">
        <f t="shared" si="44"/>
        <v>0</v>
      </c>
      <c r="Z1433">
        <f t="shared" si="45"/>
        <v>1</v>
      </c>
    </row>
    <row r="1434" spans="1:26" x14ac:dyDescent="0.2">
      <c r="A1434" t="s">
        <v>448</v>
      </c>
      <c r="B1434" t="s">
        <v>449</v>
      </c>
      <c r="C1434" t="s">
        <v>57</v>
      </c>
      <c r="D1434" t="s">
        <v>32</v>
      </c>
      <c r="E1434" t="s">
        <v>58</v>
      </c>
      <c r="F1434">
        <v>0</v>
      </c>
      <c r="G1434">
        <v>0</v>
      </c>
      <c r="H1434">
        <v>7172</v>
      </c>
      <c r="I1434">
        <v>0</v>
      </c>
      <c r="J1434">
        <v>0</v>
      </c>
      <c r="K1434">
        <v>2435</v>
      </c>
      <c r="L1434">
        <v>0</v>
      </c>
      <c r="M1434">
        <v>0</v>
      </c>
      <c r="N1434">
        <v>122</v>
      </c>
      <c r="O1434">
        <v>0</v>
      </c>
      <c r="P1434">
        <v>0</v>
      </c>
      <c r="Q1434">
        <v>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f>NHS_AE_2024_2025[[#This Row],[A&amp;E attendances Type 1]]+
NHS_AE_2024_2025[[#This Row],[A&amp;E attendances Type 2]]+
NHS_AE_2024_2025[[#This Row],[A&amp;E attendances Other A&amp;E Department]]</f>
        <v>7172</v>
      </c>
      <c r="Y1434">
        <f t="shared" si="44"/>
        <v>122</v>
      </c>
      <c r="Z1434">
        <f t="shared" si="45"/>
        <v>0</v>
      </c>
    </row>
    <row r="1435" spans="1:26" x14ac:dyDescent="0.2">
      <c r="A1435" t="s">
        <v>448</v>
      </c>
      <c r="B1435" t="s">
        <v>449</v>
      </c>
      <c r="C1435" t="s">
        <v>108</v>
      </c>
      <c r="D1435" t="s">
        <v>37</v>
      </c>
      <c r="E1435" t="s">
        <v>109</v>
      </c>
      <c r="F1435">
        <v>0</v>
      </c>
      <c r="G1435">
        <v>0</v>
      </c>
      <c r="H1435">
        <v>2020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f>NHS_AE_2024_2025[[#This Row],[A&amp;E attendances Type 1]]+
NHS_AE_2024_2025[[#This Row],[A&amp;E attendances Type 2]]+
NHS_AE_2024_2025[[#This Row],[A&amp;E attendances Other A&amp;E Department]]</f>
        <v>2020</v>
      </c>
      <c r="Y1435">
        <f t="shared" si="44"/>
        <v>0</v>
      </c>
      <c r="Z1435">
        <f t="shared" si="45"/>
        <v>0</v>
      </c>
    </row>
    <row r="1436" spans="1:26" x14ac:dyDescent="0.2">
      <c r="A1436" t="s">
        <v>448</v>
      </c>
      <c r="B1436" t="s">
        <v>449</v>
      </c>
      <c r="C1436" t="s">
        <v>220</v>
      </c>
      <c r="D1436" t="s">
        <v>50</v>
      </c>
      <c r="E1436" t="s">
        <v>221</v>
      </c>
      <c r="F1436">
        <v>0</v>
      </c>
      <c r="G1436">
        <v>0</v>
      </c>
      <c r="H1436">
        <v>336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f>NHS_AE_2024_2025[[#This Row],[A&amp;E attendances Type 1]]+
NHS_AE_2024_2025[[#This Row],[A&amp;E attendances Type 2]]+
NHS_AE_2024_2025[[#This Row],[A&amp;E attendances Other A&amp;E Department]]</f>
        <v>336</v>
      </c>
      <c r="Y1436">
        <f t="shared" si="44"/>
        <v>0</v>
      </c>
      <c r="Z1436">
        <f t="shared" si="45"/>
        <v>0</v>
      </c>
    </row>
    <row r="1437" spans="1:26" x14ac:dyDescent="0.2">
      <c r="A1437" t="s">
        <v>448</v>
      </c>
      <c r="B1437" t="s">
        <v>449</v>
      </c>
      <c r="C1437" t="s">
        <v>72</v>
      </c>
      <c r="D1437" t="s">
        <v>55</v>
      </c>
      <c r="E1437" t="s">
        <v>73</v>
      </c>
      <c r="F1437">
        <v>0</v>
      </c>
      <c r="G1437">
        <v>0</v>
      </c>
      <c r="H1437">
        <v>1730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6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f>NHS_AE_2024_2025[[#This Row],[A&amp;E attendances Type 1]]+
NHS_AE_2024_2025[[#This Row],[A&amp;E attendances Type 2]]+
NHS_AE_2024_2025[[#This Row],[A&amp;E attendances Other A&amp;E Department]]</f>
        <v>1730</v>
      </c>
      <c r="Y1437">
        <f t="shared" si="44"/>
        <v>6</v>
      </c>
      <c r="Z1437">
        <f t="shared" si="45"/>
        <v>0</v>
      </c>
    </row>
    <row r="1438" spans="1:26" x14ac:dyDescent="0.2">
      <c r="A1438" t="s">
        <v>448</v>
      </c>
      <c r="B1438" t="s">
        <v>449</v>
      </c>
      <c r="C1438" t="s">
        <v>74</v>
      </c>
      <c r="D1438" t="s">
        <v>26</v>
      </c>
      <c r="E1438" t="s">
        <v>75</v>
      </c>
      <c r="F1438">
        <v>0</v>
      </c>
      <c r="G1438">
        <v>0</v>
      </c>
      <c r="H1438">
        <v>913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5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f>NHS_AE_2024_2025[[#This Row],[A&amp;E attendances Type 1]]+
NHS_AE_2024_2025[[#This Row],[A&amp;E attendances Type 2]]+
NHS_AE_2024_2025[[#This Row],[A&amp;E attendances Other A&amp;E Department]]</f>
        <v>913</v>
      </c>
      <c r="Y1438">
        <f t="shared" si="44"/>
        <v>5</v>
      </c>
      <c r="Z1438">
        <f t="shared" si="45"/>
        <v>0</v>
      </c>
    </row>
    <row r="1439" spans="1:26" x14ac:dyDescent="0.2">
      <c r="A1439" t="s">
        <v>448</v>
      </c>
      <c r="B1439" t="s">
        <v>449</v>
      </c>
      <c r="C1439" t="s">
        <v>232</v>
      </c>
      <c r="D1439" t="s">
        <v>29</v>
      </c>
      <c r="E1439" t="s">
        <v>435</v>
      </c>
      <c r="F1439">
        <v>7332</v>
      </c>
      <c r="G1439">
        <v>0</v>
      </c>
      <c r="H1439">
        <v>8910</v>
      </c>
      <c r="I1439">
        <v>0</v>
      </c>
      <c r="J1439">
        <v>0</v>
      </c>
      <c r="K1439">
        <v>0</v>
      </c>
      <c r="L1439">
        <v>3271</v>
      </c>
      <c r="M1439">
        <v>0</v>
      </c>
      <c r="N1439">
        <v>273</v>
      </c>
      <c r="O1439">
        <v>0</v>
      </c>
      <c r="P1439">
        <v>0</v>
      </c>
      <c r="Q1439">
        <v>0</v>
      </c>
      <c r="R1439">
        <v>273</v>
      </c>
      <c r="S1439">
        <v>406</v>
      </c>
      <c r="T1439">
        <v>2435</v>
      </c>
      <c r="U1439">
        <v>0</v>
      </c>
      <c r="V1439">
        <v>278</v>
      </c>
      <c r="W1439">
        <v>322</v>
      </c>
      <c r="X1439">
        <f>NHS_AE_2024_2025[[#This Row],[A&amp;E attendances Type 1]]+
NHS_AE_2024_2025[[#This Row],[A&amp;E attendances Type 2]]+
NHS_AE_2024_2025[[#This Row],[A&amp;E attendances Other A&amp;E Department]]</f>
        <v>16242</v>
      </c>
      <c r="Y1439">
        <f t="shared" si="44"/>
        <v>3544</v>
      </c>
      <c r="Z1439">
        <f t="shared" si="45"/>
        <v>3035</v>
      </c>
    </row>
    <row r="1440" spans="1:26" x14ac:dyDescent="0.2">
      <c r="A1440" t="s">
        <v>448</v>
      </c>
      <c r="B1440" t="s">
        <v>449</v>
      </c>
      <c r="C1440" t="s">
        <v>292</v>
      </c>
      <c r="D1440" t="s">
        <v>55</v>
      </c>
      <c r="E1440" t="s">
        <v>293</v>
      </c>
      <c r="F1440">
        <v>7136</v>
      </c>
      <c r="G1440">
        <v>0</v>
      </c>
      <c r="H1440">
        <v>3238</v>
      </c>
      <c r="I1440">
        <v>0</v>
      </c>
      <c r="J1440">
        <v>0</v>
      </c>
      <c r="K1440">
        <v>93</v>
      </c>
      <c r="L1440">
        <v>4139</v>
      </c>
      <c r="M1440">
        <v>0</v>
      </c>
      <c r="N1440">
        <v>64</v>
      </c>
      <c r="O1440">
        <v>0</v>
      </c>
      <c r="P1440">
        <v>0</v>
      </c>
      <c r="Q1440">
        <v>5</v>
      </c>
      <c r="R1440">
        <v>604</v>
      </c>
      <c r="S1440">
        <v>541</v>
      </c>
      <c r="T1440">
        <v>2236</v>
      </c>
      <c r="U1440">
        <v>0</v>
      </c>
      <c r="V1440">
        <v>0</v>
      </c>
      <c r="W1440">
        <v>1348</v>
      </c>
      <c r="X1440">
        <f>NHS_AE_2024_2025[[#This Row],[A&amp;E attendances Type 1]]+
NHS_AE_2024_2025[[#This Row],[A&amp;E attendances Type 2]]+
NHS_AE_2024_2025[[#This Row],[A&amp;E attendances Other A&amp;E Department]]</f>
        <v>10374</v>
      </c>
      <c r="Y1440">
        <f t="shared" si="44"/>
        <v>4203</v>
      </c>
      <c r="Z1440">
        <f t="shared" si="45"/>
        <v>3584</v>
      </c>
    </row>
    <row r="1441" spans="1:26" x14ac:dyDescent="0.2">
      <c r="A1441" t="s">
        <v>448</v>
      </c>
      <c r="B1441" t="s">
        <v>449</v>
      </c>
      <c r="C1441" t="s">
        <v>156</v>
      </c>
      <c r="D1441" t="s">
        <v>29</v>
      </c>
      <c r="E1441" t="s">
        <v>157</v>
      </c>
      <c r="F1441">
        <v>15710</v>
      </c>
      <c r="G1441">
        <v>0</v>
      </c>
      <c r="H1441">
        <v>9620</v>
      </c>
      <c r="I1441">
        <v>60</v>
      </c>
      <c r="J1441">
        <v>0</v>
      </c>
      <c r="K1441">
        <v>1100</v>
      </c>
      <c r="L1441">
        <v>6788</v>
      </c>
      <c r="M1441">
        <v>0</v>
      </c>
      <c r="N1441">
        <v>563</v>
      </c>
      <c r="O1441">
        <v>15</v>
      </c>
      <c r="P1441">
        <v>0</v>
      </c>
      <c r="Q1441">
        <v>0</v>
      </c>
      <c r="R1441">
        <v>1441</v>
      </c>
      <c r="S1441">
        <v>926</v>
      </c>
      <c r="T1441">
        <v>3585</v>
      </c>
      <c r="U1441">
        <v>0</v>
      </c>
      <c r="V1441">
        <v>0</v>
      </c>
      <c r="W1441">
        <v>366</v>
      </c>
      <c r="X1441">
        <f>NHS_AE_2024_2025[[#This Row],[A&amp;E attendances Type 1]]+
NHS_AE_2024_2025[[#This Row],[A&amp;E attendances Type 2]]+
NHS_AE_2024_2025[[#This Row],[A&amp;E attendances Other A&amp;E Department]]</f>
        <v>25330</v>
      </c>
      <c r="Y1441">
        <f t="shared" si="44"/>
        <v>7351</v>
      </c>
      <c r="Z1441">
        <f t="shared" si="45"/>
        <v>3951</v>
      </c>
    </row>
    <row r="1442" spans="1:26" x14ac:dyDescent="0.2">
      <c r="A1442" t="s">
        <v>448</v>
      </c>
      <c r="B1442" t="s">
        <v>449</v>
      </c>
      <c r="C1442" t="s">
        <v>204</v>
      </c>
      <c r="D1442" t="s">
        <v>32</v>
      </c>
      <c r="E1442" t="s">
        <v>205</v>
      </c>
      <c r="F1442">
        <v>6143</v>
      </c>
      <c r="G1442">
        <v>1157</v>
      </c>
      <c r="H1442">
        <v>158</v>
      </c>
      <c r="I1442">
        <v>165</v>
      </c>
      <c r="J1442">
        <v>0</v>
      </c>
      <c r="K1442">
        <v>0</v>
      </c>
      <c r="L1442">
        <v>2759</v>
      </c>
      <c r="M1442">
        <v>0</v>
      </c>
      <c r="N1442">
        <v>0</v>
      </c>
      <c r="O1442">
        <v>44</v>
      </c>
      <c r="P1442">
        <v>0</v>
      </c>
      <c r="Q1442">
        <v>0</v>
      </c>
      <c r="R1442">
        <v>415</v>
      </c>
      <c r="S1442">
        <v>293</v>
      </c>
      <c r="T1442">
        <v>1461</v>
      </c>
      <c r="U1442">
        <v>0</v>
      </c>
      <c r="V1442">
        <v>0</v>
      </c>
      <c r="W1442">
        <v>151</v>
      </c>
      <c r="X1442">
        <f>NHS_AE_2024_2025[[#This Row],[A&amp;E attendances Type 1]]+
NHS_AE_2024_2025[[#This Row],[A&amp;E attendances Type 2]]+
NHS_AE_2024_2025[[#This Row],[A&amp;E attendances Other A&amp;E Department]]</f>
        <v>7458</v>
      </c>
      <c r="Y1442">
        <f t="shared" si="44"/>
        <v>2759</v>
      </c>
      <c r="Z1442">
        <f t="shared" si="45"/>
        <v>1612</v>
      </c>
    </row>
    <row r="1443" spans="1:26" x14ac:dyDescent="0.2">
      <c r="A1443" t="s">
        <v>448</v>
      </c>
      <c r="B1443" t="s">
        <v>449</v>
      </c>
      <c r="C1443" t="s">
        <v>328</v>
      </c>
      <c r="D1443" t="s">
        <v>70</v>
      </c>
      <c r="E1443" t="s">
        <v>329</v>
      </c>
      <c r="F1443">
        <v>8544</v>
      </c>
      <c r="G1443">
        <v>0</v>
      </c>
      <c r="H1443">
        <v>2131</v>
      </c>
      <c r="I1443">
        <v>0</v>
      </c>
      <c r="J1443">
        <v>0</v>
      </c>
      <c r="K1443">
        <v>665</v>
      </c>
      <c r="L1443">
        <v>3474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401</v>
      </c>
      <c r="S1443">
        <v>89</v>
      </c>
      <c r="T1443">
        <v>1795</v>
      </c>
      <c r="U1443">
        <v>0</v>
      </c>
      <c r="V1443">
        <v>0</v>
      </c>
      <c r="W1443">
        <v>277</v>
      </c>
      <c r="X1443">
        <f>NHS_AE_2024_2025[[#This Row],[A&amp;E attendances Type 1]]+
NHS_AE_2024_2025[[#This Row],[A&amp;E attendances Type 2]]+
NHS_AE_2024_2025[[#This Row],[A&amp;E attendances Other A&amp;E Department]]</f>
        <v>10675</v>
      </c>
      <c r="Y1443">
        <f t="shared" si="44"/>
        <v>3474</v>
      </c>
      <c r="Z1443">
        <f t="shared" si="45"/>
        <v>2072</v>
      </c>
    </row>
    <row r="1444" spans="1:26" x14ac:dyDescent="0.2">
      <c r="A1444" t="s">
        <v>448</v>
      </c>
      <c r="B1444" t="s">
        <v>449</v>
      </c>
      <c r="C1444" t="s">
        <v>168</v>
      </c>
      <c r="D1444" t="s">
        <v>32</v>
      </c>
      <c r="E1444" t="s">
        <v>169</v>
      </c>
      <c r="F1444">
        <v>13805</v>
      </c>
      <c r="G1444">
        <v>0</v>
      </c>
      <c r="H1444">
        <v>6203</v>
      </c>
      <c r="I1444">
        <v>0</v>
      </c>
      <c r="J1444">
        <v>0</v>
      </c>
      <c r="K1444">
        <v>0</v>
      </c>
      <c r="L1444">
        <v>6738</v>
      </c>
      <c r="M1444">
        <v>0</v>
      </c>
      <c r="N1444">
        <v>71</v>
      </c>
      <c r="O1444">
        <v>0</v>
      </c>
      <c r="P1444">
        <v>0</v>
      </c>
      <c r="Q1444">
        <v>0</v>
      </c>
      <c r="R1444">
        <v>925</v>
      </c>
      <c r="S1444">
        <v>731</v>
      </c>
      <c r="T1444">
        <v>2693</v>
      </c>
      <c r="U1444">
        <v>0</v>
      </c>
      <c r="V1444">
        <v>0</v>
      </c>
      <c r="W1444">
        <v>861</v>
      </c>
      <c r="X1444">
        <f>NHS_AE_2024_2025[[#This Row],[A&amp;E attendances Type 1]]+
NHS_AE_2024_2025[[#This Row],[A&amp;E attendances Type 2]]+
NHS_AE_2024_2025[[#This Row],[A&amp;E attendances Other A&amp;E Department]]</f>
        <v>20008</v>
      </c>
      <c r="Y1444">
        <f t="shared" si="44"/>
        <v>6809</v>
      </c>
      <c r="Z1444">
        <f t="shared" si="45"/>
        <v>3554</v>
      </c>
    </row>
    <row r="1445" spans="1:26" x14ac:dyDescent="0.2">
      <c r="A1445" t="s">
        <v>448</v>
      </c>
      <c r="B1445" t="s">
        <v>449</v>
      </c>
      <c r="C1445" t="s">
        <v>176</v>
      </c>
      <c r="D1445" t="s">
        <v>55</v>
      </c>
      <c r="E1445" t="s">
        <v>177</v>
      </c>
      <c r="F1445">
        <v>8950</v>
      </c>
      <c r="G1445">
        <v>0</v>
      </c>
      <c r="H1445">
        <v>11021</v>
      </c>
      <c r="I1445">
        <v>432</v>
      </c>
      <c r="J1445">
        <v>0</v>
      </c>
      <c r="K1445">
        <v>363</v>
      </c>
      <c r="L1445">
        <v>4016</v>
      </c>
      <c r="M1445">
        <v>0</v>
      </c>
      <c r="N1445">
        <v>71</v>
      </c>
      <c r="O1445">
        <v>148</v>
      </c>
      <c r="P1445">
        <v>0</v>
      </c>
      <c r="Q1445">
        <v>0</v>
      </c>
      <c r="R1445">
        <v>499</v>
      </c>
      <c r="S1445">
        <v>549</v>
      </c>
      <c r="T1445">
        <v>2743</v>
      </c>
      <c r="U1445">
        <v>0</v>
      </c>
      <c r="V1445">
        <v>0</v>
      </c>
      <c r="W1445">
        <v>1747</v>
      </c>
      <c r="X1445">
        <f>NHS_AE_2024_2025[[#This Row],[A&amp;E attendances Type 1]]+
NHS_AE_2024_2025[[#This Row],[A&amp;E attendances Type 2]]+
NHS_AE_2024_2025[[#This Row],[A&amp;E attendances Other A&amp;E Department]]</f>
        <v>19971</v>
      </c>
      <c r="Y1445">
        <f t="shared" si="44"/>
        <v>4087</v>
      </c>
      <c r="Z1445">
        <f t="shared" si="45"/>
        <v>4490</v>
      </c>
    </row>
    <row r="1446" spans="1:26" x14ac:dyDescent="0.2">
      <c r="A1446" t="s">
        <v>448</v>
      </c>
      <c r="B1446" t="s">
        <v>449</v>
      </c>
      <c r="C1446" t="s">
        <v>67</v>
      </c>
      <c r="D1446" t="s">
        <v>29</v>
      </c>
      <c r="E1446" t="s">
        <v>68</v>
      </c>
      <c r="F1446">
        <v>0</v>
      </c>
      <c r="G1446">
        <v>0</v>
      </c>
      <c r="H1446">
        <v>603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f>NHS_AE_2024_2025[[#This Row],[A&amp;E attendances Type 1]]+
NHS_AE_2024_2025[[#This Row],[A&amp;E attendances Type 2]]+
NHS_AE_2024_2025[[#This Row],[A&amp;E attendances Other A&amp;E Department]]</f>
        <v>603</v>
      </c>
      <c r="Y1446">
        <f t="shared" si="44"/>
        <v>0</v>
      </c>
      <c r="Z1446">
        <f t="shared" si="45"/>
        <v>0</v>
      </c>
    </row>
    <row r="1447" spans="1:26" x14ac:dyDescent="0.2">
      <c r="A1447" t="s">
        <v>448</v>
      </c>
      <c r="B1447" t="s">
        <v>449</v>
      </c>
      <c r="C1447" t="s">
        <v>422</v>
      </c>
      <c r="D1447" t="s">
        <v>26</v>
      </c>
      <c r="E1447" t="s">
        <v>423</v>
      </c>
      <c r="F1447">
        <v>0</v>
      </c>
      <c r="G1447">
        <v>0</v>
      </c>
      <c r="H1447">
        <v>9372</v>
      </c>
      <c r="I1447">
        <v>0</v>
      </c>
      <c r="J1447">
        <v>0</v>
      </c>
      <c r="K1447">
        <v>357</v>
      </c>
      <c r="L1447">
        <v>0</v>
      </c>
      <c r="M1447">
        <v>0</v>
      </c>
      <c r="N1447">
        <v>393</v>
      </c>
      <c r="O1447">
        <v>0</v>
      </c>
      <c r="P1447">
        <v>0</v>
      </c>
      <c r="Q1447">
        <v>41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f>NHS_AE_2024_2025[[#This Row],[A&amp;E attendances Type 1]]+
NHS_AE_2024_2025[[#This Row],[A&amp;E attendances Type 2]]+
NHS_AE_2024_2025[[#This Row],[A&amp;E attendances Other A&amp;E Department]]</f>
        <v>9372</v>
      </c>
      <c r="Y1447">
        <f t="shared" si="44"/>
        <v>393</v>
      </c>
      <c r="Z1447">
        <f t="shared" si="45"/>
        <v>0</v>
      </c>
    </row>
    <row r="1448" spans="1:26" x14ac:dyDescent="0.2">
      <c r="A1448" t="s">
        <v>448</v>
      </c>
      <c r="B1448" t="s">
        <v>449</v>
      </c>
      <c r="C1448" t="s">
        <v>146</v>
      </c>
      <c r="D1448" t="s">
        <v>32</v>
      </c>
      <c r="E1448" t="s">
        <v>147</v>
      </c>
      <c r="F1448">
        <v>0</v>
      </c>
      <c r="G1448">
        <v>0</v>
      </c>
      <c r="H1448">
        <v>5780</v>
      </c>
      <c r="I1448">
        <v>0</v>
      </c>
      <c r="J1448">
        <v>0</v>
      </c>
      <c r="K1448">
        <v>287</v>
      </c>
      <c r="L1448">
        <v>0</v>
      </c>
      <c r="M1448">
        <v>0</v>
      </c>
      <c r="N1448">
        <v>721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f>NHS_AE_2024_2025[[#This Row],[A&amp;E attendances Type 1]]+
NHS_AE_2024_2025[[#This Row],[A&amp;E attendances Type 2]]+
NHS_AE_2024_2025[[#This Row],[A&amp;E attendances Other A&amp;E Department]]</f>
        <v>5780</v>
      </c>
      <c r="Y1448">
        <f t="shared" si="44"/>
        <v>721</v>
      </c>
      <c r="Z1448">
        <f t="shared" si="45"/>
        <v>0</v>
      </c>
    </row>
    <row r="1449" spans="1:26" x14ac:dyDescent="0.2">
      <c r="A1449" t="s">
        <v>448</v>
      </c>
      <c r="B1449" t="s">
        <v>449</v>
      </c>
      <c r="C1449" t="s">
        <v>76</v>
      </c>
      <c r="D1449" t="s">
        <v>37</v>
      </c>
      <c r="E1449" t="s">
        <v>77</v>
      </c>
      <c r="F1449">
        <v>0</v>
      </c>
      <c r="G1449">
        <v>0</v>
      </c>
      <c r="H1449">
        <v>5679</v>
      </c>
      <c r="I1449">
        <v>0</v>
      </c>
      <c r="J1449">
        <v>0</v>
      </c>
      <c r="K1449">
        <v>271</v>
      </c>
      <c r="L1449">
        <v>0</v>
      </c>
      <c r="M1449">
        <v>0</v>
      </c>
      <c r="N1449">
        <v>146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f>NHS_AE_2024_2025[[#This Row],[A&amp;E attendances Type 1]]+
NHS_AE_2024_2025[[#This Row],[A&amp;E attendances Type 2]]+
NHS_AE_2024_2025[[#This Row],[A&amp;E attendances Other A&amp;E Department]]</f>
        <v>5679</v>
      </c>
      <c r="Y1449">
        <f t="shared" si="44"/>
        <v>146</v>
      </c>
      <c r="Z1449">
        <f t="shared" si="45"/>
        <v>0</v>
      </c>
    </row>
    <row r="1450" spans="1:26" x14ac:dyDescent="0.2">
      <c r="A1450" t="s">
        <v>448</v>
      </c>
      <c r="B1450" t="s">
        <v>449</v>
      </c>
      <c r="C1450" t="s">
        <v>82</v>
      </c>
      <c r="D1450" t="s">
        <v>55</v>
      </c>
      <c r="E1450" t="s">
        <v>83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170</v>
      </c>
      <c r="X1450">
        <f>NHS_AE_2024_2025[[#This Row],[A&amp;E attendances Type 1]]+
NHS_AE_2024_2025[[#This Row],[A&amp;E attendances Type 2]]+
NHS_AE_2024_2025[[#This Row],[A&amp;E attendances Other A&amp;E Department]]</f>
        <v>0</v>
      </c>
      <c r="Y1450">
        <f t="shared" si="44"/>
        <v>0</v>
      </c>
      <c r="Z1450">
        <f t="shared" si="45"/>
        <v>170</v>
      </c>
    </row>
    <row r="1451" spans="1:26" x14ac:dyDescent="0.2">
      <c r="A1451" t="s">
        <v>448</v>
      </c>
      <c r="B1451" t="s">
        <v>449</v>
      </c>
      <c r="C1451" t="s">
        <v>152</v>
      </c>
      <c r="D1451" t="s">
        <v>26</v>
      </c>
      <c r="E1451" t="s">
        <v>153</v>
      </c>
      <c r="F1451">
        <v>6629</v>
      </c>
      <c r="G1451">
        <v>0</v>
      </c>
      <c r="H1451">
        <v>12512</v>
      </c>
      <c r="I1451">
        <v>0</v>
      </c>
      <c r="J1451">
        <v>0</v>
      </c>
      <c r="K1451">
        <v>0</v>
      </c>
      <c r="L1451">
        <v>3494</v>
      </c>
      <c r="M1451">
        <v>0</v>
      </c>
      <c r="N1451">
        <v>709</v>
      </c>
      <c r="O1451">
        <v>0</v>
      </c>
      <c r="P1451">
        <v>0</v>
      </c>
      <c r="Q1451">
        <v>0</v>
      </c>
      <c r="R1451">
        <v>754</v>
      </c>
      <c r="S1451">
        <v>423</v>
      </c>
      <c r="T1451">
        <v>2613</v>
      </c>
      <c r="U1451">
        <v>0</v>
      </c>
      <c r="V1451">
        <v>51</v>
      </c>
      <c r="W1451">
        <v>1130</v>
      </c>
      <c r="X1451">
        <f>NHS_AE_2024_2025[[#This Row],[A&amp;E attendances Type 1]]+
NHS_AE_2024_2025[[#This Row],[A&amp;E attendances Type 2]]+
NHS_AE_2024_2025[[#This Row],[A&amp;E attendances Other A&amp;E Department]]</f>
        <v>19141</v>
      </c>
      <c r="Y1451">
        <f t="shared" si="44"/>
        <v>4203</v>
      </c>
      <c r="Z1451">
        <f t="shared" si="45"/>
        <v>3794</v>
      </c>
    </row>
    <row r="1452" spans="1:26" x14ac:dyDescent="0.2">
      <c r="A1452" t="s">
        <v>448</v>
      </c>
      <c r="B1452" t="s">
        <v>449</v>
      </c>
      <c r="C1452" t="s">
        <v>154</v>
      </c>
      <c r="D1452" t="s">
        <v>70</v>
      </c>
      <c r="E1452" t="s">
        <v>155</v>
      </c>
      <c r="F1452">
        <v>7416</v>
      </c>
      <c r="G1452">
        <v>0</v>
      </c>
      <c r="H1452">
        <v>1608</v>
      </c>
      <c r="I1452">
        <v>0</v>
      </c>
      <c r="J1452">
        <v>0</v>
      </c>
      <c r="K1452">
        <v>0</v>
      </c>
      <c r="L1452">
        <v>3330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582</v>
      </c>
      <c r="S1452">
        <v>457</v>
      </c>
      <c r="T1452">
        <v>1676</v>
      </c>
      <c r="U1452">
        <v>0</v>
      </c>
      <c r="V1452">
        <v>0</v>
      </c>
      <c r="W1452">
        <v>504</v>
      </c>
      <c r="X1452">
        <f>NHS_AE_2024_2025[[#This Row],[A&amp;E attendances Type 1]]+
NHS_AE_2024_2025[[#This Row],[A&amp;E attendances Type 2]]+
NHS_AE_2024_2025[[#This Row],[A&amp;E attendances Other A&amp;E Department]]</f>
        <v>9024</v>
      </c>
      <c r="Y1452">
        <f t="shared" si="44"/>
        <v>3330</v>
      </c>
      <c r="Z1452">
        <f t="shared" si="45"/>
        <v>2180</v>
      </c>
    </row>
    <row r="1453" spans="1:26" x14ac:dyDescent="0.2">
      <c r="A1453" t="s">
        <v>448</v>
      </c>
      <c r="B1453" t="s">
        <v>449</v>
      </c>
      <c r="C1453" t="s">
        <v>416</v>
      </c>
      <c r="D1453" t="s">
        <v>70</v>
      </c>
      <c r="E1453" t="s">
        <v>417</v>
      </c>
      <c r="F1453">
        <v>8165</v>
      </c>
      <c r="G1453">
        <v>0</v>
      </c>
      <c r="H1453">
        <v>798</v>
      </c>
      <c r="I1453">
        <v>127</v>
      </c>
      <c r="J1453">
        <v>0</v>
      </c>
      <c r="K1453">
        <v>0</v>
      </c>
      <c r="L1453">
        <v>1055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215</v>
      </c>
      <c r="S1453">
        <v>69</v>
      </c>
      <c r="T1453">
        <v>2117</v>
      </c>
      <c r="U1453">
        <v>0</v>
      </c>
      <c r="V1453">
        <v>0</v>
      </c>
      <c r="W1453">
        <v>300</v>
      </c>
      <c r="X1453">
        <f>NHS_AE_2024_2025[[#This Row],[A&amp;E attendances Type 1]]+
NHS_AE_2024_2025[[#This Row],[A&amp;E attendances Type 2]]+
NHS_AE_2024_2025[[#This Row],[A&amp;E attendances Other A&amp;E Department]]</f>
        <v>8963</v>
      </c>
      <c r="Y1453">
        <f t="shared" si="44"/>
        <v>1055</v>
      </c>
      <c r="Z1453">
        <f t="shared" si="45"/>
        <v>2417</v>
      </c>
    </row>
    <row r="1454" spans="1:26" x14ac:dyDescent="0.2">
      <c r="A1454" t="s">
        <v>448</v>
      </c>
      <c r="B1454" t="s">
        <v>449</v>
      </c>
      <c r="C1454" t="s">
        <v>304</v>
      </c>
      <c r="D1454" t="s">
        <v>29</v>
      </c>
      <c r="E1454" t="s">
        <v>305</v>
      </c>
      <c r="F1454">
        <v>13255</v>
      </c>
      <c r="G1454">
        <v>0</v>
      </c>
      <c r="H1454">
        <v>5119</v>
      </c>
      <c r="I1454">
        <v>0</v>
      </c>
      <c r="J1454">
        <v>0</v>
      </c>
      <c r="K1454">
        <v>0</v>
      </c>
      <c r="L1454">
        <v>3289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304</v>
      </c>
      <c r="S1454">
        <v>701</v>
      </c>
      <c r="T1454">
        <v>1214</v>
      </c>
      <c r="U1454">
        <v>0</v>
      </c>
      <c r="V1454">
        <v>0</v>
      </c>
      <c r="W1454">
        <v>118</v>
      </c>
      <c r="X1454">
        <f>NHS_AE_2024_2025[[#This Row],[A&amp;E attendances Type 1]]+
NHS_AE_2024_2025[[#This Row],[A&amp;E attendances Type 2]]+
NHS_AE_2024_2025[[#This Row],[A&amp;E attendances Other A&amp;E Department]]</f>
        <v>18374</v>
      </c>
      <c r="Y1454">
        <f t="shared" si="44"/>
        <v>3289</v>
      </c>
      <c r="Z1454">
        <f t="shared" si="45"/>
        <v>1332</v>
      </c>
    </row>
    <row r="1455" spans="1:26" x14ac:dyDescent="0.2">
      <c r="A1455" t="s">
        <v>448</v>
      </c>
      <c r="B1455" t="s">
        <v>449</v>
      </c>
      <c r="C1455" t="s">
        <v>386</v>
      </c>
      <c r="D1455" t="s">
        <v>32</v>
      </c>
      <c r="E1455" t="s">
        <v>387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f>NHS_AE_2024_2025[[#This Row],[A&amp;E attendances Type 1]]+
NHS_AE_2024_2025[[#This Row],[A&amp;E attendances Type 2]]+
NHS_AE_2024_2025[[#This Row],[A&amp;E attendances Other A&amp;E Department]]</f>
        <v>0</v>
      </c>
      <c r="Y1455">
        <f t="shared" si="44"/>
        <v>0</v>
      </c>
      <c r="Z1455">
        <f t="shared" si="45"/>
        <v>0</v>
      </c>
    </row>
    <row r="1456" spans="1:26" x14ac:dyDescent="0.2">
      <c r="A1456" t="s">
        <v>448</v>
      </c>
      <c r="B1456" t="s">
        <v>449</v>
      </c>
      <c r="C1456" t="s">
        <v>202</v>
      </c>
      <c r="D1456" t="s">
        <v>32</v>
      </c>
      <c r="E1456" t="s">
        <v>203</v>
      </c>
      <c r="F1456">
        <v>12866</v>
      </c>
      <c r="G1456">
        <v>0</v>
      </c>
      <c r="H1456">
        <v>8567</v>
      </c>
      <c r="I1456">
        <v>189</v>
      </c>
      <c r="J1456">
        <v>0</v>
      </c>
      <c r="K1456">
        <v>914</v>
      </c>
      <c r="L1456">
        <v>3895</v>
      </c>
      <c r="M1456">
        <v>0</v>
      </c>
      <c r="N1456">
        <v>213</v>
      </c>
      <c r="O1456">
        <v>38</v>
      </c>
      <c r="P1456">
        <v>0</v>
      </c>
      <c r="Q1456">
        <v>1</v>
      </c>
      <c r="R1456">
        <v>982</v>
      </c>
      <c r="S1456">
        <v>472</v>
      </c>
      <c r="T1456">
        <v>5766</v>
      </c>
      <c r="U1456">
        <v>0</v>
      </c>
      <c r="V1456">
        <v>0</v>
      </c>
      <c r="W1456">
        <v>1046</v>
      </c>
      <c r="X1456">
        <f>NHS_AE_2024_2025[[#This Row],[A&amp;E attendances Type 1]]+
NHS_AE_2024_2025[[#This Row],[A&amp;E attendances Type 2]]+
NHS_AE_2024_2025[[#This Row],[A&amp;E attendances Other A&amp;E Department]]</f>
        <v>21433</v>
      </c>
      <c r="Y1456">
        <f t="shared" si="44"/>
        <v>4108</v>
      </c>
      <c r="Z1456">
        <f t="shared" si="45"/>
        <v>6812</v>
      </c>
    </row>
    <row r="1457" spans="1:26" x14ac:dyDescent="0.2">
      <c r="A1457" t="s">
        <v>448</v>
      </c>
      <c r="B1457" t="s">
        <v>449</v>
      </c>
      <c r="C1457" t="s">
        <v>88</v>
      </c>
      <c r="D1457" t="s">
        <v>29</v>
      </c>
      <c r="E1457" t="s">
        <v>89</v>
      </c>
      <c r="F1457">
        <v>13584</v>
      </c>
      <c r="G1457">
        <v>0</v>
      </c>
      <c r="H1457">
        <v>0</v>
      </c>
      <c r="I1457">
        <v>364</v>
      </c>
      <c r="J1457">
        <v>0</v>
      </c>
      <c r="K1457">
        <v>0</v>
      </c>
      <c r="L1457">
        <v>3789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385</v>
      </c>
      <c r="S1457">
        <v>80</v>
      </c>
      <c r="T1457">
        <v>1443</v>
      </c>
      <c r="U1457">
        <v>0</v>
      </c>
      <c r="V1457">
        <v>0</v>
      </c>
      <c r="W1457">
        <v>276</v>
      </c>
      <c r="X1457">
        <f>NHS_AE_2024_2025[[#This Row],[A&amp;E attendances Type 1]]+
NHS_AE_2024_2025[[#This Row],[A&amp;E attendances Type 2]]+
NHS_AE_2024_2025[[#This Row],[A&amp;E attendances Other A&amp;E Department]]</f>
        <v>13584</v>
      </c>
      <c r="Y1457">
        <f t="shared" si="44"/>
        <v>3789</v>
      </c>
      <c r="Z1457">
        <f t="shared" si="45"/>
        <v>1719</v>
      </c>
    </row>
    <row r="1458" spans="1:26" x14ac:dyDescent="0.2">
      <c r="A1458" t="s">
        <v>448</v>
      </c>
      <c r="B1458" t="s">
        <v>449</v>
      </c>
      <c r="C1458" t="s">
        <v>338</v>
      </c>
      <c r="D1458" t="s">
        <v>50</v>
      </c>
      <c r="E1458" t="s">
        <v>339</v>
      </c>
      <c r="F1458">
        <v>7561</v>
      </c>
      <c r="G1458">
        <v>0</v>
      </c>
      <c r="H1458">
        <v>9440</v>
      </c>
      <c r="I1458">
        <v>0</v>
      </c>
      <c r="J1458">
        <v>0</v>
      </c>
      <c r="K1458">
        <v>1728</v>
      </c>
      <c r="L1458">
        <v>3994</v>
      </c>
      <c r="M1458">
        <v>0</v>
      </c>
      <c r="N1458">
        <v>509</v>
      </c>
      <c r="O1458">
        <v>0</v>
      </c>
      <c r="P1458">
        <v>0</v>
      </c>
      <c r="Q1458">
        <v>71</v>
      </c>
      <c r="R1458">
        <v>276</v>
      </c>
      <c r="S1458">
        <v>7</v>
      </c>
      <c r="T1458">
        <v>2678</v>
      </c>
      <c r="U1458">
        <v>0</v>
      </c>
      <c r="V1458">
        <v>127</v>
      </c>
      <c r="W1458">
        <v>2448</v>
      </c>
      <c r="X1458">
        <f>NHS_AE_2024_2025[[#This Row],[A&amp;E attendances Type 1]]+
NHS_AE_2024_2025[[#This Row],[A&amp;E attendances Type 2]]+
NHS_AE_2024_2025[[#This Row],[A&amp;E attendances Other A&amp;E Department]]</f>
        <v>17001</v>
      </c>
      <c r="Y1458">
        <f t="shared" si="44"/>
        <v>4503</v>
      </c>
      <c r="Z1458">
        <f t="shared" si="45"/>
        <v>5253</v>
      </c>
    </row>
    <row r="1459" spans="1:26" x14ac:dyDescent="0.2">
      <c r="A1459" t="s">
        <v>448</v>
      </c>
      <c r="B1459" t="s">
        <v>449</v>
      </c>
      <c r="C1459" t="s">
        <v>342</v>
      </c>
      <c r="D1459" t="s">
        <v>37</v>
      </c>
      <c r="E1459" t="s">
        <v>343</v>
      </c>
      <c r="F1459">
        <v>12820</v>
      </c>
      <c r="G1459">
        <v>0</v>
      </c>
      <c r="H1459">
        <v>13288</v>
      </c>
      <c r="I1459">
        <v>0</v>
      </c>
      <c r="J1459">
        <v>0</v>
      </c>
      <c r="K1459">
        <v>0</v>
      </c>
      <c r="L1459">
        <v>6228</v>
      </c>
      <c r="M1459">
        <v>0</v>
      </c>
      <c r="N1459">
        <v>414</v>
      </c>
      <c r="O1459">
        <v>0</v>
      </c>
      <c r="P1459">
        <v>0</v>
      </c>
      <c r="Q1459">
        <v>0</v>
      </c>
      <c r="R1459">
        <v>340</v>
      </c>
      <c r="S1459">
        <v>1326</v>
      </c>
      <c r="T1459">
        <v>2819</v>
      </c>
      <c r="U1459">
        <v>0</v>
      </c>
      <c r="V1459">
        <v>528</v>
      </c>
      <c r="W1459">
        <v>549</v>
      </c>
      <c r="X1459">
        <f>NHS_AE_2024_2025[[#This Row],[A&amp;E attendances Type 1]]+
NHS_AE_2024_2025[[#This Row],[A&amp;E attendances Type 2]]+
NHS_AE_2024_2025[[#This Row],[A&amp;E attendances Other A&amp;E Department]]</f>
        <v>26108</v>
      </c>
      <c r="Y1459">
        <f t="shared" si="44"/>
        <v>6642</v>
      </c>
      <c r="Z1459">
        <f t="shared" si="45"/>
        <v>3896</v>
      </c>
    </row>
    <row r="1460" spans="1:26" x14ac:dyDescent="0.2">
      <c r="A1460" t="s">
        <v>448</v>
      </c>
      <c r="B1460" t="s">
        <v>449</v>
      </c>
      <c r="C1460" t="s">
        <v>124</v>
      </c>
      <c r="D1460" t="s">
        <v>37</v>
      </c>
      <c r="E1460" t="s">
        <v>434</v>
      </c>
      <c r="F1460">
        <v>0</v>
      </c>
      <c r="G1460">
        <v>0</v>
      </c>
      <c r="H1460">
        <v>3122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64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140</v>
      </c>
      <c r="X1460">
        <f>NHS_AE_2024_2025[[#This Row],[A&amp;E attendances Type 1]]+
NHS_AE_2024_2025[[#This Row],[A&amp;E attendances Type 2]]+
NHS_AE_2024_2025[[#This Row],[A&amp;E attendances Other A&amp;E Department]]</f>
        <v>3122</v>
      </c>
      <c r="Y1460">
        <f t="shared" si="44"/>
        <v>64</v>
      </c>
      <c r="Z1460">
        <f t="shared" si="45"/>
        <v>140</v>
      </c>
    </row>
    <row r="1461" spans="1:26" x14ac:dyDescent="0.2">
      <c r="A1461" t="s">
        <v>448</v>
      </c>
      <c r="B1461" t="s">
        <v>449</v>
      </c>
      <c r="C1461" t="s">
        <v>116</v>
      </c>
      <c r="D1461" t="s">
        <v>55</v>
      </c>
      <c r="E1461" t="s">
        <v>117</v>
      </c>
      <c r="F1461">
        <v>0</v>
      </c>
      <c r="G1461">
        <v>0</v>
      </c>
      <c r="H1461">
        <v>14217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405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44</v>
      </c>
      <c r="X1461">
        <f>NHS_AE_2024_2025[[#This Row],[A&amp;E attendances Type 1]]+
NHS_AE_2024_2025[[#This Row],[A&amp;E attendances Type 2]]+
NHS_AE_2024_2025[[#This Row],[A&amp;E attendances Other A&amp;E Department]]</f>
        <v>14217</v>
      </c>
      <c r="Y1461">
        <f t="shared" si="44"/>
        <v>405</v>
      </c>
      <c r="Z1461">
        <f t="shared" si="45"/>
        <v>44</v>
      </c>
    </row>
    <row r="1462" spans="1:26" x14ac:dyDescent="0.2">
      <c r="A1462" t="s">
        <v>448</v>
      </c>
      <c r="B1462" t="s">
        <v>449</v>
      </c>
      <c r="C1462" t="s">
        <v>268</v>
      </c>
      <c r="D1462" t="s">
        <v>37</v>
      </c>
      <c r="E1462" t="s">
        <v>269</v>
      </c>
      <c r="F1462">
        <v>18303</v>
      </c>
      <c r="G1462">
        <v>0</v>
      </c>
      <c r="H1462">
        <v>2372</v>
      </c>
      <c r="I1462">
        <v>824</v>
      </c>
      <c r="J1462">
        <v>0</v>
      </c>
      <c r="K1462">
        <v>219</v>
      </c>
      <c r="L1462">
        <v>3116</v>
      </c>
      <c r="M1462">
        <v>0</v>
      </c>
      <c r="N1462">
        <v>26</v>
      </c>
      <c r="O1462">
        <v>91</v>
      </c>
      <c r="P1462">
        <v>0</v>
      </c>
      <c r="Q1462">
        <v>0</v>
      </c>
      <c r="R1462">
        <v>793</v>
      </c>
      <c r="S1462">
        <v>25</v>
      </c>
      <c r="T1462">
        <v>5241</v>
      </c>
      <c r="U1462">
        <v>0</v>
      </c>
      <c r="V1462">
        <v>0</v>
      </c>
      <c r="W1462">
        <v>979</v>
      </c>
      <c r="X1462">
        <f>NHS_AE_2024_2025[[#This Row],[A&amp;E attendances Type 1]]+
NHS_AE_2024_2025[[#This Row],[A&amp;E attendances Type 2]]+
NHS_AE_2024_2025[[#This Row],[A&amp;E attendances Other A&amp;E Department]]</f>
        <v>20675</v>
      </c>
      <c r="Y1462">
        <f t="shared" si="44"/>
        <v>3142</v>
      </c>
      <c r="Z1462">
        <f t="shared" si="45"/>
        <v>6220</v>
      </c>
    </row>
    <row r="1463" spans="1:26" x14ac:dyDescent="0.2">
      <c r="A1463" t="s">
        <v>448</v>
      </c>
      <c r="B1463" t="s">
        <v>449</v>
      </c>
      <c r="C1463" t="s">
        <v>174</v>
      </c>
      <c r="D1463" t="s">
        <v>50</v>
      </c>
      <c r="E1463" t="s">
        <v>175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131</v>
      </c>
      <c r="X1463">
        <f>NHS_AE_2024_2025[[#This Row],[A&amp;E attendances Type 1]]+
NHS_AE_2024_2025[[#This Row],[A&amp;E attendances Type 2]]+
NHS_AE_2024_2025[[#This Row],[A&amp;E attendances Other A&amp;E Department]]</f>
        <v>0</v>
      </c>
      <c r="Y1463">
        <f t="shared" si="44"/>
        <v>0</v>
      </c>
      <c r="Z1463">
        <f t="shared" si="45"/>
        <v>131</v>
      </c>
    </row>
    <row r="1464" spans="1:26" x14ac:dyDescent="0.2">
      <c r="A1464" t="s">
        <v>448</v>
      </c>
      <c r="B1464" t="s">
        <v>449</v>
      </c>
      <c r="C1464" t="s">
        <v>178</v>
      </c>
      <c r="D1464" t="s">
        <v>55</v>
      </c>
      <c r="E1464" t="s">
        <v>179</v>
      </c>
      <c r="F1464">
        <v>0</v>
      </c>
      <c r="G1464">
        <v>0</v>
      </c>
      <c r="H1464">
        <v>3040</v>
      </c>
      <c r="I1464">
        <v>0</v>
      </c>
      <c r="J1464">
        <v>0</v>
      </c>
      <c r="K1464">
        <v>170</v>
      </c>
      <c r="L1464">
        <v>0</v>
      </c>
      <c r="M1464">
        <v>0</v>
      </c>
      <c r="N1464">
        <v>100</v>
      </c>
      <c r="O1464">
        <v>0</v>
      </c>
      <c r="P1464">
        <v>0</v>
      </c>
      <c r="Q1464">
        <v>6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f>NHS_AE_2024_2025[[#This Row],[A&amp;E attendances Type 1]]+
NHS_AE_2024_2025[[#This Row],[A&amp;E attendances Type 2]]+
NHS_AE_2024_2025[[#This Row],[A&amp;E attendances Other A&amp;E Department]]</f>
        <v>3040</v>
      </c>
      <c r="Y1464">
        <f t="shared" si="44"/>
        <v>100</v>
      </c>
      <c r="Z1464">
        <f t="shared" si="45"/>
        <v>0</v>
      </c>
    </row>
    <row r="1465" spans="1:26" x14ac:dyDescent="0.2">
      <c r="A1465" t="s">
        <v>448</v>
      </c>
      <c r="B1465" t="s">
        <v>449</v>
      </c>
      <c r="C1465" t="s">
        <v>180</v>
      </c>
      <c r="D1465" t="s">
        <v>26</v>
      </c>
      <c r="E1465" t="s">
        <v>181</v>
      </c>
      <c r="F1465">
        <v>0</v>
      </c>
      <c r="G1465">
        <v>0</v>
      </c>
      <c r="H1465">
        <v>1927</v>
      </c>
      <c r="I1465">
        <v>0</v>
      </c>
      <c r="J1465">
        <v>0</v>
      </c>
      <c r="K1465">
        <v>12</v>
      </c>
      <c r="L1465">
        <v>0</v>
      </c>
      <c r="M1465">
        <v>0</v>
      </c>
      <c r="N1465">
        <v>16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f>NHS_AE_2024_2025[[#This Row],[A&amp;E attendances Type 1]]+
NHS_AE_2024_2025[[#This Row],[A&amp;E attendances Type 2]]+
NHS_AE_2024_2025[[#This Row],[A&amp;E attendances Other A&amp;E Department]]</f>
        <v>1927</v>
      </c>
      <c r="Y1465">
        <f t="shared" si="44"/>
        <v>16</v>
      </c>
      <c r="Z1465">
        <f t="shared" si="45"/>
        <v>0</v>
      </c>
    </row>
    <row r="1466" spans="1:26" x14ac:dyDescent="0.2">
      <c r="A1466" t="s">
        <v>448</v>
      </c>
      <c r="B1466" t="s">
        <v>449</v>
      </c>
      <c r="C1466" t="s">
        <v>132</v>
      </c>
      <c r="D1466" t="s">
        <v>37</v>
      </c>
      <c r="E1466" t="s">
        <v>133</v>
      </c>
      <c r="F1466">
        <v>0</v>
      </c>
      <c r="G1466">
        <v>0</v>
      </c>
      <c r="H1466">
        <v>5414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f>NHS_AE_2024_2025[[#This Row],[A&amp;E attendances Type 1]]+
NHS_AE_2024_2025[[#This Row],[A&amp;E attendances Type 2]]+
NHS_AE_2024_2025[[#This Row],[A&amp;E attendances Other A&amp;E Department]]</f>
        <v>5414</v>
      </c>
      <c r="Y1466">
        <f t="shared" si="44"/>
        <v>0</v>
      </c>
      <c r="Z1466">
        <f t="shared" si="45"/>
        <v>0</v>
      </c>
    </row>
    <row r="1467" spans="1:26" x14ac:dyDescent="0.2">
      <c r="A1467" t="s">
        <v>448</v>
      </c>
      <c r="B1467" t="s">
        <v>449</v>
      </c>
      <c r="C1467" t="s">
        <v>412</v>
      </c>
      <c r="D1467" t="s">
        <v>32</v>
      </c>
      <c r="E1467" t="s">
        <v>413</v>
      </c>
      <c r="F1467">
        <v>0</v>
      </c>
      <c r="G1467">
        <v>0</v>
      </c>
      <c r="H1467">
        <v>540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f>NHS_AE_2024_2025[[#This Row],[A&amp;E attendances Type 1]]+
NHS_AE_2024_2025[[#This Row],[A&amp;E attendances Type 2]]+
NHS_AE_2024_2025[[#This Row],[A&amp;E attendances Other A&amp;E Department]]</f>
        <v>540</v>
      </c>
      <c r="Y1467">
        <f t="shared" si="44"/>
        <v>0</v>
      </c>
      <c r="Z1467">
        <f t="shared" si="45"/>
        <v>0</v>
      </c>
    </row>
    <row r="1468" spans="1:26" x14ac:dyDescent="0.2">
      <c r="A1468" t="s">
        <v>448</v>
      </c>
      <c r="B1468" t="s">
        <v>449</v>
      </c>
      <c r="C1468" t="s">
        <v>39</v>
      </c>
      <c r="D1468" t="s">
        <v>26</v>
      </c>
      <c r="E1468" t="s">
        <v>40</v>
      </c>
      <c r="F1468">
        <v>0</v>
      </c>
      <c r="G1468">
        <v>0</v>
      </c>
      <c r="H1468">
        <v>87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f>NHS_AE_2024_2025[[#This Row],[A&amp;E attendances Type 1]]+
NHS_AE_2024_2025[[#This Row],[A&amp;E attendances Type 2]]+
NHS_AE_2024_2025[[#This Row],[A&amp;E attendances Other A&amp;E Department]]</f>
        <v>87</v>
      </c>
      <c r="Y1468">
        <f t="shared" si="44"/>
        <v>0</v>
      </c>
      <c r="Z1468">
        <f t="shared" si="45"/>
        <v>0</v>
      </c>
    </row>
    <row r="1469" spans="1:26" x14ac:dyDescent="0.2">
      <c r="A1469" t="s">
        <v>448</v>
      </c>
      <c r="B1469" t="s">
        <v>449</v>
      </c>
      <c r="C1469" t="s">
        <v>188</v>
      </c>
      <c r="D1469" t="s">
        <v>26</v>
      </c>
      <c r="E1469" t="s">
        <v>189</v>
      </c>
      <c r="F1469">
        <v>16099</v>
      </c>
      <c r="G1469">
        <v>2536</v>
      </c>
      <c r="H1469">
        <v>0</v>
      </c>
      <c r="I1469">
        <v>0</v>
      </c>
      <c r="J1469">
        <v>0</v>
      </c>
      <c r="K1469">
        <v>0</v>
      </c>
      <c r="L1469">
        <v>5748</v>
      </c>
      <c r="M1469">
        <v>207</v>
      </c>
      <c r="N1469">
        <v>0</v>
      </c>
      <c r="O1469">
        <v>0</v>
      </c>
      <c r="P1469">
        <v>0</v>
      </c>
      <c r="Q1469">
        <v>0</v>
      </c>
      <c r="R1469">
        <v>1161</v>
      </c>
      <c r="S1469">
        <v>534</v>
      </c>
      <c r="T1469">
        <v>5388</v>
      </c>
      <c r="U1469">
        <v>5</v>
      </c>
      <c r="V1469">
        <v>0</v>
      </c>
      <c r="W1469">
        <v>1558</v>
      </c>
      <c r="X1469">
        <f>NHS_AE_2024_2025[[#This Row],[A&amp;E attendances Type 1]]+
NHS_AE_2024_2025[[#This Row],[A&amp;E attendances Type 2]]+
NHS_AE_2024_2025[[#This Row],[A&amp;E attendances Other A&amp;E Department]]</f>
        <v>18635</v>
      </c>
      <c r="Y1469">
        <f t="shared" si="44"/>
        <v>5955</v>
      </c>
      <c r="Z1469">
        <f t="shared" si="45"/>
        <v>6951</v>
      </c>
    </row>
    <row r="1470" spans="1:26" x14ac:dyDescent="0.2">
      <c r="A1470" t="s">
        <v>448</v>
      </c>
      <c r="B1470" t="s">
        <v>449</v>
      </c>
      <c r="C1470" t="s">
        <v>439</v>
      </c>
      <c r="D1470" t="s">
        <v>29</v>
      </c>
      <c r="E1470" t="s">
        <v>440</v>
      </c>
      <c r="F1470">
        <v>0</v>
      </c>
      <c r="G1470">
        <v>0</v>
      </c>
      <c r="H1470">
        <v>2006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75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f>NHS_AE_2024_2025[[#This Row],[A&amp;E attendances Type 1]]+
NHS_AE_2024_2025[[#This Row],[A&amp;E attendances Type 2]]+
NHS_AE_2024_2025[[#This Row],[A&amp;E attendances Other A&amp;E Department]]</f>
        <v>2006</v>
      </c>
      <c r="Y1470">
        <f t="shared" si="44"/>
        <v>75</v>
      </c>
      <c r="Z1470">
        <f t="shared" si="45"/>
        <v>0</v>
      </c>
    </row>
    <row r="1471" spans="1:26" x14ac:dyDescent="0.2">
      <c r="A1471" t="s">
        <v>448</v>
      </c>
      <c r="B1471" t="s">
        <v>449</v>
      </c>
      <c r="C1471" t="s">
        <v>240</v>
      </c>
      <c r="D1471" t="s">
        <v>50</v>
      </c>
      <c r="E1471" t="s">
        <v>241</v>
      </c>
      <c r="F1471">
        <v>5892</v>
      </c>
      <c r="G1471">
        <v>232</v>
      </c>
      <c r="H1471">
        <v>0</v>
      </c>
      <c r="I1471">
        <v>541</v>
      </c>
      <c r="J1471">
        <v>0</v>
      </c>
      <c r="K1471">
        <v>0</v>
      </c>
      <c r="L1471">
        <v>2541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440</v>
      </c>
      <c r="S1471">
        <v>223</v>
      </c>
      <c r="T1471">
        <v>1521</v>
      </c>
      <c r="U1471">
        <v>0</v>
      </c>
      <c r="V1471">
        <v>0</v>
      </c>
      <c r="W1471">
        <v>521</v>
      </c>
      <c r="X1471">
        <f>NHS_AE_2024_2025[[#This Row],[A&amp;E attendances Type 1]]+
NHS_AE_2024_2025[[#This Row],[A&amp;E attendances Type 2]]+
NHS_AE_2024_2025[[#This Row],[A&amp;E attendances Other A&amp;E Department]]</f>
        <v>6124</v>
      </c>
      <c r="Y1471">
        <f t="shared" si="44"/>
        <v>2541</v>
      </c>
      <c r="Z1471">
        <f t="shared" si="45"/>
        <v>2042</v>
      </c>
    </row>
    <row r="1472" spans="1:26" x14ac:dyDescent="0.2">
      <c r="A1472" t="s">
        <v>448</v>
      </c>
      <c r="B1472" t="s">
        <v>449</v>
      </c>
      <c r="C1472" t="s">
        <v>402</v>
      </c>
      <c r="D1472" t="s">
        <v>70</v>
      </c>
      <c r="E1472" t="s">
        <v>403</v>
      </c>
      <c r="F1472">
        <v>6746</v>
      </c>
      <c r="G1472">
        <v>0</v>
      </c>
      <c r="H1472">
        <v>1246</v>
      </c>
      <c r="I1472">
        <v>0</v>
      </c>
      <c r="J1472">
        <v>0</v>
      </c>
      <c r="K1472">
        <v>0</v>
      </c>
      <c r="L1472">
        <v>3185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285</v>
      </c>
      <c r="S1472">
        <v>128</v>
      </c>
      <c r="T1472">
        <v>1909</v>
      </c>
      <c r="U1472">
        <v>0</v>
      </c>
      <c r="V1472">
        <v>0</v>
      </c>
      <c r="W1472">
        <v>373</v>
      </c>
      <c r="X1472">
        <f>NHS_AE_2024_2025[[#This Row],[A&amp;E attendances Type 1]]+
NHS_AE_2024_2025[[#This Row],[A&amp;E attendances Type 2]]+
NHS_AE_2024_2025[[#This Row],[A&amp;E attendances Other A&amp;E Department]]</f>
        <v>7992</v>
      </c>
      <c r="Y1472">
        <f t="shared" si="44"/>
        <v>3185</v>
      </c>
      <c r="Z1472">
        <f t="shared" si="45"/>
        <v>2282</v>
      </c>
    </row>
    <row r="1473" spans="1:26" x14ac:dyDescent="0.2">
      <c r="A1473" t="s">
        <v>448</v>
      </c>
      <c r="B1473" t="s">
        <v>449</v>
      </c>
      <c r="C1473" t="s">
        <v>242</v>
      </c>
      <c r="D1473" t="s">
        <v>70</v>
      </c>
      <c r="E1473" t="s">
        <v>243</v>
      </c>
      <c r="F1473">
        <v>8545</v>
      </c>
      <c r="G1473">
        <v>0</v>
      </c>
      <c r="H1473">
        <v>5344</v>
      </c>
      <c r="I1473">
        <v>706</v>
      </c>
      <c r="J1473">
        <v>0</v>
      </c>
      <c r="K1473">
        <v>144</v>
      </c>
      <c r="L1473">
        <v>3119</v>
      </c>
      <c r="M1473">
        <v>0</v>
      </c>
      <c r="N1473">
        <v>392</v>
      </c>
      <c r="O1473">
        <v>254</v>
      </c>
      <c r="P1473">
        <v>0</v>
      </c>
      <c r="Q1473">
        <v>0</v>
      </c>
      <c r="R1473">
        <v>897</v>
      </c>
      <c r="S1473">
        <v>0</v>
      </c>
      <c r="T1473">
        <v>2260</v>
      </c>
      <c r="U1473">
        <v>0</v>
      </c>
      <c r="V1473">
        <v>0</v>
      </c>
      <c r="W1473">
        <v>446</v>
      </c>
      <c r="X1473">
        <f>NHS_AE_2024_2025[[#This Row],[A&amp;E attendances Type 1]]+
NHS_AE_2024_2025[[#This Row],[A&amp;E attendances Type 2]]+
NHS_AE_2024_2025[[#This Row],[A&amp;E attendances Other A&amp;E Department]]</f>
        <v>13889</v>
      </c>
      <c r="Y1473">
        <f t="shared" si="44"/>
        <v>3511</v>
      </c>
      <c r="Z1473">
        <f t="shared" si="45"/>
        <v>2706</v>
      </c>
    </row>
    <row r="1474" spans="1:26" x14ac:dyDescent="0.2">
      <c r="A1474" t="s">
        <v>448</v>
      </c>
      <c r="B1474" t="s">
        <v>449</v>
      </c>
      <c r="C1474" t="s">
        <v>196</v>
      </c>
      <c r="D1474" t="s">
        <v>37</v>
      </c>
      <c r="E1474" t="s">
        <v>197</v>
      </c>
      <c r="F1474">
        <v>22632</v>
      </c>
      <c r="G1474">
        <v>945</v>
      </c>
      <c r="H1474">
        <v>13202</v>
      </c>
      <c r="I1474">
        <v>0</v>
      </c>
      <c r="J1474">
        <v>0</v>
      </c>
      <c r="K1474">
        <v>0</v>
      </c>
      <c r="L1474">
        <v>9616</v>
      </c>
      <c r="M1474">
        <v>1</v>
      </c>
      <c r="N1474">
        <v>306</v>
      </c>
      <c r="O1474">
        <v>0</v>
      </c>
      <c r="P1474">
        <v>0</v>
      </c>
      <c r="Q1474">
        <v>0</v>
      </c>
      <c r="R1474">
        <v>1614</v>
      </c>
      <c r="S1474">
        <v>437</v>
      </c>
      <c r="T1474">
        <v>6243</v>
      </c>
      <c r="U1474">
        <v>0</v>
      </c>
      <c r="V1474">
        <v>0</v>
      </c>
      <c r="W1474">
        <v>120</v>
      </c>
      <c r="X1474">
        <f>NHS_AE_2024_2025[[#This Row],[A&amp;E attendances Type 1]]+
NHS_AE_2024_2025[[#This Row],[A&amp;E attendances Type 2]]+
NHS_AE_2024_2025[[#This Row],[A&amp;E attendances Other A&amp;E Department]]</f>
        <v>36779</v>
      </c>
      <c r="Y1474">
        <f t="shared" ref="Y1474:Y1537" si="46">L1474+M1474+N1474</f>
        <v>9923</v>
      </c>
      <c r="Z1474">
        <f t="shared" ref="Z1474:Z1537" si="47">T1474+U1474+V1474+W1474</f>
        <v>6363</v>
      </c>
    </row>
    <row r="1475" spans="1:26" x14ac:dyDescent="0.2">
      <c r="A1475" t="s">
        <v>448</v>
      </c>
      <c r="B1475" t="s">
        <v>449</v>
      </c>
      <c r="C1475" t="s">
        <v>198</v>
      </c>
      <c r="D1475" t="s">
        <v>55</v>
      </c>
      <c r="E1475" t="s">
        <v>199</v>
      </c>
      <c r="F1475">
        <v>0</v>
      </c>
      <c r="G1475">
        <v>1520</v>
      </c>
      <c r="H1475">
        <v>0</v>
      </c>
      <c r="I1475">
        <v>0</v>
      </c>
      <c r="J1475">
        <v>112</v>
      </c>
      <c r="K1475">
        <v>0</v>
      </c>
      <c r="L1475">
        <v>0</v>
      </c>
      <c r="M1475">
        <v>176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118</v>
      </c>
      <c r="V1475">
        <v>0</v>
      </c>
      <c r="W1475">
        <v>14</v>
      </c>
      <c r="X1475">
        <f>NHS_AE_2024_2025[[#This Row],[A&amp;E attendances Type 1]]+
NHS_AE_2024_2025[[#This Row],[A&amp;E attendances Type 2]]+
NHS_AE_2024_2025[[#This Row],[A&amp;E attendances Other A&amp;E Department]]</f>
        <v>1520</v>
      </c>
      <c r="Y1475">
        <f t="shared" si="46"/>
        <v>176</v>
      </c>
      <c r="Z1475">
        <f t="shared" si="47"/>
        <v>132</v>
      </c>
    </row>
    <row r="1476" spans="1:26" x14ac:dyDescent="0.2">
      <c r="A1476" t="s">
        <v>448</v>
      </c>
      <c r="B1476" t="s">
        <v>449</v>
      </c>
      <c r="C1476" t="s">
        <v>122</v>
      </c>
      <c r="D1476" t="s">
        <v>50</v>
      </c>
      <c r="E1476" t="s">
        <v>123</v>
      </c>
      <c r="F1476">
        <v>9434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3256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649</v>
      </c>
      <c r="S1476">
        <v>35</v>
      </c>
      <c r="T1476">
        <v>1982</v>
      </c>
      <c r="U1476">
        <v>0</v>
      </c>
      <c r="V1476">
        <v>0</v>
      </c>
      <c r="W1476">
        <v>218</v>
      </c>
      <c r="X1476">
        <f>NHS_AE_2024_2025[[#This Row],[A&amp;E attendances Type 1]]+
NHS_AE_2024_2025[[#This Row],[A&amp;E attendances Type 2]]+
NHS_AE_2024_2025[[#This Row],[A&amp;E attendances Other A&amp;E Department]]</f>
        <v>9434</v>
      </c>
      <c r="Y1476">
        <f t="shared" si="46"/>
        <v>3256</v>
      </c>
      <c r="Z1476">
        <f t="shared" si="47"/>
        <v>2200</v>
      </c>
    </row>
    <row r="1477" spans="1:26" x14ac:dyDescent="0.2">
      <c r="A1477" t="s">
        <v>448</v>
      </c>
      <c r="B1477" t="s">
        <v>449</v>
      </c>
      <c r="C1477" t="s">
        <v>200</v>
      </c>
      <c r="D1477" t="s">
        <v>32</v>
      </c>
      <c r="E1477" t="s">
        <v>201</v>
      </c>
      <c r="F1477">
        <v>14701</v>
      </c>
      <c r="G1477">
        <v>541</v>
      </c>
      <c r="H1477">
        <v>8704</v>
      </c>
      <c r="I1477">
        <v>774</v>
      </c>
      <c r="J1477">
        <v>0</v>
      </c>
      <c r="K1477">
        <v>693</v>
      </c>
      <c r="L1477">
        <v>7899</v>
      </c>
      <c r="M1477">
        <v>0</v>
      </c>
      <c r="N1477">
        <v>683</v>
      </c>
      <c r="O1477">
        <v>390</v>
      </c>
      <c r="P1477">
        <v>0</v>
      </c>
      <c r="Q1477">
        <v>29</v>
      </c>
      <c r="R1477">
        <v>1086</v>
      </c>
      <c r="S1477">
        <v>851</v>
      </c>
      <c r="T1477">
        <v>5761</v>
      </c>
      <c r="U1477">
        <v>0</v>
      </c>
      <c r="V1477">
        <v>0</v>
      </c>
      <c r="W1477">
        <v>2936</v>
      </c>
      <c r="X1477">
        <f>NHS_AE_2024_2025[[#This Row],[A&amp;E attendances Type 1]]+
NHS_AE_2024_2025[[#This Row],[A&amp;E attendances Type 2]]+
NHS_AE_2024_2025[[#This Row],[A&amp;E attendances Other A&amp;E Department]]</f>
        <v>23946</v>
      </c>
      <c r="Y1477">
        <f t="shared" si="46"/>
        <v>8582</v>
      </c>
      <c r="Z1477">
        <f t="shared" si="47"/>
        <v>8697</v>
      </c>
    </row>
    <row r="1478" spans="1:26" x14ac:dyDescent="0.2">
      <c r="A1478" t="s">
        <v>448</v>
      </c>
      <c r="B1478" t="s">
        <v>449</v>
      </c>
      <c r="C1478" t="s">
        <v>248</v>
      </c>
      <c r="D1478" t="s">
        <v>55</v>
      </c>
      <c r="E1478" t="s">
        <v>249</v>
      </c>
      <c r="F1478">
        <v>5250</v>
      </c>
      <c r="G1478">
        <v>0</v>
      </c>
      <c r="H1478">
        <v>2446</v>
      </c>
      <c r="I1478">
        <v>0</v>
      </c>
      <c r="J1478">
        <v>0</v>
      </c>
      <c r="K1478">
        <v>0</v>
      </c>
      <c r="L1478">
        <v>2764</v>
      </c>
      <c r="M1478">
        <v>0</v>
      </c>
      <c r="N1478">
        <v>358</v>
      </c>
      <c r="O1478">
        <v>0</v>
      </c>
      <c r="P1478">
        <v>0</v>
      </c>
      <c r="Q1478">
        <v>0</v>
      </c>
      <c r="R1478">
        <v>253</v>
      </c>
      <c r="S1478">
        <v>650</v>
      </c>
      <c r="T1478">
        <v>1598</v>
      </c>
      <c r="U1478">
        <v>0</v>
      </c>
      <c r="V1478">
        <v>0</v>
      </c>
      <c r="W1478">
        <v>1288</v>
      </c>
      <c r="X1478">
        <f>NHS_AE_2024_2025[[#This Row],[A&amp;E attendances Type 1]]+
NHS_AE_2024_2025[[#This Row],[A&amp;E attendances Type 2]]+
NHS_AE_2024_2025[[#This Row],[A&amp;E attendances Other A&amp;E Department]]</f>
        <v>7696</v>
      </c>
      <c r="Y1478">
        <f t="shared" si="46"/>
        <v>3122</v>
      </c>
      <c r="Z1478">
        <f t="shared" si="47"/>
        <v>2886</v>
      </c>
    </row>
    <row r="1479" spans="1:26" x14ac:dyDescent="0.2">
      <c r="A1479" t="s">
        <v>448</v>
      </c>
      <c r="B1479" t="s">
        <v>449</v>
      </c>
      <c r="C1479" t="s">
        <v>312</v>
      </c>
      <c r="D1479" t="s">
        <v>32</v>
      </c>
      <c r="E1479" t="s">
        <v>313</v>
      </c>
      <c r="F1479">
        <v>12494</v>
      </c>
      <c r="G1479">
        <v>1602</v>
      </c>
      <c r="H1479">
        <v>6644</v>
      </c>
      <c r="I1479">
        <v>0</v>
      </c>
      <c r="J1479">
        <v>0</v>
      </c>
      <c r="K1479">
        <v>0</v>
      </c>
      <c r="L1479">
        <v>5333</v>
      </c>
      <c r="M1479">
        <v>133</v>
      </c>
      <c r="N1479">
        <v>297</v>
      </c>
      <c r="O1479">
        <v>0</v>
      </c>
      <c r="P1479">
        <v>0</v>
      </c>
      <c r="Q1479">
        <v>0</v>
      </c>
      <c r="R1479">
        <v>96</v>
      </c>
      <c r="S1479">
        <v>14</v>
      </c>
      <c r="T1479">
        <v>1598</v>
      </c>
      <c r="U1479">
        <v>31</v>
      </c>
      <c r="V1479">
        <v>55</v>
      </c>
      <c r="W1479">
        <v>638</v>
      </c>
      <c r="X1479">
        <f>NHS_AE_2024_2025[[#This Row],[A&amp;E attendances Type 1]]+
NHS_AE_2024_2025[[#This Row],[A&amp;E attendances Type 2]]+
NHS_AE_2024_2025[[#This Row],[A&amp;E attendances Other A&amp;E Department]]</f>
        <v>20740</v>
      </c>
      <c r="Y1479">
        <f t="shared" si="46"/>
        <v>5763</v>
      </c>
      <c r="Z1479">
        <f t="shared" si="47"/>
        <v>2322</v>
      </c>
    </row>
    <row r="1480" spans="1:26" x14ac:dyDescent="0.2">
      <c r="A1480" t="s">
        <v>448</v>
      </c>
      <c r="B1480" t="s">
        <v>449</v>
      </c>
      <c r="C1480" t="s">
        <v>388</v>
      </c>
      <c r="D1480" t="s">
        <v>55</v>
      </c>
      <c r="E1480" t="s">
        <v>389</v>
      </c>
      <c r="F1480">
        <v>8326</v>
      </c>
      <c r="G1480">
        <v>0</v>
      </c>
      <c r="H1480">
        <v>3871</v>
      </c>
      <c r="I1480">
        <v>94</v>
      </c>
      <c r="J1480">
        <v>0</v>
      </c>
      <c r="K1480">
        <v>41</v>
      </c>
      <c r="L1480">
        <v>3310</v>
      </c>
      <c r="M1480">
        <v>0</v>
      </c>
      <c r="N1480">
        <v>130</v>
      </c>
      <c r="O1480">
        <v>32</v>
      </c>
      <c r="P1480">
        <v>0</v>
      </c>
      <c r="Q1480">
        <v>1</v>
      </c>
      <c r="R1480">
        <v>555</v>
      </c>
      <c r="S1480">
        <v>272</v>
      </c>
      <c r="T1480">
        <v>2574</v>
      </c>
      <c r="U1480">
        <v>0</v>
      </c>
      <c r="V1480">
        <v>116</v>
      </c>
      <c r="W1480">
        <v>1023</v>
      </c>
      <c r="X1480">
        <f>NHS_AE_2024_2025[[#This Row],[A&amp;E attendances Type 1]]+
NHS_AE_2024_2025[[#This Row],[A&amp;E attendances Type 2]]+
NHS_AE_2024_2025[[#This Row],[A&amp;E attendances Other A&amp;E Department]]</f>
        <v>12197</v>
      </c>
      <c r="Y1480">
        <f t="shared" si="46"/>
        <v>3440</v>
      </c>
      <c r="Z1480">
        <f t="shared" si="47"/>
        <v>3713</v>
      </c>
    </row>
    <row r="1481" spans="1:26" x14ac:dyDescent="0.2">
      <c r="A1481" t="s">
        <v>448</v>
      </c>
      <c r="B1481" t="s">
        <v>449</v>
      </c>
      <c r="C1481" t="s">
        <v>318</v>
      </c>
      <c r="D1481" t="s">
        <v>55</v>
      </c>
      <c r="E1481" t="s">
        <v>319</v>
      </c>
      <c r="F1481">
        <v>8845</v>
      </c>
      <c r="G1481">
        <v>0</v>
      </c>
      <c r="H1481">
        <v>3037</v>
      </c>
      <c r="I1481">
        <v>359</v>
      </c>
      <c r="J1481">
        <v>0</v>
      </c>
      <c r="K1481">
        <v>75</v>
      </c>
      <c r="L1481">
        <v>3813</v>
      </c>
      <c r="M1481">
        <v>0</v>
      </c>
      <c r="N1481">
        <v>20</v>
      </c>
      <c r="O1481">
        <v>0</v>
      </c>
      <c r="P1481">
        <v>0</v>
      </c>
      <c r="Q1481">
        <v>0</v>
      </c>
      <c r="R1481">
        <v>549</v>
      </c>
      <c r="S1481">
        <v>146</v>
      </c>
      <c r="T1481">
        <v>1654</v>
      </c>
      <c r="U1481">
        <v>0</v>
      </c>
      <c r="V1481">
        <v>0</v>
      </c>
      <c r="W1481">
        <v>253</v>
      </c>
      <c r="X1481">
        <f>NHS_AE_2024_2025[[#This Row],[A&amp;E attendances Type 1]]+
NHS_AE_2024_2025[[#This Row],[A&amp;E attendances Type 2]]+
NHS_AE_2024_2025[[#This Row],[A&amp;E attendances Other A&amp;E Department]]</f>
        <v>11882</v>
      </c>
      <c r="Y1481">
        <f t="shared" si="46"/>
        <v>3833</v>
      </c>
      <c r="Z1481">
        <f t="shared" si="47"/>
        <v>1907</v>
      </c>
    </row>
    <row r="1482" spans="1:26" x14ac:dyDescent="0.2">
      <c r="A1482" t="s">
        <v>448</v>
      </c>
      <c r="B1482" t="s">
        <v>449</v>
      </c>
      <c r="C1482" t="s">
        <v>162</v>
      </c>
      <c r="D1482" t="s">
        <v>29</v>
      </c>
      <c r="E1482" t="s">
        <v>163</v>
      </c>
      <c r="F1482">
        <v>0</v>
      </c>
      <c r="G1482">
        <v>5789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92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6</v>
      </c>
      <c r="V1482">
        <v>0</v>
      </c>
      <c r="W1482">
        <v>202</v>
      </c>
      <c r="X1482">
        <f>NHS_AE_2024_2025[[#This Row],[A&amp;E attendances Type 1]]+
NHS_AE_2024_2025[[#This Row],[A&amp;E attendances Type 2]]+
NHS_AE_2024_2025[[#This Row],[A&amp;E attendances Other A&amp;E Department]]</f>
        <v>5789</v>
      </c>
      <c r="Y1482">
        <f t="shared" si="46"/>
        <v>92</v>
      </c>
      <c r="Z1482">
        <f t="shared" si="47"/>
        <v>208</v>
      </c>
    </row>
    <row r="1483" spans="1:26" x14ac:dyDescent="0.2">
      <c r="A1483" t="s">
        <v>448</v>
      </c>
      <c r="B1483" t="s">
        <v>449</v>
      </c>
      <c r="C1483" t="s">
        <v>86</v>
      </c>
      <c r="D1483" t="s">
        <v>37</v>
      </c>
      <c r="E1483" t="s">
        <v>87</v>
      </c>
      <c r="F1483">
        <v>0</v>
      </c>
      <c r="G1483">
        <v>0</v>
      </c>
      <c r="H1483">
        <v>1400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6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3</v>
      </c>
      <c r="W1483">
        <v>493</v>
      </c>
      <c r="X1483">
        <f>NHS_AE_2024_2025[[#This Row],[A&amp;E attendances Type 1]]+
NHS_AE_2024_2025[[#This Row],[A&amp;E attendances Type 2]]+
NHS_AE_2024_2025[[#This Row],[A&amp;E attendances Other A&amp;E Department]]</f>
        <v>1400</v>
      </c>
      <c r="Y1483">
        <f t="shared" si="46"/>
        <v>6</v>
      </c>
      <c r="Z1483">
        <f t="shared" si="47"/>
        <v>496</v>
      </c>
    </row>
    <row r="1484" spans="1:26" x14ac:dyDescent="0.2">
      <c r="A1484" t="s">
        <v>448</v>
      </c>
      <c r="B1484" t="s">
        <v>449</v>
      </c>
      <c r="C1484" t="s">
        <v>258</v>
      </c>
      <c r="D1484" t="s">
        <v>50</v>
      </c>
      <c r="E1484" t="s">
        <v>259</v>
      </c>
      <c r="F1484">
        <v>5879</v>
      </c>
      <c r="G1484">
        <v>0</v>
      </c>
      <c r="H1484">
        <v>3998</v>
      </c>
      <c r="I1484">
        <v>24</v>
      </c>
      <c r="J1484">
        <v>0</v>
      </c>
      <c r="K1484">
        <v>2</v>
      </c>
      <c r="L1484">
        <v>2479</v>
      </c>
      <c r="M1484">
        <v>0</v>
      </c>
      <c r="N1484">
        <v>32</v>
      </c>
      <c r="O1484">
        <v>10</v>
      </c>
      <c r="P1484">
        <v>0</v>
      </c>
      <c r="Q1484">
        <v>0</v>
      </c>
      <c r="R1484">
        <v>837</v>
      </c>
      <c r="S1484">
        <v>2</v>
      </c>
      <c r="T1484">
        <v>1598</v>
      </c>
      <c r="U1484">
        <v>0</v>
      </c>
      <c r="V1484">
        <v>0</v>
      </c>
      <c r="W1484">
        <v>52</v>
      </c>
      <c r="X1484">
        <f>NHS_AE_2024_2025[[#This Row],[A&amp;E attendances Type 1]]+
NHS_AE_2024_2025[[#This Row],[A&amp;E attendances Type 2]]+
NHS_AE_2024_2025[[#This Row],[A&amp;E attendances Other A&amp;E Department]]</f>
        <v>9877</v>
      </c>
      <c r="Y1484">
        <f t="shared" si="46"/>
        <v>2511</v>
      </c>
      <c r="Z1484">
        <f t="shared" si="47"/>
        <v>1650</v>
      </c>
    </row>
    <row r="1485" spans="1:26" x14ac:dyDescent="0.2">
      <c r="A1485" t="s">
        <v>448</v>
      </c>
      <c r="B1485" t="s">
        <v>449</v>
      </c>
      <c r="C1485" t="s">
        <v>208</v>
      </c>
      <c r="D1485" t="s">
        <v>32</v>
      </c>
      <c r="E1485" t="s">
        <v>209</v>
      </c>
      <c r="F1485">
        <v>19603</v>
      </c>
      <c r="G1485">
        <v>0</v>
      </c>
      <c r="H1485">
        <v>9942</v>
      </c>
      <c r="I1485">
        <v>1762</v>
      </c>
      <c r="J1485">
        <v>0</v>
      </c>
      <c r="K1485">
        <v>36</v>
      </c>
      <c r="L1485">
        <v>8775</v>
      </c>
      <c r="M1485">
        <v>0</v>
      </c>
      <c r="N1485">
        <v>3</v>
      </c>
      <c r="O1485">
        <v>414</v>
      </c>
      <c r="P1485">
        <v>0</v>
      </c>
      <c r="Q1485">
        <v>0</v>
      </c>
      <c r="R1485">
        <v>1047</v>
      </c>
      <c r="S1485">
        <v>704</v>
      </c>
      <c r="T1485">
        <v>4191</v>
      </c>
      <c r="U1485">
        <v>0</v>
      </c>
      <c r="V1485">
        <v>3</v>
      </c>
      <c r="W1485">
        <v>1939</v>
      </c>
      <c r="X1485">
        <f>NHS_AE_2024_2025[[#This Row],[A&amp;E attendances Type 1]]+
NHS_AE_2024_2025[[#This Row],[A&amp;E attendances Type 2]]+
NHS_AE_2024_2025[[#This Row],[A&amp;E attendances Other A&amp;E Department]]</f>
        <v>29545</v>
      </c>
      <c r="Y1485">
        <f t="shared" si="46"/>
        <v>8778</v>
      </c>
      <c r="Z1485">
        <f t="shared" si="47"/>
        <v>6133</v>
      </c>
    </row>
    <row r="1486" spans="1:26" x14ac:dyDescent="0.2">
      <c r="A1486" t="s">
        <v>448</v>
      </c>
      <c r="B1486" t="s">
        <v>449</v>
      </c>
      <c r="C1486" t="s">
        <v>266</v>
      </c>
      <c r="D1486" t="s">
        <v>32</v>
      </c>
      <c r="E1486" t="s">
        <v>267</v>
      </c>
      <c r="F1486">
        <v>22642</v>
      </c>
      <c r="G1486">
        <v>2150</v>
      </c>
      <c r="H1486">
        <v>0</v>
      </c>
      <c r="I1486">
        <v>0</v>
      </c>
      <c r="J1486">
        <v>0</v>
      </c>
      <c r="K1486">
        <v>0</v>
      </c>
      <c r="L1486">
        <v>9943</v>
      </c>
      <c r="M1486">
        <v>237</v>
      </c>
      <c r="N1486">
        <v>0</v>
      </c>
      <c r="O1486">
        <v>0</v>
      </c>
      <c r="P1486">
        <v>0</v>
      </c>
      <c r="Q1486">
        <v>0</v>
      </c>
      <c r="R1486">
        <v>1607</v>
      </c>
      <c r="S1486">
        <v>901</v>
      </c>
      <c r="T1486">
        <v>6467</v>
      </c>
      <c r="U1486">
        <v>3</v>
      </c>
      <c r="V1486">
        <v>0</v>
      </c>
      <c r="W1486">
        <v>3646</v>
      </c>
      <c r="X1486">
        <f>NHS_AE_2024_2025[[#This Row],[A&amp;E attendances Type 1]]+
NHS_AE_2024_2025[[#This Row],[A&amp;E attendances Type 2]]+
NHS_AE_2024_2025[[#This Row],[A&amp;E attendances Other A&amp;E Department]]</f>
        <v>24792</v>
      </c>
      <c r="Y1486">
        <f t="shared" si="46"/>
        <v>10180</v>
      </c>
      <c r="Z1486">
        <f t="shared" si="47"/>
        <v>10116</v>
      </c>
    </row>
    <row r="1487" spans="1:26" x14ac:dyDescent="0.2">
      <c r="A1487" t="s">
        <v>448</v>
      </c>
      <c r="B1487" t="s">
        <v>449</v>
      </c>
      <c r="C1487" t="s">
        <v>126</v>
      </c>
      <c r="D1487" t="s">
        <v>70</v>
      </c>
      <c r="E1487" t="s">
        <v>127</v>
      </c>
      <c r="F1487">
        <v>8729</v>
      </c>
      <c r="G1487">
        <v>0</v>
      </c>
      <c r="H1487">
        <v>7623</v>
      </c>
      <c r="I1487">
        <v>0</v>
      </c>
      <c r="J1487">
        <v>0</v>
      </c>
      <c r="K1487">
        <v>837</v>
      </c>
      <c r="L1487">
        <v>2928</v>
      </c>
      <c r="M1487">
        <v>0</v>
      </c>
      <c r="N1487">
        <v>187</v>
      </c>
      <c r="O1487">
        <v>0</v>
      </c>
      <c r="P1487">
        <v>0</v>
      </c>
      <c r="Q1487">
        <v>0</v>
      </c>
      <c r="R1487">
        <v>819</v>
      </c>
      <c r="S1487">
        <v>28</v>
      </c>
      <c r="T1487">
        <v>4279</v>
      </c>
      <c r="U1487">
        <v>0</v>
      </c>
      <c r="V1487">
        <v>0</v>
      </c>
      <c r="W1487">
        <v>619</v>
      </c>
      <c r="X1487">
        <f>NHS_AE_2024_2025[[#This Row],[A&amp;E attendances Type 1]]+
NHS_AE_2024_2025[[#This Row],[A&amp;E attendances Type 2]]+
NHS_AE_2024_2025[[#This Row],[A&amp;E attendances Other A&amp;E Department]]</f>
        <v>16352</v>
      </c>
      <c r="Y1487">
        <f t="shared" si="46"/>
        <v>3115</v>
      </c>
      <c r="Z1487">
        <f t="shared" si="47"/>
        <v>4898</v>
      </c>
    </row>
    <row r="1488" spans="1:26" x14ac:dyDescent="0.2">
      <c r="A1488" t="s">
        <v>448</v>
      </c>
      <c r="B1488" t="s">
        <v>449</v>
      </c>
      <c r="C1488" t="s">
        <v>350</v>
      </c>
      <c r="D1488" t="s">
        <v>55</v>
      </c>
      <c r="E1488" t="s">
        <v>351</v>
      </c>
      <c r="F1488">
        <v>7025</v>
      </c>
      <c r="G1488">
        <v>0</v>
      </c>
      <c r="H1488">
        <v>3290</v>
      </c>
      <c r="I1488">
        <v>247</v>
      </c>
      <c r="J1488">
        <v>0</v>
      </c>
      <c r="K1488">
        <v>61</v>
      </c>
      <c r="L1488">
        <v>3560</v>
      </c>
      <c r="M1488">
        <v>0</v>
      </c>
      <c r="N1488">
        <v>158</v>
      </c>
      <c r="O1488">
        <v>95</v>
      </c>
      <c r="P1488">
        <v>0</v>
      </c>
      <c r="Q1488">
        <v>2</v>
      </c>
      <c r="R1488">
        <v>728</v>
      </c>
      <c r="S1488">
        <v>680</v>
      </c>
      <c r="T1488">
        <v>1807</v>
      </c>
      <c r="U1488">
        <v>0</v>
      </c>
      <c r="V1488">
        <v>0</v>
      </c>
      <c r="W1488">
        <v>131</v>
      </c>
      <c r="X1488">
        <f>NHS_AE_2024_2025[[#This Row],[A&amp;E attendances Type 1]]+
NHS_AE_2024_2025[[#This Row],[A&amp;E attendances Type 2]]+
NHS_AE_2024_2025[[#This Row],[A&amp;E attendances Other A&amp;E Department]]</f>
        <v>10315</v>
      </c>
      <c r="Y1488">
        <f t="shared" si="46"/>
        <v>3718</v>
      </c>
      <c r="Z1488">
        <f t="shared" si="47"/>
        <v>1938</v>
      </c>
    </row>
    <row r="1489" spans="1:26" x14ac:dyDescent="0.2">
      <c r="A1489" t="s">
        <v>448</v>
      </c>
      <c r="B1489" t="s">
        <v>449</v>
      </c>
      <c r="C1489" t="s">
        <v>170</v>
      </c>
      <c r="D1489" t="s">
        <v>32</v>
      </c>
      <c r="E1489" t="s">
        <v>171</v>
      </c>
      <c r="F1489">
        <v>13574</v>
      </c>
      <c r="G1489">
        <v>1817</v>
      </c>
      <c r="H1489">
        <v>567</v>
      </c>
      <c r="I1489">
        <v>0</v>
      </c>
      <c r="J1489">
        <v>0</v>
      </c>
      <c r="K1489">
        <v>0</v>
      </c>
      <c r="L1489">
        <v>7275</v>
      </c>
      <c r="M1489">
        <v>82</v>
      </c>
      <c r="N1489">
        <v>141</v>
      </c>
      <c r="O1489">
        <v>0</v>
      </c>
      <c r="P1489">
        <v>0</v>
      </c>
      <c r="Q1489">
        <v>0</v>
      </c>
      <c r="R1489">
        <v>210</v>
      </c>
      <c r="S1489">
        <v>533</v>
      </c>
      <c r="T1489">
        <v>4380</v>
      </c>
      <c r="U1489">
        <v>184</v>
      </c>
      <c r="V1489">
        <v>0</v>
      </c>
      <c r="W1489">
        <v>4583</v>
      </c>
      <c r="X1489">
        <f>NHS_AE_2024_2025[[#This Row],[A&amp;E attendances Type 1]]+
NHS_AE_2024_2025[[#This Row],[A&amp;E attendances Type 2]]+
NHS_AE_2024_2025[[#This Row],[A&amp;E attendances Other A&amp;E Department]]</f>
        <v>15958</v>
      </c>
      <c r="Y1489">
        <f t="shared" si="46"/>
        <v>7498</v>
      </c>
      <c r="Z1489">
        <f t="shared" si="47"/>
        <v>9147</v>
      </c>
    </row>
    <row r="1490" spans="1:26" x14ac:dyDescent="0.2">
      <c r="A1490" t="s">
        <v>448</v>
      </c>
      <c r="B1490" t="s">
        <v>449</v>
      </c>
      <c r="C1490" t="s">
        <v>52</v>
      </c>
      <c r="D1490" t="s">
        <v>37</v>
      </c>
      <c r="E1490" t="s">
        <v>53</v>
      </c>
      <c r="F1490">
        <v>11141</v>
      </c>
      <c r="G1490">
        <v>1232</v>
      </c>
      <c r="H1490">
        <v>3618</v>
      </c>
      <c r="I1490">
        <v>5</v>
      </c>
      <c r="J1490">
        <v>0</v>
      </c>
      <c r="K1490">
        <v>4</v>
      </c>
      <c r="L1490">
        <v>3293</v>
      </c>
      <c r="M1490">
        <v>0</v>
      </c>
      <c r="N1490">
        <v>89</v>
      </c>
      <c r="O1490">
        <v>0</v>
      </c>
      <c r="P1490">
        <v>0</v>
      </c>
      <c r="Q1490">
        <v>0</v>
      </c>
      <c r="R1490">
        <v>245</v>
      </c>
      <c r="S1490">
        <v>260</v>
      </c>
      <c r="T1490">
        <v>4044</v>
      </c>
      <c r="U1490">
        <v>677</v>
      </c>
      <c r="V1490">
        <v>0</v>
      </c>
      <c r="W1490">
        <v>2216</v>
      </c>
      <c r="X1490">
        <f>NHS_AE_2024_2025[[#This Row],[A&amp;E attendances Type 1]]+
NHS_AE_2024_2025[[#This Row],[A&amp;E attendances Type 2]]+
NHS_AE_2024_2025[[#This Row],[A&amp;E attendances Other A&amp;E Department]]</f>
        <v>15991</v>
      </c>
      <c r="Y1490">
        <f t="shared" si="46"/>
        <v>3382</v>
      </c>
      <c r="Z1490">
        <f t="shared" si="47"/>
        <v>6937</v>
      </c>
    </row>
    <row r="1491" spans="1:26" x14ac:dyDescent="0.2">
      <c r="A1491" t="s">
        <v>448</v>
      </c>
      <c r="B1491" t="s">
        <v>449</v>
      </c>
      <c r="C1491" t="s">
        <v>218</v>
      </c>
      <c r="D1491" t="s">
        <v>70</v>
      </c>
      <c r="E1491" t="s">
        <v>219</v>
      </c>
      <c r="F1491">
        <v>0</v>
      </c>
      <c r="G1491">
        <v>0</v>
      </c>
      <c r="H1491">
        <v>1223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38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f>NHS_AE_2024_2025[[#This Row],[A&amp;E attendances Type 1]]+
NHS_AE_2024_2025[[#This Row],[A&amp;E attendances Type 2]]+
NHS_AE_2024_2025[[#This Row],[A&amp;E attendances Other A&amp;E Department]]</f>
        <v>1223</v>
      </c>
      <c r="Y1491">
        <f t="shared" si="46"/>
        <v>38</v>
      </c>
      <c r="Z1491">
        <f t="shared" si="47"/>
        <v>0</v>
      </c>
    </row>
    <row r="1492" spans="1:26" x14ac:dyDescent="0.2">
      <c r="A1492" t="s">
        <v>448</v>
      </c>
      <c r="B1492" t="s">
        <v>449</v>
      </c>
      <c r="C1492" t="s">
        <v>276</v>
      </c>
      <c r="D1492" t="s">
        <v>37</v>
      </c>
      <c r="E1492" t="s">
        <v>277</v>
      </c>
      <c r="F1492">
        <v>26658</v>
      </c>
      <c r="G1492">
        <v>1483</v>
      </c>
      <c r="H1492">
        <v>2059</v>
      </c>
      <c r="I1492">
        <v>1774</v>
      </c>
      <c r="J1492">
        <v>0</v>
      </c>
      <c r="K1492">
        <v>645</v>
      </c>
      <c r="L1492">
        <v>10030</v>
      </c>
      <c r="M1492">
        <v>39</v>
      </c>
      <c r="N1492">
        <v>231</v>
      </c>
      <c r="O1492">
        <v>476</v>
      </c>
      <c r="P1492">
        <v>0</v>
      </c>
      <c r="Q1492">
        <v>4</v>
      </c>
      <c r="R1492">
        <v>817</v>
      </c>
      <c r="S1492">
        <v>912</v>
      </c>
      <c r="T1492">
        <v>8684</v>
      </c>
      <c r="U1492">
        <v>23</v>
      </c>
      <c r="V1492">
        <v>89</v>
      </c>
      <c r="W1492">
        <v>1565</v>
      </c>
      <c r="X1492">
        <f>NHS_AE_2024_2025[[#This Row],[A&amp;E attendances Type 1]]+
NHS_AE_2024_2025[[#This Row],[A&amp;E attendances Type 2]]+
NHS_AE_2024_2025[[#This Row],[A&amp;E attendances Other A&amp;E Department]]</f>
        <v>30200</v>
      </c>
      <c r="Y1492">
        <f t="shared" si="46"/>
        <v>10300</v>
      </c>
      <c r="Z1492">
        <f t="shared" si="47"/>
        <v>10361</v>
      </c>
    </row>
    <row r="1493" spans="1:26" x14ac:dyDescent="0.2">
      <c r="A1493" t="s">
        <v>448</v>
      </c>
      <c r="B1493" t="s">
        <v>449</v>
      </c>
      <c r="C1493" t="s">
        <v>34</v>
      </c>
      <c r="D1493" t="s">
        <v>29</v>
      </c>
      <c r="E1493" t="s">
        <v>35</v>
      </c>
      <c r="F1493">
        <v>0</v>
      </c>
      <c r="G1493">
        <v>0</v>
      </c>
      <c r="H1493">
        <v>3752</v>
      </c>
      <c r="I1493">
        <v>0</v>
      </c>
      <c r="J1493">
        <v>0</v>
      </c>
      <c r="K1493">
        <v>337</v>
      </c>
      <c r="L1493">
        <v>0</v>
      </c>
      <c r="M1493">
        <v>0</v>
      </c>
      <c r="N1493">
        <v>11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f>NHS_AE_2024_2025[[#This Row],[A&amp;E attendances Type 1]]+
NHS_AE_2024_2025[[#This Row],[A&amp;E attendances Type 2]]+
NHS_AE_2024_2025[[#This Row],[A&amp;E attendances Other A&amp;E Department]]</f>
        <v>3752</v>
      </c>
      <c r="Y1493">
        <f t="shared" si="46"/>
        <v>11</v>
      </c>
      <c r="Z1493">
        <f t="shared" si="47"/>
        <v>0</v>
      </c>
    </row>
    <row r="1494" spans="1:26" x14ac:dyDescent="0.2">
      <c r="A1494" t="s">
        <v>448</v>
      </c>
      <c r="B1494" t="s">
        <v>449</v>
      </c>
      <c r="C1494" t="s">
        <v>360</v>
      </c>
      <c r="D1494" t="s">
        <v>50</v>
      </c>
      <c r="E1494" t="s">
        <v>361</v>
      </c>
      <c r="F1494">
        <v>0</v>
      </c>
      <c r="G1494">
        <v>0</v>
      </c>
      <c r="H1494">
        <v>2260</v>
      </c>
      <c r="I1494">
        <v>0</v>
      </c>
      <c r="J1494">
        <v>0</v>
      </c>
      <c r="K1494">
        <v>192</v>
      </c>
      <c r="L1494">
        <v>0</v>
      </c>
      <c r="M1494">
        <v>0</v>
      </c>
      <c r="N1494">
        <v>9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f>NHS_AE_2024_2025[[#This Row],[A&amp;E attendances Type 1]]+
NHS_AE_2024_2025[[#This Row],[A&amp;E attendances Type 2]]+
NHS_AE_2024_2025[[#This Row],[A&amp;E attendances Other A&amp;E Department]]</f>
        <v>2260</v>
      </c>
      <c r="Y1494">
        <f t="shared" si="46"/>
        <v>9</v>
      </c>
      <c r="Z1494">
        <f t="shared" si="47"/>
        <v>0</v>
      </c>
    </row>
    <row r="1495" spans="1:26" x14ac:dyDescent="0.2">
      <c r="A1495" t="s">
        <v>448</v>
      </c>
      <c r="B1495" t="s">
        <v>449</v>
      </c>
      <c r="C1495" t="s">
        <v>280</v>
      </c>
      <c r="D1495" t="s">
        <v>50</v>
      </c>
      <c r="E1495" t="s">
        <v>281</v>
      </c>
      <c r="F1495">
        <v>0</v>
      </c>
      <c r="G1495">
        <v>0</v>
      </c>
      <c r="H1495">
        <v>3661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575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f>NHS_AE_2024_2025[[#This Row],[A&amp;E attendances Type 1]]+
NHS_AE_2024_2025[[#This Row],[A&amp;E attendances Type 2]]+
NHS_AE_2024_2025[[#This Row],[A&amp;E attendances Other A&amp;E Department]]</f>
        <v>3661</v>
      </c>
      <c r="Y1495">
        <f t="shared" si="46"/>
        <v>575</v>
      </c>
      <c r="Z1495">
        <f t="shared" si="47"/>
        <v>0</v>
      </c>
    </row>
    <row r="1496" spans="1:26" x14ac:dyDescent="0.2">
      <c r="A1496" t="s">
        <v>448</v>
      </c>
      <c r="B1496" t="s">
        <v>449</v>
      </c>
      <c r="C1496" t="s">
        <v>429</v>
      </c>
      <c r="D1496" t="s">
        <v>50</v>
      </c>
      <c r="E1496" t="s">
        <v>430</v>
      </c>
      <c r="F1496">
        <v>0</v>
      </c>
      <c r="G1496">
        <v>0</v>
      </c>
      <c r="H1496">
        <v>1464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63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f>NHS_AE_2024_2025[[#This Row],[A&amp;E attendances Type 1]]+
NHS_AE_2024_2025[[#This Row],[A&amp;E attendances Type 2]]+
NHS_AE_2024_2025[[#This Row],[A&amp;E attendances Other A&amp;E Department]]</f>
        <v>1464</v>
      </c>
      <c r="Y1496">
        <f t="shared" si="46"/>
        <v>63</v>
      </c>
      <c r="Z1496">
        <f t="shared" si="47"/>
        <v>0</v>
      </c>
    </row>
    <row r="1497" spans="1:26" x14ac:dyDescent="0.2">
      <c r="A1497" t="s">
        <v>448</v>
      </c>
      <c r="B1497" t="s">
        <v>449</v>
      </c>
      <c r="C1497" t="s">
        <v>282</v>
      </c>
      <c r="D1497" t="s">
        <v>50</v>
      </c>
      <c r="E1497" t="s">
        <v>283</v>
      </c>
      <c r="F1497">
        <v>0</v>
      </c>
      <c r="G1497">
        <v>0</v>
      </c>
      <c r="H1497">
        <v>2943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287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f>NHS_AE_2024_2025[[#This Row],[A&amp;E attendances Type 1]]+
NHS_AE_2024_2025[[#This Row],[A&amp;E attendances Type 2]]+
NHS_AE_2024_2025[[#This Row],[A&amp;E attendances Other A&amp;E Department]]</f>
        <v>2943</v>
      </c>
      <c r="Y1497">
        <f t="shared" si="46"/>
        <v>287</v>
      </c>
      <c r="Z1497">
        <f t="shared" si="47"/>
        <v>0</v>
      </c>
    </row>
    <row r="1498" spans="1:26" x14ac:dyDescent="0.2">
      <c r="A1498" t="s">
        <v>448</v>
      </c>
      <c r="B1498" t="s">
        <v>449</v>
      </c>
      <c r="C1498" t="s">
        <v>284</v>
      </c>
      <c r="D1498" t="s">
        <v>50</v>
      </c>
      <c r="E1498" t="s">
        <v>285</v>
      </c>
      <c r="F1498">
        <v>0</v>
      </c>
      <c r="G1498">
        <v>0</v>
      </c>
      <c r="H1498">
        <v>1680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20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f>NHS_AE_2024_2025[[#This Row],[A&amp;E attendances Type 1]]+
NHS_AE_2024_2025[[#This Row],[A&amp;E attendances Type 2]]+
NHS_AE_2024_2025[[#This Row],[A&amp;E attendances Other A&amp;E Department]]</f>
        <v>1680</v>
      </c>
      <c r="Y1498">
        <f t="shared" si="46"/>
        <v>20</v>
      </c>
      <c r="Z1498">
        <f t="shared" si="47"/>
        <v>0</v>
      </c>
    </row>
    <row r="1499" spans="1:26" x14ac:dyDescent="0.2">
      <c r="A1499" t="s">
        <v>448</v>
      </c>
      <c r="B1499" t="s">
        <v>449</v>
      </c>
      <c r="C1499" t="s">
        <v>136</v>
      </c>
      <c r="D1499" t="s">
        <v>32</v>
      </c>
      <c r="E1499" t="s">
        <v>137</v>
      </c>
      <c r="F1499">
        <v>0</v>
      </c>
      <c r="G1499">
        <v>0</v>
      </c>
      <c r="H1499">
        <v>5526</v>
      </c>
      <c r="I1499">
        <v>0</v>
      </c>
      <c r="J1499">
        <v>0</v>
      </c>
      <c r="K1499">
        <v>2646</v>
      </c>
      <c r="L1499">
        <v>0</v>
      </c>
      <c r="M1499">
        <v>0</v>
      </c>
      <c r="N1499">
        <v>24</v>
      </c>
      <c r="O1499">
        <v>0</v>
      </c>
      <c r="P1499">
        <v>0</v>
      </c>
      <c r="Q1499">
        <v>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f>NHS_AE_2024_2025[[#This Row],[A&amp;E attendances Type 1]]+
NHS_AE_2024_2025[[#This Row],[A&amp;E attendances Type 2]]+
NHS_AE_2024_2025[[#This Row],[A&amp;E attendances Other A&amp;E Department]]</f>
        <v>5526</v>
      </c>
      <c r="Y1499">
        <f t="shared" si="46"/>
        <v>24</v>
      </c>
      <c r="Z1499">
        <f t="shared" si="47"/>
        <v>0</v>
      </c>
    </row>
    <row r="1500" spans="1:26" x14ac:dyDescent="0.2">
      <c r="A1500" t="s">
        <v>448</v>
      </c>
      <c r="B1500" t="s">
        <v>449</v>
      </c>
      <c r="C1500" t="s">
        <v>138</v>
      </c>
      <c r="D1500" t="s">
        <v>32</v>
      </c>
      <c r="E1500" t="s">
        <v>139</v>
      </c>
      <c r="F1500">
        <v>0</v>
      </c>
      <c r="G1500">
        <v>0</v>
      </c>
      <c r="H1500">
        <v>204</v>
      </c>
      <c r="I1500">
        <v>0</v>
      </c>
      <c r="J1500">
        <v>0</v>
      </c>
      <c r="K1500">
        <v>2208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f>NHS_AE_2024_2025[[#This Row],[A&amp;E attendances Type 1]]+
NHS_AE_2024_2025[[#This Row],[A&amp;E attendances Type 2]]+
NHS_AE_2024_2025[[#This Row],[A&amp;E attendances Other A&amp;E Department]]</f>
        <v>204</v>
      </c>
      <c r="Y1500">
        <f t="shared" si="46"/>
        <v>0</v>
      </c>
      <c r="Z1500">
        <f t="shared" si="47"/>
        <v>0</v>
      </c>
    </row>
    <row r="1501" spans="1:26" x14ac:dyDescent="0.2">
      <c r="A1501" t="s">
        <v>448</v>
      </c>
      <c r="B1501" t="s">
        <v>449</v>
      </c>
      <c r="C1501" t="s">
        <v>140</v>
      </c>
      <c r="D1501" t="s">
        <v>32</v>
      </c>
      <c r="E1501" t="s">
        <v>141</v>
      </c>
      <c r="F1501">
        <v>0</v>
      </c>
      <c r="G1501">
        <v>0</v>
      </c>
      <c r="H1501">
        <v>112</v>
      </c>
      <c r="I1501">
        <v>0</v>
      </c>
      <c r="J1501">
        <v>0</v>
      </c>
      <c r="K1501">
        <v>469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f>NHS_AE_2024_2025[[#This Row],[A&amp;E attendances Type 1]]+
NHS_AE_2024_2025[[#This Row],[A&amp;E attendances Type 2]]+
NHS_AE_2024_2025[[#This Row],[A&amp;E attendances Other A&amp;E Department]]</f>
        <v>112</v>
      </c>
      <c r="Y1501">
        <f t="shared" si="46"/>
        <v>0</v>
      </c>
      <c r="Z1501">
        <f t="shared" si="47"/>
        <v>0</v>
      </c>
    </row>
    <row r="1502" spans="1:26" x14ac:dyDescent="0.2">
      <c r="A1502" t="s">
        <v>448</v>
      </c>
      <c r="B1502" t="s">
        <v>449</v>
      </c>
      <c r="C1502" t="s">
        <v>142</v>
      </c>
      <c r="D1502" t="s">
        <v>32</v>
      </c>
      <c r="E1502" t="s">
        <v>143</v>
      </c>
      <c r="F1502">
        <v>0</v>
      </c>
      <c r="G1502">
        <v>0</v>
      </c>
      <c r="H1502">
        <v>53</v>
      </c>
      <c r="I1502">
        <v>0</v>
      </c>
      <c r="J1502">
        <v>0</v>
      </c>
      <c r="K1502">
        <v>398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f>NHS_AE_2024_2025[[#This Row],[A&amp;E attendances Type 1]]+
NHS_AE_2024_2025[[#This Row],[A&amp;E attendances Type 2]]+
NHS_AE_2024_2025[[#This Row],[A&amp;E attendances Other A&amp;E Department]]</f>
        <v>53</v>
      </c>
      <c r="Y1502">
        <f t="shared" si="46"/>
        <v>0</v>
      </c>
      <c r="Z1502">
        <f t="shared" si="47"/>
        <v>0</v>
      </c>
    </row>
    <row r="1503" spans="1:26" x14ac:dyDescent="0.2">
      <c r="A1503" t="s">
        <v>448</v>
      </c>
      <c r="B1503" t="s">
        <v>449</v>
      </c>
      <c r="C1503" t="s">
        <v>414</v>
      </c>
      <c r="D1503" t="s">
        <v>32</v>
      </c>
      <c r="E1503" t="s">
        <v>415</v>
      </c>
      <c r="F1503">
        <v>0</v>
      </c>
      <c r="G1503">
        <v>0</v>
      </c>
      <c r="H1503">
        <v>512</v>
      </c>
      <c r="I1503">
        <v>0</v>
      </c>
      <c r="J1503">
        <v>0</v>
      </c>
      <c r="K1503">
        <v>3338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f>NHS_AE_2024_2025[[#This Row],[A&amp;E attendances Type 1]]+
NHS_AE_2024_2025[[#This Row],[A&amp;E attendances Type 2]]+
NHS_AE_2024_2025[[#This Row],[A&amp;E attendances Other A&amp;E Department]]</f>
        <v>512</v>
      </c>
      <c r="Y1503">
        <f t="shared" si="46"/>
        <v>0</v>
      </c>
      <c r="Z1503">
        <f t="shared" si="47"/>
        <v>0</v>
      </c>
    </row>
    <row r="1504" spans="1:26" x14ac:dyDescent="0.2">
      <c r="A1504" t="s">
        <v>448</v>
      </c>
      <c r="B1504" t="s">
        <v>449</v>
      </c>
      <c r="C1504" t="s">
        <v>144</v>
      </c>
      <c r="D1504" t="s">
        <v>32</v>
      </c>
      <c r="E1504" t="s">
        <v>145</v>
      </c>
      <c r="F1504">
        <v>0</v>
      </c>
      <c r="G1504">
        <v>0</v>
      </c>
      <c r="H1504">
        <v>52</v>
      </c>
      <c r="I1504">
        <v>0</v>
      </c>
      <c r="J1504">
        <v>0</v>
      </c>
      <c r="K1504">
        <v>354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f>NHS_AE_2024_2025[[#This Row],[A&amp;E attendances Type 1]]+
NHS_AE_2024_2025[[#This Row],[A&amp;E attendances Type 2]]+
NHS_AE_2024_2025[[#This Row],[A&amp;E attendances Other A&amp;E Department]]</f>
        <v>52</v>
      </c>
      <c r="Y1504">
        <f t="shared" si="46"/>
        <v>0</v>
      </c>
      <c r="Z1504">
        <f t="shared" si="47"/>
        <v>0</v>
      </c>
    </row>
    <row r="1505" spans="1:26" x14ac:dyDescent="0.2">
      <c r="A1505" t="s">
        <v>448</v>
      </c>
      <c r="B1505" t="s">
        <v>449</v>
      </c>
      <c r="C1505" t="s">
        <v>118</v>
      </c>
      <c r="D1505" t="s">
        <v>32</v>
      </c>
      <c r="E1505" t="s">
        <v>119</v>
      </c>
      <c r="F1505">
        <v>0</v>
      </c>
      <c r="G1505">
        <v>0</v>
      </c>
      <c r="H1505">
        <v>2055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f>NHS_AE_2024_2025[[#This Row],[A&amp;E attendances Type 1]]+
NHS_AE_2024_2025[[#This Row],[A&amp;E attendances Type 2]]+
NHS_AE_2024_2025[[#This Row],[A&amp;E attendances Other A&amp;E Department]]</f>
        <v>2055</v>
      </c>
      <c r="Y1505">
        <f t="shared" si="46"/>
        <v>0</v>
      </c>
      <c r="Z1505">
        <f t="shared" si="47"/>
        <v>0</v>
      </c>
    </row>
    <row r="1506" spans="1:26" x14ac:dyDescent="0.2">
      <c r="A1506" t="s">
        <v>448</v>
      </c>
      <c r="B1506" t="s">
        <v>449</v>
      </c>
      <c r="C1506" t="s">
        <v>394</v>
      </c>
      <c r="D1506" t="s">
        <v>55</v>
      </c>
      <c r="E1506" t="s">
        <v>395</v>
      </c>
      <c r="F1506">
        <v>25292</v>
      </c>
      <c r="G1506">
        <v>3094</v>
      </c>
      <c r="H1506">
        <v>11779</v>
      </c>
      <c r="I1506">
        <v>3692</v>
      </c>
      <c r="J1506">
        <v>448</v>
      </c>
      <c r="K1506">
        <v>1059</v>
      </c>
      <c r="L1506">
        <v>9920</v>
      </c>
      <c r="M1506">
        <v>129</v>
      </c>
      <c r="N1506">
        <v>496</v>
      </c>
      <c r="O1506">
        <v>1196</v>
      </c>
      <c r="P1506">
        <v>25</v>
      </c>
      <c r="Q1506">
        <v>69</v>
      </c>
      <c r="R1506">
        <v>2871</v>
      </c>
      <c r="S1506">
        <v>101</v>
      </c>
      <c r="T1506">
        <v>5886</v>
      </c>
      <c r="U1506">
        <v>148</v>
      </c>
      <c r="V1506">
        <v>165</v>
      </c>
      <c r="W1506">
        <v>429</v>
      </c>
      <c r="X1506">
        <f>NHS_AE_2024_2025[[#This Row],[A&amp;E attendances Type 1]]+
NHS_AE_2024_2025[[#This Row],[A&amp;E attendances Type 2]]+
NHS_AE_2024_2025[[#This Row],[A&amp;E attendances Other A&amp;E Department]]</f>
        <v>40165</v>
      </c>
      <c r="Y1506">
        <f t="shared" si="46"/>
        <v>10545</v>
      </c>
      <c r="Z1506">
        <f t="shared" si="47"/>
        <v>6628</v>
      </c>
    </row>
    <row r="1507" spans="1:26" x14ac:dyDescent="0.2">
      <c r="A1507" t="s">
        <v>448</v>
      </c>
      <c r="B1507" t="s">
        <v>449</v>
      </c>
      <c r="C1507" t="s">
        <v>186</v>
      </c>
      <c r="D1507" t="s">
        <v>26</v>
      </c>
      <c r="E1507" t="s">
        <v>187</v>
      </c>
      <c r="F1507">
        <v>13702</v>
      </c>
      <c r="G1507">
        <v>0</v>
      </c>
      <c r="H1507">
        <v>5527</v>
      </c>
      <c r="I1507">
        <v>0</v>
      </c>
      <c r="J1507">
        <v>0</v>
      </c>
      <c r="K1507">
        <v>0</v>
      </c>
      <c r="L1507">
        <v>5364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1086</v>
      </c>
      <c r="S1507">
        <v>288</v>
      </c>
      <c r="T1507">
        <v>4209</v>
      </c>
      <c r="U1507">
        <v>4</v>
      </c>
      <c r="V1507">
        <v>0</v>
      </c>
      <c r="W1507">
        <v>2508</v>
      </c>
      <c r="X1507">
        <f>NHS_AE_2024_2025[[#This Row],[A&amp;E attendances Type 1]]+
NHS_AE_2024_2025[[#This Row],[A&amp;E attendances Type 2]]+
NHS_AE_2024_2025[[#This Row],[A&amp;E attendances Other A&amp;E Department]]</f>
        <v>19229</v>
      </c>
      <c r="Y1507">
        <f t="shared" si="46"/>
        <v>5364</v>
      </c>
      <c r="Z1507">
        <f t="shared" si="47"/>
        <v>6721</v>
      </c>
    </row>
    <row r="1508" spans="1:26" x14ac:dyDescent="0.2">
      <c r="A1508" t="s">
        <v>448</v>
      </c>
      <c r="B1508" t="s">
        <v>449</v>
      </c>
      <c r="C1508" t="s">
        <v>226</v>
      </c>
      <c r="D1508" t="s">
        <v>37</v>
      </c>
      <c r="E1508" t="s">
        <v>227</v>
      </c>
      <c r="F1508">
        <v>6924</v>
      </c>
      <c r="G1508">
        <v>0</v>
      </c>
      <c r="H1508">
        <v>1650</v>
      </c>
      <c r="I1508">
        <v>856</v>
      </c>
      <c r="J1508">
        <v>0</v>
      </c>
      <c r="K1508">
        <v>12</v>
      </c>
      <c r="L1508">
        <v>2088</v>
      </c>
      <c r="M1508">
        <v>0</v>
      </c>
      <c r="N1508">
        <v>1</v>
      </c>
      <c r="O1508">
        <v>192</v>
      </c>
      <c r="P1508">
        <v>0</v>
      </c>
      <c r="Q1508">
        <v>0</v>
      </c>
      <c r="R1508">
        <v>267</v>
      </c>
      <c r="S1508">
        <v>2</v>
      </c>
      <c r="T1508">
        <v>2583</v>
      </c>
      <c r="U1508">
        <v>0</v>
      </c>
      <c r="V1508">
        <v>0</v>
      </c>
      <c r="W1508">
        <v>1108</v>
      </c>
      <c r="X1508">
        <f>NHS_AE_2024_2025[[#This Row],[A&amp;E attendances Type 1]]+
NHS_AE_2024_2025[[#This Row],[A&amp;E attendances Type 2]]+
NHS_AE_2024_2025[[#This Row],[A&amp;E attendances Other A&amp;E Department]]</f>
        <v>8574</v>
      </c>
      <c r="Y1508">
        <f t="shared" si="46"/>
        <v>2089</v>
      </c>
      <c r="Z1508">
        <f t="shared" si="47"/>
        <v>3691</v>
      </c>
    </row>
    <row r="1509" spans="1:26" x14ac:dyDescent="0.2">
      <c r="A1509" t="s">
        <v>448</v>
      </c>
      <c r="B1509" t="s">
        <v>449</v>
      </c>
      <c r="C1509" t="s">
        <v>228</v>
      </c>
      <c r="D1509" t="s">
        <v>70</v>
      </c>
      <c r="E1509" t="s">
        <v>229</v>
      </c>
      <c r="F1509">
        <v>31792</v>
      </c>
      <c r="G1509">
        <v>0</v>
      </c>
      <c r="H1509">
        <v>3961</v>
      </c>
      <c r="I1509">
        <v>13</v>
      </c>
      <c r="J1509">
        <v>0</v>
      </c>
      <c r="K1509">
        <v>5</v>
      </c>
      <c r="L1509">
        <v>11578</v>
      </c>
      <c r="M1509">
        <v>0</v>
      </c>
      <c r="N1509">
        <v>311</v>
      </c>
      <c r="O1509">
        <v>4</v>
      </c>
      <c r="P1509">
        <v>0</v>
      </c>
      <c r="Q1509">
        <v>0</v>
      </c>
      <c r="R1509">
        <v>2555</v>
      </c>
      <c r="S1509">
        <v>627</v>
      </c>
      <c r="T1509">
        <v>8531</v>
      </c>
      <c r="U1509">
        <v>0</v>
      </c>
      <c r="V1509">
        <v>174</v>
      </c>
      <c r="W1509">
        <v>1285</v>
      </c>
      <c r="X1509">
        <f>NHS_AE_2024_2025[[#This Row],[A&amp;E attendances Type 1]]+
NHS_AE_2024_2025[[#This Row],[A&amp;E attendances Type 2]]+
NHS_AE_2024_2025[[#This Row],[A&amp;E attendances Other A&amp;E Department]]</f>
        <v>35753</v>
      </c>
      <c r="Y1509">
        <f t="shared" si="46"/>
        <v>11889</v>
      </c>
      <c r="Z1509">
        <f t="shared" si="47"/>
        <v>9990</v>
      </c>
    </row>
    <row r="1510" spans="1:26" x14ac:dyDescent="0.2">
      <c r="A1510" t="s">
        <v>448</v>
      </c>
      <c r="B1510" t="s">
        <v>449</v>
      </c>
      <c r="C1510" t="s">
        <v>234</v>
      </c>
      <c r="D1510" t="s">
        <v>26</v>
      </c>
      <c r="E1510" t="s">
        <v>235</v>
      </c>
      <c r="F1510">
        <v>4111</v>
      </c>
      <c r="G1510">
        <v>0</v>
      </c>
      <c r="H1510">
        <v>0</v>
      </c>
      <c r="I1510">
        <v>403</v>
      </c>
      <c r="J1510">
        <v>0</v>
      </c>
      <c r="K1510">
        <v>4529</v>
      </c>
      <c r="L1510">
        <v>1328</v>
      </c>
      <c r="M1510">
        <v>0</v>
      </c>
      <c r="N1510">
        <v>0</v>
      </c>
      <c r="O1510">
        <v>79</v>
      </c>
      <c r="P1510">
        <v>0</v>
      </c>
      <c r="Q1510">
        <v>9</v>
      </c>
      <c r="R1510">
        <v>182</v>
      </c>
      <c r="S1510">
        <v>66</v>
      </c>
      <c r="T1510">
        <v>1881</v>
      </c>
      <c r="U1510">
        <v>0</v>
      </c>
      <c r="V1510">
        <v>0</v>
      </c>
      <c r="W1510">
        <v>610</v>
      </c>
      <c r="X1510">
        <f>NHS_AE_2024_2025[[#This Row],[A&amp;E attendances Type 1]]+
NHS_AE_2024_2025[[#This Row],[A&amp;E attendances Type 2]]+
NHS_AE_2024_2025[[#This Row],[A&amp;E attendances Other A&amp;E Department]]</f>
        <v>4111</v>
      </c>
      <c r="Y1510">
        <f t="shared" si="46"/>
        <v>1328</v>
      </c>
      <c r="Z1510">
        <f t="shared" si="47"/>
        <v>2491</v>
      </c>
    </row>
    <row r="1511" spans="1:26" x14ac:dyDescent="0.2">
      <c r="A1511" t="s">
        <v>448</v>
      </c>
      <c r="B1511" t="s">
        <v>449</v>
      </c>
      <c r="C1511" t="s">
        <v>236</v>
      </c>
      <c r="D1511" t="s">
        <v>32</v>
      </c>
      <c r="E1511" t="s">
        <v>237</v>
      </c>
      <c r="F1511">
        <v>9286</v>
      </c>
      <c r="G1511">
        <v>0</v>
      </c>
      <c r="H1511">
        <v>4564</v>
      </c>
      <c r="I1511">
        <v>53</v>
      </c>
      <c r="J1511">
        <v>0</v>
      </c>
      <c r="K1511">
        <v>147</v>
      </c>
      <c r="L1511">
        <v>3339</v>
      </c>
      <c r="M1511">
        <v>0</v>
      </c>
      <c r="N1511">
        <v>114</v>
      </c>
      <c r="O1511">
        <v>17</v>
      </c>
      <c r="P1511">
        <v>0</v>
      </c>
      <c r="Q1511">
        <v>0</v>
      </c>
      <c r="R1511">
        <v>957</v>
      </c>
      <c r="S1511">
        <v>312</v>
      </c>
      <c r="T1511">
        <v>3856</v>
      </c>
      <c r="U1511">
        <v>0</v>
      </c>
      <c r="V1511">
        <v>0</v>
      </c>
      <c r="W1511">
        <v>817</v>
      </c>
      <c r="X1511">
        <f>NHS_AE_2024_2025[[#This Row],[A&amp;E attendances Type 1]]+
NHS_AE_2024_2025[[#This Row],[A&amp;E attendances Type 2]]+
NHS_AE_2024_2025[[#This Row],[A&amp;E attendances Other A&amp;E Department]]</f>
        <v>13850</v>
      </c>
      <c r="Y1511">
        <f t="shared" si="46"/>
        <v>3453</v>
      </c>
      <c r="Z1511">
        <f t="shared" si="47"/>
        <v>4673</v>
      </c>
    </row>
    <row r="1512" spans="1:26" x14ac:dyDescent="0.2">
      <c r="A1512" t="s">
        <v>448</v>
      </c>
      <c r="B1512" t="s">
        <v>449</v>
      </c>
      <c r="C1512" t="s">
        <v>194</v>
      </c>
      <c r="D1512" t="s">
        <v>50</v>
      </c>
      <c r="E1512" t="s">
        <v>195</v>
      </c>
      <c r="F1512">
        <v>4859</v>
      </c>
      <c r="G1512">
        <v>0</v>
      </c>
      <c r="H1512">
        <v>425</v>
      </c>
      <c r="I1512">
        <v>322</v>
      </c>
      <c r="J1512">
        <v>0</v>
      </c>
      <c r="K1512">
        <v>24</v>
      </c>
      <c r="L1512">
        <v>499</v>
      </c>
      <c r="M1512">
        <v>0</v>
      </c>
      <c r="N1512">
        <v>0</v>
      </c>
      <c r="O1512">
        <v>32</v>
      </c>
      <c r="P1512">
        <v>0</v>
      </c>
      <c r="Q1512">
        <v>0</v>
      </c>
      <c r="R1512">
        <v>7</v>
      </c>
      <c r="S1512">
        <v>0</v>
      </c>
      <c r="T1512">
        <v>1106</v>
      </c>
      <c r="U1512">
        <v>0</v>
      </c>
      <c r="V1512">
        <v>0</v>
      </c>
      <c r="W1512">
        <v>75</v>
      </c>
      <c r="X1512">
        <f>NHS_AE_2024_2025[[#This Row],[A&amp;E attendances Type 1]]+
NHS_AE_2024_2025[[#This Row],[A&amp;E attendances Type 2]]+
NHS_AE_2024_2025[[#This Row],[A&amp;E attendances Other A&amp;E Department]]</f>
        <v>5284</v>
      </c>
      <c r="Y1512">
        <f t="shared" si="46"/>
        <v>499</v>
      </c>
      <c r="Z1512">
        <f t="shared" si="47"/>
        <v>1181</v>
      </c>
    </row>
    <row r="1513" spans="1:26" x14ac:dyDescent="0.2">
      <c r="A1513" t="s">
        <v>448</v>
      </c>
      <c r="B1513" t="s">
        <v>449</v>
      </c>
      <c r="C1513" t="s">
        <v>384</v>
      </c>
      <c r="D1513" t="s">
        <v>55</v>
      </c>
      <c r="E1513" t="s">
        <v>385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182</v>
      </c>
      <c r="X1513">
        <f>NHS_AE_2024_2025[[#This Row],[A&amp;E attendances Type 1]]+
NHS_AE_2024_2025[[#This Row],[A&amp;E attendances Type 2]]+
NHS_AE_2024_2025[[#This Row],[A&amp;E attendances Other A&amp;E Department]]</f>
        <v>0</v>
      </c>
      <c r="Y1513">
        <f t="shared" si="46"/>
        <v>0</v>
      </c>
      <c r="Z1513">
        <f t="shared" si="47"/>
        <v>182</v>
      </c>
    </row>
    <row r="1514" spans="1:26" x14ac:dyDescent="0.2">
      <c r="A1514" t="s">
        <v>448</v>
      </c>
      <c r="B1514" t="s">
        <v>449</v>
      </c>
      <c r="C1514" t="s">
        <v>382</v>
      </c>
      <c r="D1514" t="s">
        <v>26</v>
      </c>
      <c r="E1514" t="s">
        <v>383</v>
      </c>
      <c r="F1514">
        <v>13097</v>
      </c>
      <c r="G1514">
        <v>0</v>
      </c>
      <c r="H1514">
        <v>9956</v>
      </c>
      <c r="I1514">
        <v>0</v>
      </c>
      <c r="J1514">
        <v>0</v>
      </c>
      <c r="K1514">
        <v>0</v>
      </c>
      <c r="L1514">
        <v>6180</v>
      </c>
      <c r="M1514">
        <v>0</v>
      </c>
      <c r="N1514">
        <v>229</v>
      </c>
      <c r="O1514">
        <v>0</v>
      </c>
      <c r="P1514">
        <v>0</v>
      </c>
      <c r="Q1514">
        <v>0</v>
      </c>
      <c r="R1514">
        <v>422</v>
      </c>
      <c r="S1514">
        <v>86</v>
      </c>
      <c r="T1514">
        <v>3118</v>
      </c>
      <c r="U1514">
        <v>0</v>
      </c>
      <c r="V1514">
        <v>0</v>
      </c>
      <c r="W1514">
        <v>1840</v>
      </c>
      <c r="X1514">
        <f>NHS_AE_2024_2025[[#This Row],[A&amp;E attendances Type 1]]+
NHS_AE_2024_2025[[#This Row],[A&amp;E attendances Type 2]]+
NHS_AE_2024_2025[[#This Row],[A&amp;E attendances Other A&amp;E Department]]</f>
        <v>23053</v>
      </c>
      <c r="Y1514">
        <f t="shared" si="46"/>
        <v>6409</v>
      </c>
      <c r="Z1514">
        <f t="shared" si="47"/>
        <v>4958</v>
      </c>
    </row>
    <row r="1515" spans="1:26" x14ac:dyDescent="0.2">
      <c r="A1515" t="s">
        <v>448</v>
      </c>
      <c r="B1515" t="s">
        <v>449</v>
      </c>
      <c r="C1515" t="s">
        <v>368</v>
      </c>
      <c r="D1515" t="s">
        <v>50</v>
      </c>
      <c r="E1515" t="s">
        <v>369</v>
      </c>
      <c r="F1515">
        <v>9031</v>
      </c>
      <c r="G1515">
        <v>1210</v>
      </c>
      <c r="H1515">
        <v>7023</v>
      </c>
      <c r="I1515">
        <v>423</v>
      </c>
      <c r="J1515">
        <v>0</v>
      </c>
      <c r="K1515">
        <v>1322</v>
      </c>
      <c r="L1515">
        <v>4657</v>
      </c>
      <c r="M1515">
        <v>0</v>
      </c>
      <c r="N1515">
        <v>247</v>
      </c>
      <c r="O1515">
        <v>190</v>
      </c>
      <c r="P1515">
        <v>0</v>
      </c>
      <c r="Q1515">
        <v>19</v>
      </c>
      <c r="R1515">
        <v>1002</v>
      </c>
      <c r="S1515">
        <v>5</v>
      </c>
      <c r="T1515">
        <v>3814</v>
      </c>
      <c r="U1515">
        <v>0</v>
      </c>
      <c r="V1515">
        <v>0</v>
      </c>
      <c r="W1515">
        <v>3186</v>
      </c>
      <c r="X1515">
        <f>NHS_AE_2024_2025[[#This Row],[A&amp;E attendances Type 1]]+
NHS_AE_2024_2025[[#This Row],[A&amp;E attendances Type 2]]+
NHS_AE_2024_2025[[#This Row],[A&amp;E attendances Other A&amp;E Department]]</f>
        <v>17264</v>
      </c>
      <c r="Y1515">
        <f t="shared" si="46"/>
        <v>4904</v>
      </c>
      <c r="Z1515">
        <f t="shared" si="47"/>
        <v>7000</v>
      </c>
    </row>
    <row r="1516" spans="1:26" x14ac:dyDescent="0.2">
      <c r="A1516" t="s">
        <v>448</v>
      </c>
      <c r="B1516" t="s">
        <v>449</v>
      </c>
      <c r="C1516" t="s">
        <v>308</v>
      </c>
      <c r="D1516" t="s">
        <v>32</v>
      </c>
      <c r="E1516" t="s">
        <v>309</v>
      </c>
      <c r="F1516">
        <v>8483</v>
      </c>
      <c r="G1516">
        <v>0</v>
      </c>
      <c r="H1516">
        <v>378</v>
      </c>
      <c r="I1516">
        <v>0</v>
      </c>
      <c r="J1516">
        <v>0</v>
      </c>
      <c r="K1516">
        <v>0</v>
      </c>
      <c r="L1516">
        <v>2732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474</v>
      </c>
      <c r="S1516">
        <v>47</v>
      </c>
      <c r="T1516">
        <v>2303</v>
      </c>
      <c r="U1516">
        <v>0</v>
      </c>
      <c r="V1516">
        <v>0</v>
      </c>
      <c r="W1516">
        <v>877</v>
      </c>
      <c r="X1516">
        <f>NHS_AE_2024_2025[[#This Row],[A&amp;E attendances Type 1]]+
NHS_AE_2024_2025[[#This Row],[A&amp;E attendances Type 2]]+
NHS_AE_2024_2025[[#This Row],[A&amp;E attendances Other A&amp;E Department]]</f>
        <v>8861</v>
      </c>
      <c r="Y1516">
        <f t="shared" si="46"/>
        <v>2732</v>
      </c>
      <c r="Z1516">
        <f t="shared" si="47"/>
        <v>3180</v>
      </c>
    </row>
    <row r="1517" spans="1:26" x14ac:dyDescent="0.2">
      <c r="A1517" t="s">
        <v>448</v>
      </c>
      <c r="B1517" t="s">
        <v>449</v>
      </c>
      <c r="C1517" t="s">
        <v>408</v>
      </c>
      <c r="D1517" t="s">
        <v>50</v>
      </c>
      <c r="E1517" t="s">
        <v>409</v>
      </c>
      <c r="F1517">
        <v>9197</v>
      </c>
      <c r="G1517">
        <v>0</v>
      </c>
      <c r="H1517">
        <v>7423</v>
      </c>
      <c r="I1517">
        <v>0</v>
      </c>
      <c r="J1517">
        <v>0</v>
      </c>
      <c r="K1517">
        <v>355</v>
      </c>
      <c r="L1517">
        <v>4766</v>
      </c>
      <c r="M1517">
        <v>0</v>
      </c>
      <c r="N1517">
        <v>66</v>
      </c>
      <c r="O1517">
        <v>0</v>
      </c>
      <c r="P1517">
        <v>0</v>
      </c>
      <c r="Q1517">
        <v>4</v>
      </c>
      <c r="R1517">
        <v>676</v>
      </c>
      <c r="S1517">
        <v>653</v>
      </c>
      <c r="T1517">
        <v>5717</v>
      </c>
      <c r="U1517">
        <v>0</v>
      </c>
      <c r="V1517">
        <v>0</v>
      </c>
      <c r="W1517">
        <v>498</v>
      </c>
      <c r="X1517">
        <f>NHS_AE_2024_2025[[#This Row],[A&amp;E attendances Type 1]]+
NHS_AE_2024_2025[[#This Row],[A&amp;E attendances Type 2]]+
NHS_AE_2024_2025[[#This Row],[A&amp;E attendances Other A&amp;E Department]]</f>
        <v>16620</v>
      </c>
      <c r="Y1517">
        <f t="shared" si="46"/>
        <v>4832</v>
      </c>
      <c r="Z1517">
        <f t="shared" si="47"/>
        <v>6215</v>
      </c>
    </row>
    <row r="1518" spans="1:26" x14ac:dyDescent="0.2">
      <c r="A1518" t="s">
        <v>448</v>
      </c>
      <c r="B1518" t="s">
        <v>449</v>
      </c>
      <c r="C1518" t="s">
        <v>372</v>
      </c>
      <c r="D1518" t="s">
        <v>29</v>
      </c>
      <c r="E1518" t="s">
        <v>373</v>
      </c>
      <c r="F1518">
        <v>9282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2600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268</v>
      </c>
      <c r="S1518">
        <v>71</v>
      </c>
      <c r="T1518">
        <v>1364</v>
      </c>
      <c r="U1518">
        <v>0</v>
      </c>
      <c r="V1518">
        <v>0</v>
      </c>
      <c r="W1518">
        <v>39</v>
      </c>
      <c r="X1518">
        <f>NHS_AE_2024_2025[[#This Row],[A&amp;E attendances Type 1]]+
NHS_AE_2024_2025[[#This Row],[A&amp;E attendances Type 2]]+
NHS_AE_2024_2025[[#This Row],[A&amp;E attendances Other A&amp;E Department]]</f>
        <v>9282</v>
      </c>
      <c r="Y1518">
        <f t="shared" si="46"/>
        <v>2600</v>
      </c>
      <c r="Z1518">
        <f t="shared" si="47"/>
        <v>1403</v>
      </c>
    </row>
    <row r="1519" spans="1:26" x14ac:dyDescent="0.2">
      <c r="A1519" t="s">
        <v>448</v>
      </c>
      <c r="B1519" t="s">
        <v>449</v>
      </c>
      <c r="C1519" t="s">
        <v>390</v>
      </c>
      <c r="D1519" t="s">
        <v>26</v>
      </c>
      <c r="E1519" t="s">
        <v>391</v>
      </c>
      <c r="F1519">
        <v>5662</v>
      </c>
      <c r="G1519">
        <v>0</v>
      </c>
      <c r="H1519">
        <v>5652</v>
      </c>
      <c r="I1519">
        <v>0</v>
      </c>
      <c r="J1519">
        <v>0</v>
      </c>
      <c r="K1519">
        <v>0</v>
      </c>
      <c r="L1519">
        <v>2928</v>
      </c>
      <c r="M1519">
        <v>0</v>
      </c>
      <c r="N1519">
        <v>458</v>
      </c>
      <c r="O1519">
        <v>0</v>
      </c>
      <c r="P1519">
        <v>0</v>
      </c>
      <c r="Q1519">
        <v>0</v>
      </c>
      <c r="R1519">
        <v>547</v>
      </c>
      <c r="S1519">
        <v>323</v>
      </c>
      <c r="T1519">
        <v>2450</v>
      </c>
      <c r="U1519">
        <v>0</v>
      </c>
      <c r="V1519">
        <v>0</v>
      </c>
      <c r="W1519">
        <v>1391</v>
      </c>
      <c r="X1519">
        <f>NHS_AE_2024_2025[[#This Row],[A&amp;E attendances Type 1]]+
NHS_AE_2024_2025[[#This Row],[A&amp;E attendances Type 2]]+
NHS_AE_2024_2025[[#This Row],[A&amp;E attendances Other A&amp;E Department]]</f>
        <v>11314</v>
      </c>
      <c r="Y1519">
        <f t="shared" si="46"/>
        <v>3386</v>
      </c>
      <c r="Z1519">
        <f t="shared" si="47"/>
        <v>3841</v>
      </c>
    </row>
    <row r="1520" spans="1:26" x14ac:dyDescent="0.2">
      <c r="A1520" t="s">
        <v>448</v>
      </c>
      <c r="B1520" t="s">
        <v>449</v>
      </c>
      <c r="C1520" t="s">
        <v>158</v>
      </c>
      <c r="D1520" t="s">
        <v>32</v>
      </c>
      <c r="E1520" t="s">
        <v>159</v>
      </c>
      <c r="F1520">
        <v>10115</v>
      </c>
      <c r="G1520">
        <v>0</v>
      </c>
      <c r="H1520">
        <v>4514</v>
      </c>
      <c r="I1520">
        <v>0</v>
      </c>
      <c r="J1520">
        <v>0</v>
      </c>
      <c r="K1520">
        <v>708</v>
      </c>
      <c r="L1520">
        <v>2893</v>
      </c>
      <c r="M1520">
        <v>0</v>
      </c>
      <c r="N1520">
        <v>99</v>
      </c>
      <c r="O1520">
        <v>0</v>
      </c>
      <c r="P1520">
        <v>0</v>
      </c>
      <c r="Q1520">
        <v>0</v>
      </c>
      <c r="R1520">
        <v>1960</v>
      </c>
      <c r="S1520">
        <v>112</v>
      </c>
      <c r="T1520">
        <v>3716</v>
      </c>
      <c r="U1520">
        <v>0</v>
      </c>
      <c r="V1520">
        <v>0</v>
      </c>
      <c r="W1520">
        <v>2467</v>
      </c>
      <c r="X1520">
        <f>NHS_AE_2024_2025[[#This Row],[A&amp;E attendances Type 1]]+
NHS_AE_2024_2025[[#This Row],[A&amp;E attendances Type 2]]+
NHS_AE_2024_2025[[#This Row],[A&amp;E attendances Other A&amp;E Department]]</f>
        <v>14629</v>
      </c>
      <c r="Y1520">
        <f t="shared" si="46"/>
        <v>2992</v>
      </c>
      <c r="Z1520">
        <f t="shared" si="47"/>
        <v>6183</v>
      </c>
    </row>
    <row r="1521" spans="1:26" x14ac:dyDescent="0.2">
      <c r="A1521" t="s">
        <v>448</v>
      </c>
      <c r="B1521" t="s">
        <v>449</v>
      </c>
      <c r="C1521" t="s">
        <v>254</v>
      </c>
      <c r="D1521" t="s">
        <v>50</v>
      </c>
      <c r="E1521" t="s">
        <v>255</v>
      </c>
      <c r="F1521">
        <v>8917</v>
      </c>
      <c r="G1521">
        <v>0</v>
      </c>
      <c r="H1521">
        <v>1932</v>
      </c>
      <c r="I1521">
        <v>320</v>
      </c>
      <c r="J1521">
        <v>0</v>
      </c>
      <c r="K1521">
        <v>25</v>
      </c>
      <c r="L1521">
        <v>3886</v>
      </c>
      <c r="M1521">
        <v>0</v>
      </c>
      <c r="N1521">
        <v>25</v>
      </c>
      <c r="O1521">
        <v>81</v>
      </c>
      <c r="P1521">
        <v>0</v>
      </c>
      <c r="Q1521">
        <v>0</v>
      </c>
      <c r="R1521">
        <v>589</v>
      </c>
      <c r="S1521">
        <v>482</v>
      </c>
      <c r="T1521">
        <v>2440</v>
      </c>
      <c r="U1521">
        <v>0</v>
      </c>
      <c r="V1521">
        <v>0</v>
      </c>
      <c r="W1521">
        <v>735</v>
      </c>
      <c r="X1521">
        <f>NHS_AE_2024_2025[[#This Row],[A&amp;E attendances Type 1]]+
NHS_AE_2024_2025[[#This Row],[A&amp;E attendances Type 2]]+
NHS_AE_2024_2025[[#This Row],[A&amp;E attendances Other A&amp;E Department]]</f>
        <v>10849</v>
      </c>
      <c r="Y1521">
        <f t="shared" si="46"/>
        <v>3911</v>
      </c>
      <c r="Z1521">
        <f t="shared" si="47"/>
        <v>3175</v>
      </c>
    </row>
    <row r="1522" spans="1:26" x14ac:dyDescent="0.2">
      <c r="A1522" t="s">
        <v>448</v>
      </c>
      <c r="B1522" t="s">
        <v>449</v>
      </c>
      <c r="C1522" t="s">
        <v>160</v>
      </c>
      <c r="D1522" t="s">
        <v>32</v>
      </c>
      <c r="E1522" t="s">
        <v>161</v>
      </c>
      <c r="F1522">
        <v>10262</v>
      </c>
      <c r="G1522">
        <v>0</v>
      </c>
      <c r="H1522">
        <v>8943</v>
      </c>
      <c r="I1522">
        <v>342</v>
      </c>
      <c r="J1522">
        <v>0</v>
      </c>
      <c r="K1522">
        <v>0</v>
      </c>
      <c r="L1522">
        <v>3696</v>
      </c>
      <c r="M1522">
        <v>0</v>
      </c>
      <c r="N1522">
        <v>174</v>
      </c>
      <c r="O1522">
        <v>0</v>
      </c>
      <c r="P1522">
        <v>0</v>
      </c>
      <c r="Q1522">
        <v>0</v>
      </c>
      <c r="R1522">
        <v>413</v>
      </c>
      <c r="S1522">
        <v>891</v>
      </c>
      <c r="T1522">
        <v>1799</v>
      </c>
      <c r="U1522">
        <v>0</v>
      </c>
      <c r="V1522">
        <v>0</v>
      </c>
      <c r="W1522">
        <v>294</v>
      </c>
      <c r="X1522">
        <f>NHS_AE_2024_2025[[#This Row],[A&amp;E attendances Type 1]]+
NHS_AE_2024_2025[[#This Row],[A&amp;E attendances Type 2]]+
NHS_AE_2024_2025[[#This Row],[A&amp;E attendances Other A&amp;E Department]]</f>
        <v>19205</v>
      </c>
      <c r="Y1522">
        <f t="shared" si="46"/>
        <v>3870</v>
      </c>
      <c r="Z1522">
        <f t="shared" si="47"/>
        <v>2093</v>
      </c>
    </row>
    <row r="1523" spans="1:26" x14ac:dyDescent="0.2">
      <c r="A1523" t="s">
        <v>448</v>
      </c>
      <c r="B1523" t="s">
        <v>449</v>
      </c>
      <c r="C1523" t="s">
        <v>114</v>
      </c>
      <c r="D1523" t="s">
        <v>32</v>
      </c>
      <c r="E1523" t="s">
        <v>115</v>
      </c>
      <c r="F1523">
        <v>9114</v>
      </c>
      <c r="G1523">
        <v>526</v>
      </c>
      <c r="H1523">
        <v>2305</v>
      </c>
      <c r="I1523">
        <v>1356</v>
      </c>
      <c r="J1523">
        <v>1</v>
      </c>
      <c r="K1523">
        <v>298</v>
      </c>
      <c r="L1523">
        <v>3851</v>
      </c>
      <c r="M1523">
        <v>15</v>
      </c>
      <c r="N1523">
        <v>235</v>
      </c>
      <c r="O1523">
        <v>521</v>
      </c>
      <c r="P1523">
        <v>0</v>
      </c>
      <c r="Q1523">
        <v>33</v>
      </c>
      <c r="R1523">
        <v>662</v>
      </c>
      <c r="S1523">
        <v>674</v>
      </c>
      <c r="T1523">
        <v>2348</v>
      </c>
      <c r="U1523">
        <v>0</v>
      </c>
      <c r="V1523">
        <v>0</v>
      </c>
      <c r="W1523">
        <v>891</v>
      </c>
      <c r="X1523">
        <f>NHS_AE_2024_2025[[#This Row],[A&amp;E attendances Type 1]]+
NHS_AE_2024_2025[[#This Row],[A&amp;E attendances Type 2]]+
NHS_AE_2024_2025[[#This Row],[A&amp;E attendances Other A&amp;E Department]]</f>
        <v>11945</v>
      </c>
      <c r="Y1523">
        <f t="shared" si="46"/>
        <v>4101</v>
      </c>
      <c r="Z1523">
        <f t="shared" si="47"/>
        <v>3239</v>
      </c>
    </row>
    <row r="1524" spans="1:26" x14ac:dyDescent="0.2">
      <c r="A1524" t="s">
        <v>448</v>
      </c>
      <c r="B1524" t="s">
        <v>449</v>
      </c>
      <c r="C1524" t="s">
        <v>320</v>
      </c>
      <c r="D1524" t="s">
        <v>26</v>
      </c>
      <c r="E1524" t="s">
        <v>321</v>
      </c>
      <c r="F1524">
        <v>4750</v>
      </c>
      <c r="G1524">
        <v>312</v>
      </c>
      <c r="H1524">
        <v>1873</v>
      </c>
      <c r="I1524">
        <v>155</v>
      </c>
      <c r="J1524">
        <v>0</v>
      </c>
      <c r="K1524">
        <v>0</v>
      </c>
      <c r="L1524">
        <v>2002</v>
      </c>
      <c r="M1524">
        <v>0</v>
      </c>
      <c r="N1524">
        <v>0</v>
      </c>
      <c r="O1524">
        <v>55</v>
      </c>
      <c r="P1524">
        <v>0</v>
      </c>
      <c r="Q1524">
        <v>0</v>
      </c>
      <c r="R1524">
        <v>467</v>
      </c>
      <c r="S1524">
        <v>43</v>
      </c>
      <c r="T1524">
        <v>1242</v>
      </c>
      <c r="U1524">
        <v>0</v>
      </c>
      <c r="V1524">
        <v>0</v>
      </c>
      <c r="W1524">
        <v>1090</v>
      </c>
      <c r="X1524">
        <f>NHS_AE_2024_2025[[#This Row],[A&amp;E attendances Type 1]]+
NHS_AE_2024_2025[[#This Row],[A&amp;E attendances Type 2]]+
NHS_AE_2024_2025[[#This Row],[A&amp;E attendances Other A&amp;E Department]]</f>
        <v>6935</v>
      </c>
      <c r="Y1524">
        <f t="shared" si="46"/>
        <v>2002</v>
      </c>
      <c r="Z1524">
        <f t="shared" si="47"/>
        <v>2332</v>
      </c>
    </row>
    <row r="1525" spans="1:26" x14ac:dyDescent="0.2">
      <c r="A1525" t="s">
        <v>448</v>
      </c>
      <c r="B1525" t="s">
        <v>449</v>
      </c>
      <c r="C1525" t="s">
        <v>410</v>
      </c>
      <c r="D1525" t="s">
        <v>32</v>
      </c>
      <c r="E1525" t="s">
        <v>411</v>
      </c>
      <c r="F1525">
        <v>5330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656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7</v>
      </c>
      <c r="T1525">
        <v>1091</v>
      </c>
      <c r="U1525">
        <v>0</v>
      </c>
      <c r="V1525">
        <v>0</v>
      </c>
      <c r="W1525">
        <v>151</v>
      </c>
      <c r="X1525">
        <f>NHS_AE_2024_2025[[#This Row],[A&amp;E attendances Type 1]]+
NHS_AE_2024_2025[[#This Row],[A&amp;E attendances Type 2]]+
NHS_AE_2024_2025[[#This Row],[A&amp;E attendances Other A&amp;E Department]]</f>
        <v>5330</v>
      </c>
      <c r="Y1525">
        <f t="shared" si="46"/>
        <v>656</v>
      </c>
      <c r="Z1525">
        <f t="shared" si="47"/>
        <v>1242</v>
      </c>
    </row>
    <row r="1526" spans="1:26" x14ac:dyDescent="0.2">
      <c r="A1526" t="s">
        <v>448</v>
      </c>
      <c r="B1526" t="s">
        <v>449</v>
      </c>
      <c r="C1526" t="s">
        <v>330</v>
      </c>
      <c r="D1526" t="s">
        <v>50</v>
      </c>
      <c r="E1526" t="s">
        <v>331</v>
      </c>
      <c r="F1526">
        <v>18011</v>
      </c>
      <c r="G1526">
        <v>741</v>
      </c>
      <c r="H1526">
        <v>12762</v>
      </c>
      <c r="I1526">
        <v>12</v>
      </c>
      <c r="J1526">
        <v>0</v>
      </c>
      <c r="K1526">
        <v>60</v>
      </c>
      <c r="L1526">
        <v>6490</v>
      </c>
      <c r="M1526">
        <v>0</v>
      </c>
      <c r="N1526">
        <v>51</v>
      </c>
      <c r="O1526">
        <v>4</v>
      </c>
      <c r="P1526">
        <v>0</v>
      </c>
      <c r="Q1526">
        <v>0</v>
      </c>
      <c r="R1526">
        <v>1716</v>
      </c>
      <c r="S1526">
        <v>299</v>
      </c>
      <c r="T1526">
        <v>3721</v>
      </c>
      <c r="U1526">
        <v>0</v>
      </c>
      <c r="V1526">
        <v>0</v>
      </c>
      <c r="W1526">
        <v>1180</v>
      </c>
      <c r="X1526">
        <f>NHS_AE_2024_2025[[#This Row],[A&amp;E attendances Type 1]]+
NHS_AE_2024_2025[[#This Row],[A&amp;E attendances Type 2]]+
NHS_AE_2024_2025[[#This Row],[A&amp;E attendances Other A&amp;E Department]]</f>
        <v>31514</v>
      </c>
      <c r="Y1526">
        <f t="shared" si="46"/>
        <v>6541</v>
      </c>
      <c r="Z1526">
        <f t="shared" si="47"/>
        <v>4901</v>
      </c>
    </row>
    <row r="1527" spans="1:26" x14ac:dyDescent="0.2">
      <c r="A1527" t="s">
        <v>448</v>
      </c>
      <c r="B1527" t="s">
        <v>449</v>
      </c>
      <c r="C1527" t="s">
        <v>206</v>
      </c>
      <c r="D1527" t="s">
        <v>32</v>
      </c>
      <c r="E1527" t="s">
        <v>207</v>
      </c>
      <c r="F1527">
        <v>34819</v>
      </c>
      <c r="G1527">
        <v>357</v>
      </c>
      <c r="H1527">
        <v>1914</v>
      </c>
      <c r="I1527">
        <v>0</v>
      </c>
      <c r="J1527">
        <v>0</v>
      </c>
      <c r="K1527">
        <v>212</v>
      </c>
      <c r="L1527">
        <v>13817</v>
      </c>
      <c r="M1527">
        <v>0</v>
      </c>
      <c r="N1527">
        <v>70</v>
      </c>
      <c r="O1527">
        <v>0</v>
      </c>
      <c r="P1527">
        <v>0</v>
      </c>
      <c r="Q1527">
        <v>4</v>
      </c>
      <c r="R1527">
        <v>2859</v>
      </c>
      <c r="S1527">
        <v>1690</v>
      </c>
      <c r="T1527">
        <v>10425</v>
      </c>
      <c r="U1527">
        <v>0</v>
      </c>
      <c r="V1527">
        <v>0</v>
      </c>
      <c r="W1527">
        <v>7034</v>
      </c>
      <c r="X1527">
        <f>NHS_AE_2024_2025[[#This Row],[A&amp;E attendances Type 1]]+
NHS_AE_2024_2025[[#This Row],[A&amp;E attendances Type 2]]+
NHS_AE_2024_2025[[#This Row],[A&amp;E attendances Other A&amp;E Department]]</f>
        <v>37090</v>
      </c>
      <c r="Y1527">
        <f t="shared" si="46"/>
        <v>13887</v>
      </c>
      <c r="Z1527">
        <f t="shared" si="47"/>
        <v>17459</v>
      </c>
    </row>
    <row r="1528" spans="1:26" x14ac:dyDescent="0.2">
      <c r="A1528" t="s">
        <v>448</v>
      </c>
      <c r="B1528" t="s">
        <v>449</v>
      </c>
      <c r="C1528" t="s">
        <v>336</v>
      </c>
      <c r="D1528" t="s">
        <v>50</v>
      </c>
      <c r="E1528" t="s">
        <v>337</v>
      </c>
      <c r="F1528">
        <v>10277</v>
      </c>
      <c r="G1528">
        <v>0</v>
      </c>
      <c r="H1528">
        <v>13291</v>
      </c>
      <c r="I1528">
        <v>0</v>
      </c>
      <c r="J1528">
        <v>0</v>
      </c>
      <c r="K1528">
        <v>0</v>
      </c>
      <c r="L1528">
        <v>2532</v>
      </c>
      <c r="M1528">
        <v>0</v>
      </c>
      <c r="N1528">
        <v>6</v>
      </c>
      <c r="O1528">
        <v>0</v>
      </c>
      <c r="P1528">
        <v>0</v>
      </c>
      <c r="Q1528">
        <v>0</v>
      </c>
      <c r="R1528">
        <v>35</v>
      </c>
      <c r="S1528">
        <v>0</v>
      </c>
      <c r="T1528">
        <v>4278</v>
      </c>
      <c r="U1528">
        <v>0</v>
      </c>
      <c r="V1528">
        <v>18</v>
      </c>
      <c r="W1528">
        <v>473</v>
      </c>
      <c r="X1528">
        <f>NHS_AE_2024_2025[[#This Row],[A&amp;E attendances Type 1]]+
NHS_AE_2024_2025[[#This Row],[A&amp;E attendances Type 2]]+
NHS_AE_2024_2025[[#This Row],[A&amp;E attendances Other A&amp;E Department]]</f>
        <v>23568</v>
      </c>
      <c r="Y1528">
        <f t="shared" si="46"/>
        <v>2538</v>
      </c>
      <c r="Z1528">
        <f t="shared" si="47"/>
        <v>4769</v>
      </c>
    </row>
    <row r="1529" spans="1:26" x14ac:dyDescent="0.2">
      <c r="A1529" t="s">
        <v>448</v>
      </c>
      <c r="B1529" t="s">
        <v>449</v>
      </c>
      <c r="C1529" t="s">
        <v>424</v>
      </c>
      <c r="D1529" t="s">
        <v>37</v>
      </c>
      <c r="E1529" t="s">
        <v>425</v>
      </c>
      <c r="F1529">
        <v>12850</v>
      </c>
      <c r="G1529">
        <v>1830</v>
      </c>
      <c r="H1529">
        <v>2085</v>
      </c>
      <c r="I1529">
        <v>1708</v>
      </c>
      <c r="J1529">
        <v>0</v>
      </c>
      <c r="K1529">
        <v>114</v>
      </c>
      <c r="L1529">
        <v>5248</v>
      </c>
      <c r="M1529">
        <v>0</v>
      </c>
      <c r="N1529">
        <v>7</v>
      </c>
      <c r="O1529">
        <v>607</v>
      </c>
      <c r="P1529">
        <v>0</v>
      </c>
      <c r="Q1529">
        <v>3</v>
      </c>
      <c r="R1529">
        <v>768</v>
      </c>
      <c r="S1529">
        <v>3</v>
      </c>
      <c r="T1529">
        <v>4670</v>
      </c>
      <c r="U1529">
        <v>109</v>
      </c>
      <c r="V1529">
        <v>10</v>
      </c>
      <c r="W1529">
        <v>4539</v>
      </c>
      <c r="X1529">
        <f>NHS_AE_2024_2025[[#This Row],[A&amp;E attendances Type 1]]+
NHS_AE_2024_2025[[#This Row],[A&amp;E attendances Type 2]]+
NHS_AE_2024_2025[[#This Row],[A&amp;E attendances Other A&amp;E Department]]</f>
        <v>16765</v>
      </c>
      <c r="Y1529">
        <f t="shared" si="46"/>
        <v>5255</v>
      </c>
      <c r="Z1529">
        <f t="shared" si="47"/>
        <v>9328</v>
      </c>
    </row>
    <row r="1530" spans="1:26" x14ac:dyDescent="0.2">
      <c r="A1530" t="s">
        <v>448</v>
      </c>
      <c r="B1530" t="s">
        <v>449</v>
      </c>
      <c r="C1530" t="s">
        <v>376</v>
      </c>
      <c r="D1530" t="s">
        <v>55</v>
      </c>
      <c r="E1530" t="s">
        <v>377</v>
      </c>
      <c r="F1530">
        <v>9464</v>
      </c>
      <c r="G1530">
        <v>0</v>
      </c>
      <c r="H1530">
        <v>2828</v>
      </c>
      <c r="I1530">
        <v>156</v>
      </c>
      <c r="J1530">
        <v>0</v>
      </c>
      <c r="K1530">
        <v>1709</v>
      </c>
      <c r="L1530">
        <v>3798</v>
      </c>
      <c r="M1530">
        <v>0</v>
      </c>
      <c r="N1530">
        <v>81</v>
      </c>
      <c r="O1530">
        <v>14</v>
      </c>
      <c r="P1530">
        <v>0</v>
      </c>
      <c r="Q1530">
        <v>47</v>
      </c>
      <c r="R1530">
        <v>735</v>
      </c>
      <c r="S1530">
        <v>544</v>
      </c>
      <c r="T1530">
        <v>3127</v>
      </c>
      <c r="U1530">
        <v>0</v>
      </c>
      <c r="V1530">
        <v>28</v>
      </c>
      <c r="W1530">
        <v>1062</v>
      </c>
      <c r="X1530">
        <f>NHS_AE_2024_2025[[#This Row],[A&amp;E attendances Type 1]]+
NHS_AE_2024_2025[[#This Row],[A&amp;E attendances Type 2]]+
NHS_AE_2024_2025[[#This Row],[A&amp;E attendances Other A&amp;E Department]]</f>
        <v>12292</v>
      </c>
      <c r="Y1530">
        <f t="shared" si="46"/>
        <v>3879</v>
      </c>
      <c r="Z1530">
        <f t="shared" si="47"/>
        <v>4217</v>
      </c>
    </row>
    <row r="1531" spans="1:26" x14ac:dyDescent="0.2">
      <c r="A1531" t="s">
        <v>448</v>
      </c>
      <c r="B1531" t="s">
        <v>449</v>
      </c>
      <c r="C1531" t="s">
        <v>212</v>
      </c>
      <c r="D1531" t="s">
        <v>50</v>
      </c>
      <c r="E1531" t="s">
        <v>213</v>
      </c>
      <c r="F1531">
        <v>5014</v>
      </c>
      <c r="G1531">
        <v>0</v>
      </c>
      <c r="H1531">
        <v>11944</v>
      </c>
      <c r="I1531">
        <v>0</v>
      </c>
      <c r="J1531">
        <v>0</v>
      </c>
      <c r="K1531">
        <v>0</v>
      </c>
      <c r="L1531">
        <v>2394</v>
      </c>
      <c r="M1531">
        <v>0</v>
      </c>
      <c r="N1531">
        <v>47</v>
      </c>
      <c r="O1531">
        <v>0</v>
      </c>
      <c r="P1531">
        <v>0</v>
      </c>
      <c r="Q1531">
        <v>0</v>
      </c>
      <c r="R1531">
        <v>164</v>
      </c>
      <c r="S1531">
        <v>8</v>
      </c>
      <c r="T1531">
        <v>1715</v>
      </c>
      <c r="U1531">
        <v>0</v>
      </c>
      <c r="V1531">
        <v>566</v>
      </c>
      <c r="W1531">
        <v>2543</v>
      </c>
      <c r="X1531">
        <f>NHS_AE_2024_2025[[#This Row],[A&amp;E attendances Type 1]]+
NHS_AE_2024_2025[[#This Row],[A&amp;E attendances Type 2]]+
NHS_AE_2024_2025[[#This Row],[A&amp;E attendances Other A&amp;E Department]]</f>
        <v>16958</v>
      </c>
      <c r="Y1531">
        <f t="shared" si="46"/>
        <v>2441</v>
      </c>
      <c r="Z1531">
        <f t="shared" si="47"/>
        <v>4824</v>
      </c>
    </row>
    <row r="1532" spans="1:26" x14ac:dyDescent="0.2">
      <c r="A1532" t="s">
        <v>448</v>
      </c>
      <c r="B1532" t="s">
        <v>449</v>
      </c>
      <c r="C1532" t="s">
        <v>346</v>
      </c>
      <c r="D1532" t="s">
        <v>70</v>
      </c>
      <c r="E1532" t="s">
        <v>347</v>
      </c>
      <c r="F1532">
        <v>9225</v>
      </c>
      <c r="G1532">
        <v>0</v>
      </c>
      <c r="H1532">
        <v>8769</v>
      </c>
      <c r="I1532">
        <v>0</v>
      </c>
      <c r="J1532">
        <v>0</v>
      </c>
      <c r="K1532">
        <v>0</v>
      </c>
      <c r="L1532">
        <v>4607</v>
      </c>
      <c r="M1532">
        <v>0</v>
      </c>
      <c r="N1532">
        <v>109</v>
      </c>
      <c r="O1532">
        <v>0</v>
      </c>
      <c r="P1532">
        <v>0</v>
      </c>
      <c r="Q1532">
        <v>0</v>
      </c>
      <c r="R1532">
        <v>237</v>
      </c>
      <c r="S1532">
        <v>170</v>
      </c>
      <c r="T1532">
        <v>2849</v>
      </c>
      <c r="U1532">
        <v>0</v>
      </c>
      <c r="V1532">
        <v>3</v>
      </c>
      <c r="W1532">
        <v>228</v>
      </c>
      <c r="X1532">
        <f>NHS_AE_2024_2025[[#This Row],[A&amp;E attendances Type 1]]+
NHS_AE_2024_2025[[#This Row],[A&amp;E attendances Type 2]]+
NHS_AE_2024_2025[[#This Row],[A&amp;E attendances Other A&amp;E Department]]</f>
        <v>17994</v>
      </c>
      <c r="Y1532">
        <f t="shared" si="46"/>
        <v>4716</v>
      </c>
      <c r="Z1532">
        <f t="shared" si="47"/>
        <v>3080</v>
      </c>
    </row>
    <row r="1533" spans="1:26" x14ac:dyDescent="0.2">
      <c r="A1533" t="s">
        <v>448</v>
      </c>
      <c r="B1533" t="s">
        <v>449</v>
      </c>
      <c r="C1533" t="s">
        <v>270</v>
      </c>
      <c r="D1533" t="s">
        <v>32</v>
      </c>
      <c r="E1533" t="s">
        <v>271</v>
      </c>
      <c r="F1533">
        <v>11411</v>
      </c>
      <c r="G1533">
        <v>1150</v>
      </c>
      <c r="H1533">
        <v>8616</v>
      </c>
      <c r="I1533">
        <v>496</v>
      </c>
      <c r="J1533">
        <v>0</v>
      </c>
      <c r="K1533">
        <v>0</v>
      </c>
      <c r="L1533">
        <v>4749</v>
      </c>
      <c r="M1533">
        <v>133</v>
      </c>
      <c r="N1533">
        <v>328</v>
      </c>
      <c r="O1533">
        <v>206</v>
      </c>
      <c r="P1533">
        <v>0</v>
      </c>
      <c r="Q1533">
        <v>0</v>
      </c>
      <c r="R1533">
        <v>819</v>
      </c>
      <c r="S1533">
        <v>231</v>
      </c>
      <c r="T1533">
        <v>2710</v>
      </c>
      <c r="U1533">
        <v>0</v>
      </c>
      <c r="V1533">
        <v>0</v>
      </c>
      <c r="W1533">
        <v>543</v>
      </c>
      <c r="X1533">
        <f>NHS_AE_2024_2025[[#This Row],[A&amp;E attendances Type 1]]+
NHS_AE_2024_2025[[#This Row],[A&amp;E attendances Type 2]]+
NHS_AE_2024_2025[[#This Row],[A&amp;E attendances Other A&amp;E Department]]</f>
        <v>21177</v>
      </c>
      <c r="Y1533">
        <f t="shared" si="46"/>
        <v>5210</v>
      </c>
      <c r="Z1533">
        <f t="shared" si="47"/>
        <v>3253</v>
      </c>
    </row>
    <row r="1534" spans="1:26" x14ac:dyDescent="0.2">
      <c r="A1534" t="s">
        <v>448</v>
      </c>
      <c r="B1534" t="s">
        <v>449</v>
      </c>
      <c r="C1534" t="s">
        <v>354</v>
      </c>
      <c r="D1534" t="s">
        <v>50</v>
      </c>
      <c r="E1534" t="s">
        <v>355</v>
      </c>
      <c r="F1534">
        <v>13515</v>
      </c>
      <c r="G1534">
        <v>0</v>
      </c>
      <c r="H1534">
        <v>4188</v>
      </c>
      <c r="I1534">
        <v>0</v>
      </c>
      <c r="J1534">
        <v>0</v>
      </c>
      <c r="K1534">
        <v>8045</v>
      </c>
      <c r="L1534">
        <v>5213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1831</v>
      </c>
      <c r="S1534">
        <v>13</v>
      </c>
      <c r="T1534">
        <v>4479</v>
      </c>
      <c r="U1534">
        <v>0</v>
      </c>
      <c r="V1534">
        <v>0</v>
      </c>
      <c r="W1534">
        <v>783</v>
      </c>
      <c r="X1534">
        <f>NHS_AE_2024_2025[[#This Row],[A&amp;E attendances Type 1]]+
NHS_AE_2024_2025[[#This Row],[A&amp;E attendances Type 2]]+
NHS_AE_2024_2025[[#This Row],[A&amp;E attendances Other A&amp;E Department]]</f>
        <v>17703</v>
      </c>
      <c r="Y1534">
        <f t="shared" si="46"/>
        <v>5213</v>
      </c>
      <c r="Z1534">
        <f t="shared" si="47"/>
        <v>5262</v>
      </c>
    </row>
    <row r="1535" spans="1:26" x14ac:dyDescent="0.2">
      <c r="A1535" t="s">
        <v>448</v>
      </c>
      <c r="B1535" t="s">
        <v>449</v>
      </c>
      <c r="C1535" t="s">
        <v>272</v>
      </c>
      <c r="D1535" t="s">
        <v>32</v>
      </c>
      <c r="E1535" t="s">
        <v>273</v>
      </c>
      <c r="F1535">
        <v>11111</v>
      </c>
      <c r="G1535">
        <v>0</v>
      </c>
      <c r="H1535">
        <v>2873</v>
      </c>
      <c r="I1535">
        <v>0</v>
      </c>
      <c r="J1535">
        <v>0</v>
      </c>
      <c r="K1535">
        <v>0</v>
      </c>
      <c r="L1535">
        <v>6350</v>
      </c>
      <c r="M1535">
        <v>0</v>
      </c>
      <c r="N1535">
        <v>295</v>
      </c>
      <c r="O1535">
        <v>0</v>
      </c>
      <c r="P1535">
        <v>0</v>
      </c>
      <c r="Q1535">
        <v>0</v>
      </c>
      <c r="R1535">
        <v>440</v>
      </c>
      <c r="S1535">
        <v>1390</v>
      </c>
      <c r="T1535">
        <v>3147</v>
      </c>
      <c r="U1535">
        <v>0</v>
      </c>
      <c r="V1535">
        <v>220</v>
      </c>
      <c r="W1535">
        <v>2165</v>
      </c>
      <c r="X1535">
        <f>NHS_AE_2024_2025[[#This Row],[A&amp;E attendances Type 1]]+
NHS_AE_2024_2025[[#This Row],[A&amp;E attendances Type 2]]+
NHS_AE_2024_2025[[#This Row],[A&amp;E attendances Other A&amp;E Department]]</f>
        <v>13984</v>
      </c>
      <c r="Y1535">
        <f t="shared" si="46"/>
        <v>6645</v>
      </c>
      <c r="Z1535">
        <f t="shared" si="47"/>
        <v>5532</v>
      </c>
    </row>
    <row r="1536" spans="1:26" x14ac:dyDescent="0.2">
      <c r="A1536" t="s">
        <v>448</v>
      </c>
      <c r="B1536" t="s">
        <v>449</v>
      </c>
      <c r="C1536" t="s">
        <v>356</v>
      </c>
      <c r="D1536" t="s">
        <v>32</v>
      </c>
      <c r="E1536" t="s">
        <v>357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3</v>
      </c>
      <c r="W1536">
        <v>71</v>
      </c>
      <c r="X1536">
        <f>NHS_AE_2024_2025[[#This Row],[A&amp;E attendances Type 1]]+
NHS_AE_2024_2025[[#This Row],[A&amp;E attendances Type 2]]+
NHS_AE_2024_2025[[#This Row],[A&amp;E attendances Other A&amp;E Department]]</f>
        <v>0</v>
      </c>
      <c r="Y1536">
        <f t="shared" si="46"/>
        <v>0</v>
      </c>
      <c r="Z1536">
        <f t="shared" si="47"/>
        <v>74</v>
      </c>
    </row>
    <row r="1537" spans="1:26" x14ac:dyDescent="0.2">
      <c r="A1537" t="s">
        <v>448</v>
      </c>
      <c r="B1537" t="s">
        <v>449</v>
      </c>
      <c r="C1537" t="s">
        <v>450</v>
      </c>
      <c r="D1537" t="s">
        <v>32</v>
      </c>
      <c r="E1537" t="s">
        <v>451</v>
      </c>
      <c r="F1537">
        <v>0</v>
      </c>
      <c r="G1537">
        <v>0</v>
      </c>
      <c r="H1537">
        <v>3681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1464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f>NHS_AE_2024_2025[[#This Row],[A&amp;E attendances Type 1]]+
NHS_AE_2024_2025[[#This Row],[A&amp;E attendances Type 2]]+
NHS_AE_2024_2025[[#This Row],[A&amp;E attendances Other A&amp;E Department]]</f>
        <v>3681</v>
      </c>
      <c r="Y1537">
        <f t="shared" si="46"/>
        <v>1464</v>
      </c>
      <c r="Z1537">
        <f t="shared" si="47"/>
        <v>0</v>
      </c>
    </row>
    <row r="1538" spans="1:26" x14ac:dyDescent="0.2">
      <c r="A1538" t="s">
        <v>448</v>
      </c>
      <c r="B1538" t="s">
        <v>449</v>
      </c>
      <c r="C1538" t="s">
        <v>148</v>
      </c>
      <c r="D1538" t="s">
        <v>32</v>
      </c>
      <c r="E1538" t="s">
        <v>149</v>
      </c>
      <c r="F1538">
        <v>0</v>
      </c>
      <c r="G1538">
        <v>0</v>
      </c>
      <c r="H1538">
        <v>3251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6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f>NHS_AE_2024_2025[[#This Row],[A&amp;E attendances Type 1]]+
NHS_AE_2024_2025[[#This Row],[A&amp;E attendances Type 2]]+
NHS_AE_2024_2025[[#This Row],[A&amp;E attendances Other A&amp;E Department]]</f>
        <v>3251</v>
      </c>
      <c r="Y1538">
        <f t="shared" ref="Y1538:Y1601" si="48">L1538+M1538+N1538</f>
        <v>6</v>
      </c>
      <c r="Z1538">
        <f t="shared" ref="Z1538:Z1601" si="49">T1538+U1538+V1538+W1538</f>
        <v>0</v>
      </c>
    </row>
    <row r="1539" spans="1:26" x14ac:dyDescent="0.2">
      <c r="A1539" t="s">
        <v>448</v>
      </c>
      <c r="B1539" t="s">
        <v>449</v>
      </c>
      <c r="C1539" t="s">
        <v>288</v>
      </c>
      <c r="D1539" t="s">
        <v>29</v>
      </c>
      <c r="E1539" t="s">
        <v>289</v>
      </c>
      <c r="F1539">
        <v>14125</v>
      </c>
      <c r="G1539">
        <v>0</v>
      </c>
      <c r="H1539">
        <v>15651</v>
      </c>
      <c r="I1539">
        <v>0</v>
      </c>
      <c r="J1539">
        <v>0</v>
      </c>
      <c r="K1539">
        <v>0</v>
      </c>
      <c r="L1539">
        <v>6324</v>
      </c>
      <c r="M1539">
        <v>0</v>
      </c>
      <c r="N1539">
        <v>194</v>
      </c>
      <c r="O1539">
        <v>0</v>
      </c>
      <c r="P1539">
        <v>0</v>
      </c>
      <c r="Q1539">
        <v>0</v>
      </c>
      <c r="R1539">
        <v>634</v>
      </c>
      <c r="S1539">
        <v>367</v>
      </c>
      <c r="T1539">
        <v>6751</v>
      </c>
      <c r="U1539">
        <v>0</v>
      </c>
      <c r="V1539">
        <v>0</v>
      </c>
      <c r="W1539">
        <v>336</v>
      </c>
      <c r="X1539">
        <f>NHS_AE_2024_2025[[#This Row],[A&amp;E attendances Type 1]]+
NHS_AE_2024_2025[[#This Row],[A&amp;E attendances Type 2]]+
NHS_AE_2024_2025[[#This Row],[A&amp;E attendances Other A&amp;E Department]]</f>
        <v>29776</v>
      </c>
      <c r="Y1539">
        <f t="shared" si="48"/>
        <v>6518</v>
      </c>
      <c r="Z1539">
        <f t="shared" si="49"/>
        <v>7087</v>
      </c>
    </row>
    <row r="1540" spans="1:26" x14ac:dyDescent="0.2">
      <c r="A1540" t="s">
        <v>448</v>
      </c>
      <c r="B1540" t="s">
        <v>449</v>
      </c>
      <c r="C1540" t="s">
        <v>190</v>
      </c>
      <c r="D1540" t="s">
        <v>50</v>
      </c>
      <c r="E1540" t="s">
        <v>191</v>
      </c>
      <c r="F1540">
        <v>9248</v>
      </c>
      <c r="G1540">
        <v>1045</v>
      </c>
      <c r="H1540">
        <v>3252</v>
      </c>
      <c r="I1540">
        <v>0</v>
      </c>
      <c r="J1540">
        <v>0</v>
      </c>
      <c r="K1540">
        <v>0</v>
      </c>
      <c r="L1540">
        <v>2305</v>
      </c>
      <c r="M1540">
        <v>0</v>
      </c>
      <c r="N1540">
        <v>3</v>
      </c>
      <c r="O1540">
        <v>0</v>
      </c>
      <c r="P1540">
        <v>0</v>
      </c>
      <c r="Q1540">
        <v>0</v>
      </c>
      <c r="R1540">
        <v>687</v>
      </c>
      <c r="S1540">
        <v>97</v>
      </c>
      <c r="T1540">
        <v>2612</v>
      </c>
      <c r="U1540">
        <v>0</v>
      </c>
      <c r="V1540">
        <v>35</v>
      </c>
      <c r="W1540">
        <v>1429</v>
      </c>
      <c r="X1540">
        <f>NHS_AE_2024_2025[[#This Row],[A&amp;E attendances Type 1]]+
NHS_AE_2024_2025[[#This Row],[A&amp;E attendances Type 2]]+
NHS_AE_2024_2025[[#This Row],[A&amp;E attendances Other A&amp;E Department]]</f>
        <v>13545</v>
      </c>
      <c r="Y1540">
        <f t="shared" si="48"/>
        <v>2308</v>
      </c>
      <c r="Z1540">
        <f t="shared" si="49"/>
        <v>4076</v>
      </c>
    </row>
    <row r="1541" spans="1:26" x14ac:dyDescent="0.2">
      <c r="A1541" t="s">
        <v>448</v>
      </c>
      <c r="B1541" t="s">
        <v>449</v>
      </c>
      <c r="C1541" t="s">
        <v>230</v>
      </c>
      <c r="D1541" t="s">
        <v>29</v>
      </c>
      <c r="E1541" t="s">
        <v>231</v>
      </c>
      <c r="F1541">
        <v>25381</v>
      </c>
      <c r="G1541">
        <v>537</v>
      </c>
      <c r="H1541">
        <v>16637</v>
      </c>
      <c r="I1541">
        <v>186</v>
      </c>
      <c r="J1541">
        <v>4</v>
      </c>
      <c r="K1541">
        <v>231</v>
      </c>
      <c r="L1541">
        <v>9755</v>
      </c>
      <c r="M1541">
        <v>6</v>
      </c>
      <c r="N1541">
        <v>942</v>
      </c>
      <c r="O1541">
        <v>97</v>
      </c>
      <c r="P1541">
        <v>0</v>
      </c>
      <c r="Q1541">
        <v>30</v>
      </c>
      <c r="R1541">
        <v>1202</v>
      </c>
      <c r="S1541">
        <v>1838</v>
      </c>
      <c r="T1541">
        <v>4698</v>
      </c>
      <c r="U1541">
        <v>0</v>
      </c>
      <c r="V1541">
        <v>51</v>
      </c>
      <c r="W1541">
        <v>779</v>
      </c>
      <c r="X1541">
        <f>NHS_AE_2024_2025[[#This Row],[A&amp;E attendances Type 1]]+
NHS_AE_2024_2025[[#This Row],[A&amp;E attendances Type 2]]+
NHS_AE_2024_2025[[#This Row],[A&amp;E attendances Other A&amp;E Department]]</f>
        <v>42555</v>
      </c>
      <c r="Y1541">
        <f t="shared" si="48"/>
        <v>10703</v>
      </c>
      <c r="Z1541">
        <f t="shared" si="49"/>
        <v>5528</v>
      </c>
    </row>
    <row r="1542" spans="1:26" x14ac:dyDescent="0.2">
      <c r="A1542" t="s">
        <v>448</v>
      </c>
      <c r="B1542" t="s">
        <v>449</v>
      </c>
      <c r="C1542" t="s">
        <v>150</v>
      </c>
      <c r="D1542" t="s">
        <v>55</v>
      </c>
      <c r="E1542" t="s">
        <v>151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821</v>
      </c>
      <c r="X1542">
        <f>NHS_AE_2024_2025[[#This Row],[A&amp;E attendances Type 1]]+
NHS_AE_2024_2025[[#This Row],[A&amp;E attendances Type 2]]+
NHS_AE_2024_2025[[#This Row],[A&amp;E attendances Other A&amp;E Department]]</f>
        <v>0</v>
      </c>
      <c r="Y1542">
        <f t="shared" si="48"/>
        <v>0</v>
      </c>
      <c r="Z1542">
        <f t="shared" si="49"/>
        <v>821</v>
      </c>
    </row>
    <row r="1543" spans="1:26" x14ac:dyDescent="0.2">
      <c r="A1543" t="s">
        <v>448</v>
      </c>
      <c r="B1543" t="s">
        <v>449</v>
      </c>
      <c r="C1543" t="s">
        <v>294</v>
      </c>
      <c r="D1543" t="s">
        <v>70</v>
      </c>
      <c r="E1543" t="s">
        <v>295</v>
      </c>
      <c r="F1543">
        <v>17026</v>
      </c>
      <c r="G1543">
        <v>0</v>
      </c>
      <c r="H1543">
        <v>8548</v>
      </c>
      <c r="I1543">
        <v>0</v>
      </c>
      <c r="J1543">
        <v>0</v>
      </c>
      <c r="K1543">
        <v>1051</v>
      </c>
      <c r="L1543">
        <v>7473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9</v>
      </c>
      <c r="T1543">
        <v>4678</v>
      </c>
      <c r="U1543">
        <v>0</v>
      </c>
      <c r="V1543">
        <v>0</v>
      </c>
      <c r="W1543">
        <v>2325</v>
      </c>
      <c r="X1543">
        <f>NHS_AE_2024_2025[[#This Row],[A&amp;E attendances Type 1]]+
NHS_AE_2024_2025[[#This Row],[A&amp;E attendances Type 2]]+
NHS_AE_2024_2025[[#This Row],[A&amp;E attendances Other A&amp;E Department]]</f>
        <v>25574</v>
      </c>
      <c r="Y1543">
        <f t="shared" si="48"/>
        <v>7473</v>
      </c>
      <c r="Z1543">
        <f t="shared" si="49"/>
        <v>7003</v>
      </c>
    </row>
    <row r="1544" spans="1:26" x14ac:dyDescent="0.2">
      <c r="A1544" t="s">
        <v>448</v>
      </c>
      <c r="B1544" t="s">
        <v>449</v>
      </c>
      <c r="C1544" t="s">
        <v>238</v>
      </c>
      <c r="D1544" t="s">
        <v>50</v>
      </c>
      <c r="E1544" t="s">
        <v>239</v>
      </c>
      <c r="F1544">
        <v>10854</v>
      </c>
      <c r="G1544">
        <v>333</v>
      </c>
      <c r="H1544">
        <v>7214</v>
      </c>
      <c r="I1544">
        <v>0</v>
      </c>
      <c r="J1544">
        <v>0</v>
      </c>
      <c r="K1544">
        <v>0</v>
      </c>
      <c r="L1544">
        <v>6123</v>
      </c>
      <c r="M1544">
        <v>0</v>
      </c>
      <c r="N1544">
        <v>302</v>
      </c>
      <c r="O1544">
        <v>0</v>
      </c>
      <c r="P1544">
        <v>0</v>
      </c>
      <c r="Q1544">
        <v>0</v>
      </c>
      <c r="R1544">
        <v>816</v>
      </c>
      <c r="S1544">
        <v>539</v>
      </c>
      <c r="T1544">
        <v>4796</v>
      </c>
      <c r="U1544">
        <v>0</v>
      </c>
      <c r="V1544">
        <v>0</v>
      </c>
      <c r="W1544">
        <v>1599</v>
      </c>
      <c r="X1544">
        <f>NHS_AE_2024_2025[[#This Row],[A&amp;E attendances Type 1]]+
NHS_AE_2024_2025[[#This Row],[A&amp;E attendances Type 2]]+
NHS_AE_2024_2025[[#This Row],[A&amp;E attendances Other A&amp;E Department]]</f>
        <v>18401</v>
      </c>
      <c r="Y1544">
        <f t="shared" si="48"/>
        <v>6425</v>
      </c>
      <c r="Z1544">
        <f t="shared" si="49"/>
        <v>6395</v>
      </c>
    </row>
    <row r="1545" spans="1:26" x14ac:dyDescent="0.2">
      <c r="A1545" t="s">
        <v>448</v>
      </c>
      <c r="B1545" t="s">
        <v>449</v>
      </c>
      <c r="C1545" t="s">
        <v>102</v>
      </c>
      <c r="D1545" t="s">
        <v>55</v>
      </c>
      <c r="E1545" t="s">
        <v>103</v>
      </c>
      <c r="F1545">
        <v>15869</v>
      </c>
      <c r="G1545">
        <v>1842</v>
      </c>
      <c r="H1545">
        <v>8129</v>
      </c>
      <c r="I1545">
        <v>407</v>
      </c>
      <c r="J1545">
        <v>0</v>
      </c>
      <c r="K1545">
        <v>0</v>
      </c>
      <c r="L1545">
        <v>8008</v>
      </c>
      <c r="M1545">
        <v>120</v>
      </c>
      <c r="N1545">
        <v>335</v>
      </c>
      <c r="O1545">
        <v>60</v>
      </c>
      <c r="P1545">
        <v>0</v>
      </c>
      <c r="Q1545">
        <v>0</v>
      </c>
      <c r="R1545">
        <v>1975</v>
      </c>
      <c r="S1545">
        <v>982</v>
      </c>
      <c r="T1545">
        <v>4562</v>
      </c>
      <c r="U1545">
        <v>0</v>
      </c>
      <c r="V1545">
        <v>0</v>
      </c>
      <c r="W1545">
        <v>2461</v>
      </c>
      <c r="X1545">
        <f>NHS_AE_2024_2025[[#This Row],[A&amp;E attendances Type 1]]+
NHS_AE_2024_2025[[#This Row],[A&amp;E attendances Type 2]]+
NHS_AE_2024_2025[[#This Row],[A&amp;E attendances Other A&amp;E Department]]</f>
        <v>25840</v>
      </c>
      <c r="Y1545">
        <f t="shared" si="48"/>
        <v>8463</v>
      </c>
      <c r="Z1545">
        <f t="shared" si="49"/>
        <v>7023</v>
      </c>
    </row>
    <row r="1546" spans="1:26" x14ac:dyDescent="0.2">
      <c r="A1546" t="s">
        <v>448</v>
      </c>
      <c r="B1546" t="s">
        <v>449</v>
      </c>
      <c r="C1546" t="s">
        <v>298</v>
      </c>
      <c r="D1546" t="s">
        <v>32</v>
      </c>
      <c r="E1546" t="s">
        <v>299</v>
      </c>
      <c r="F1546">
        <v>6919</v>
      </c>
      <c r="G1546">
        <v>0</v>
      </c>
      <c r="H1546">
        <v>6764</v>
      </c>
      <c r="I1546">
        <v>503</v>
      </c>
      <c r="J1546">
        <v>0</v>
      </c>
      <c r="K1546">
        <v>149</v>
      </c>
      <c r="L1546">
        <v>3582</v>
      </c>
      <c r="M1546">
        <v>0</v>
      </c>
      <c r="N1546">
        <v>403</v>
      </c>
      <c r="O1546">
        <v>179</v>
      </c>
      <c r="P1546">
        <v>0</v>
      </c>
      <c r="Q1546">
        <v>20</v>
      </c>
      <c r="R1546">
        <v>823</v>
      </c>
      <c r="S1546">
        <v>167</v>
      </c>
      <c r="T1546">
        <v>2725</v>
      </c>
      <c r="U1546">
        <v>0</v>
      </c>
      <c r="V1546">
        <v>289</v>
      </c>
      <c r="W1546">
        <v>696</v>
      </c>
      <c r="X1546">
        <f>NHS_AE_2024_2025[[#This Row],[A&amp;E attendances Type 1]]+
NHS_AE_2024_2025[[#This Row],[A&amp;E attendances Type 2]]+
NHS_AE_2024_2025[[#This Row],[A&amp;E attendances Other A&amp;E Department]]</f>
        <v>13683</v>
      </c>
      <c r="Y1546">
        <f t="shared" si="48"/>
        <v>3985</v>
      </c>
      <c r="Z1546">
        <f t="shared" si="49"/>
        <v>3710</v>
      </c>
    </row>
    <row r="1547" spans="1:26" x14ac:dyDescent="0.2">
      <c r="A1547" t="s">
        <v>448</v>
      </c>
      <c r="B1547" t="s">
        <v>449</v>
      </c>
      <c r="C1547" t="s">
        <v>244</v>
      </c>
      <c r="D1547" t="s">
        <v>70</v>
      </c>
      <c r="E1547" t="s">
        <v>245</v>
      </c>
      <c r="F1547">
        <v>14928</v>
      </c>
      <c r="G1547">
        <v>0</v>
      </c>
      <c r="H1547">
        <v>4678</v>
      </c>
      <c r="I1547">
        <v>360</v>
      </c>
      <c r="J1547">
        <v>0</v>
      </c>
      <c r="K1547">
        <v>463</v>
      </c>
      <c r="L1547">
        <v>6416</v>
      </c>
      <c r="M1547">
        <v>0</v>
      </c>
      <c r="N1547">
        <v>197</v>
      </c>
      <c r="O1547">
        <v>96</v>
      </c>
      <c r="P1547">
        <v>0</v>
      </c>
      <c r="Q1547">
        <v>14</v>
      </c>
      <c r="R1547">
        <v>482</v>
      </c>
      <c r="S1547">
        <v>889</v>
      </c>
      <c r="T1547">
        <v>3714</v>
      </c>
      <c r="U1547">
        <v>0</v>
      </c>
      <c r="V1547">
        <v>32</v>
      </c>
      <c r="W1547">
        <v>1592</v>
      </c>
      <c r="X1547">
        <f>NHS_AE_2024_2025[[#This Row],[A&amp;E attendances Type 1]]+
NHS_AE_2024_2025[[#This Row],[A&amp;E attendances Type 2]]+
NHS_AE_2024_2025[[#This Row],[A&amp;E attendances Other A&amp;E Department]]</f>
        <v>19606</v>
      </c>
      <c r="Y1547">
        <f t="shared" si="48"/>
        <v>6613</v>
      </c>
      <c r="Z1547">
        <f t="shared" si="49"/>
        <v>5338</v>
      </c>
    </row>
    <row r="1548" spans="1:26" x14ac:dyDescent="0.2">
      <c r="A1548" t="s">
        <v>448</v>
      </c>
      <c r="B1548" t="s">
        <v>449</v>
      </c>
      <c r="C1548" t="s">
        <v>246</v>
      </c>
      <c r="D1548" t="s">
        <v>70</v>
      </c>
      <c r="E1548" t="s">
        <v>247</v>
      </c>
      <c r="F1548">
        <v>10973</v>
      </c>
      <c r="G1548">
        <v>0</v>
      </c>
      <c r="H1548">
        <v>6235</v>
      </c>
      <c r="I1548">
        <v>309</v>
      </c>
      <c r="J1548">
        <v>0</v>
      </c>
      <c r="K1548">
        <v>300</v>
      </c>
      <c r="L1548">
        <v>4869</v>
      </c>
      <c r="M1548">
        <v>0</v>
      </c>
      <c r="N1548">
        <v>123</v>
      </c>
      <c r="O1548">
        <v>88</v>
      </c>
      <c r="P1548">
        <v>0</v>
      </c>
      <c r="Q1548">
        <v>12</v>
      </c>
      <c r="R1548">
        <v>613</v>
      </c>
      <c r="S1548">
        <v>417</v>
      </c>
      <c r="T1548">
        <v>2764</v>
      </c>
      <c r="U1548">
        <v>0</v>
      </c>
      <c r="V1548">
        <v>35</v>
      </c>
      <c r="W1548">
        <v>436</v>
      </c>
      <c r="X1548">
        <f>NHS_AE_2024_2025[[#This Row],[A&amp;E attendances Type 1]]+
NHS_AE_2024_2025[[#This Row],[A&amp;E attendances Type 2]]+
NHS_AE_2024_2025[[#This Row],[A&amp;E attendances Other A&amp;E Department]]</f>
        <v>17208</v>
      </c>
      <c r="Y1548">
        <f t="shared" si="48"/>
        <v>4992</v>
      </c>
      <c r="Z1548">
        <f t="shared" si="49"/>
        <v>3235</v>
      </c>
    </row>
    <row r="1549" spans="1:26" x14ac:dyDescent="0.2">
      <c r="A1549" t="s">
        <v>448</v>
      </c>
      <c r="B1549" t="s">
        <v>449</v>
      </c>
      <c r="C1549" t="s">
        <v>300</v>
      </c>
      <c r="D1549" t="s">
        <v>37</v>
      </c>
      <c r="E1549" t="s">
        <v>301</v>
      </c>
      <c r="F1549">
        <v>11829</v>
      </c>
      <c r="G1549">
        <v>1243</v>
      </c>
      <c r="H1549">
        <v>0</v>
      </c>
      <c r="I1549">
        <v>138</v>
      </c>
      <c r="J1549">
        <v>0</v>
      </c>
      <c r="K1549">
        <v>0</v>
      </c>
      <c r="L1549">
        <v>5075</v>
      </c>
      <c r="M1549">
        <v>144</v>
      </c>
      <c r="N1549">
        <v>0</v>
      </c>
      <c r="O1549">
        <v>46</v>
      </c>
      <c r="P1549">
        <v>0</v>
      </c>
      <c r="Q1549">
        <v>0</v>
      </c>
      <c r="R1549">
        <v>628</v>
      </c>
      <c r="S1549">
        <v>10</v>
      </c>
      <c r="T1549">
        <v>3886</v>
      </c>
      <c r="U1549">
        <v>9</v>
      </c>
      <c r="V1549">
        <v>0</v>
      </c>
      <c r="W1549">
        <v>1645</v>
      </c>
      <c r="X1549">
        <f>NHS_AE_2024_2025[[#This Row],[A&amp;E attendances Type 1]]+
NHS_AE_2024_2025[[#This Row],[A&amp;E attendances Type 2]]+
NHS_AE_2024_2025[[#This Row],[A&amp;E attendances Other A&amp;E Department]]</f>
        <v>13072</v>
      </c>
      <c r="Y1549">
        <f t="shared" si="48"/>
        <v>5219</v>
      </c>
      <c r="Z1549">
        <f t="shared" si="49"/>
        <v>5540</v>
      </c>
    </row>
    <row r="1550" spans="1:26" x14ac:dyDescent="0.2">
      <c r="A1550" t="s">
        <v>448</v>
      </c>
      <c r="B1550" t="s">
        <v>449</v>
      </c>
      <c r="C1550" t="s">
        <v>406</v>
      </c>
      <c r="D1550" t="s">
        <v>37</v>
      </c>
      <c r="E1550" t="s">
        <v>407</v>
      </c>
      <c r="F1550">
        <v>12163</v>
      </c>
      <c r="G1550">
        <v>2341</v>
      </c>
      <c r="H1550">
        <v>2157</v>
      </c>
      <c r="I1550">
        <v>1038</v>
      </c>
      <c r="J1550">
        <v>26</v>
      </c>
      <c r="K1550">
        <v>0</v>
      </c>
      <c r="L1550">
        <v>4873</v>
      </c>
      <c r="M1550">
        <v>21</v>
      </c>
      <c r="N1550">
        <v>0</v>
      </c>
      <c r="O1550">
        <v>342</v>
      </c>
      <c r="P1550">
        <v>0</v>
      </c>
      <c r="Q1550">
        <v>0</v>
      </c>
      <c r="R1550">
        <v>730</v>
      </c>
      <c r="S1550">
        <v>33</v>
      </c>
      <c r="T1550">
        <v>2255</v>
      </c>
      <c r="U1550">
        <v>2</v>
      </c>
      <c r="V1550">
        <v>0</v>
      </c>
      <c r="W1550">
        <v>423</v>
      </c>
      <c r="X1550">
        <f>NHS_AE_2024_2025[[#This Row],[A&amp;E attendances Type 1]]+
NHS_AE_2024_2025[[#This Row],[A&amp;E attendances Type 2]]+
NHS_AE_2024_2025[[#This Row],[A&amp;E attendances Other A&amp;E Department]]</f>
        <v>16661</v>
      </c>
      <c r="Y1550">
        <f t="shared" si="48"/>
        <v>4894</v>
      </c>
      <c r="Z1550">
        <f t="shared" si="49"/>
        <v>2680</v>
      </c>
    </row>
    <row r="1551" spans="1:26" x14ac:dyDescent="0.2">
      <c r="A1551" t="s">
        <v>448</v>
      </c>
      <c r="B1551" t="s">
        <v>449</v>
      </c>
      <c r="C1551" t="s">
        <v>370</v>
      </c>
      <c r="D1551" t="s">
        <v>29</v>
      </c>
      <c r="E1551" t="s">
        <v>371</v>
      </c>
      <c r="F1551">
        <v>15526</v>
      </c>
      <c r="G1551">
        <v>0</v>
      </c>
      <c r="H1551">
        <v>10605</v>
      </c>
      <c r="I1551">
        <v>0</v>
      </c>
      <c r="J1551">
        <v>0</v>
      </c>
      <c r="K1551">
        <v>0</v>
      </c>
      <c r="L1551">
        <v>8134</v>
      </c>
      <c r="M1551">
        <v>0</v>
      </c>
      <c r="N1551">
        <v>817</v>
      </c>
      <c r="O1551">
        <v>0</v>
      </c>
      <c r="P1551">
        <v>0</v>
      </c>
      <c r="Q1551">
        <v>0</v>
      </c>
      <c r="R1551">
        <v>1318</v>
      </c>
      <c r="S1551">
        <v>854</v>
      </c>
      <c r="T1551">
        <v>5027</v>
      </c>
      <c r="U1551">
        <v>0</v>
      </c>
      <c r="V1551">
        <v>0</v>
      </c>
      <c r="W1551">
        <v>1262</v>
      </c>
      <c r="X1551">
        <f>NHS_AE_2024_2025[[#This Row],[A&amp;E attendances Type 1]]+
NHS_AE_2024_2025[[#This Row],[A&amp;E attendances Type 2]]+
NHS_AE_2024_2025[[#This Row],[A&amp;E attendances Other A&amp;E Department]]</f>
        <v>26131</v>
      </c>
      <c r="Y1551">
        <f t="shared" si="48"/>
        <v>8951</v>
      </c>
      <c r="Z1551">
        <f t="shared" si="49"/>
        <v>6289</v>
      </c>
    </row>
    <row r="1552" spans="1:26" x14ac:dyDescent="0.2">
      <c r="A1552" t="s">
        <v>448</v>
      </c>
      <c r="B1552" t="s">
        <v>449</v>
      </c>
      <c r="C1552" t="s">
        <v>306</v>
      </c>
      <c r="D1552" t="s">
        <v>29</v>
      </c>
      <c r="E1552" t="s">
        <v>307</v>
      </c>
      <c r="F1552">
        <v>9283</v>
      </c>
      <c r="G1552">
        <v>0</v>
      </c>
      <c r="H1552">
        <v>3515</v>
      </c>
      <c r="I1552">
        <v>558</v>
      </c>
      <c r="J1552">
        <v>0</v>
      </c>
      <c r="K1552">
        <v>0</v>
      </c>
      <c r="L1552">
        <v>2117</v>
      </c>
      <c r="M1552">
        <v>0</v>
      </c>
      <c r="N1552">
        <v>0</v>
      </c>
      <c r="O1552">
        <v>68</v>
      </c>
      <c r="P1552">
        <v>0</v>
      </c>
      <c r="Q1552">
        <v>0</v>
      </c>
      <c r="R1552">
        <v>401</v>
      </c>
      <c r="S1552">
        <v>780</v>
      </c>
      <c r="T1552">
        <v>2738</v>
      </c>
      <c r="U1552">
        <v>0</v>
      </c>
      <c r="V1552">
        <v>0</v>
      </c>
      <c r="W1552">
        <v>793</v>
      </c>
      <c r="X1552">
        <f>NHS_AE_2024_2025[[#This Row],[A&amp;E attendances Type 1]]+
NHS_AE_2024_2025[[#This Row],[A&amp;E attendances Type 2]]+
NHS_AE_2024_2025[[#This Row],[A&amp;E attendances Other A&amp;E Department]]</f>
        <v>12798</v>
      </c>
      <c r="Y1552">
        <f t="shared" si="48"/>
        <v>2117</v>
      </c>
      <c r="Z1552">
        <f t="shared" si="49"/>
        <v>3531</v>
      </c>
    </row>
    <row r="1553" spans="1:26" x14ac:dyDescent="0.2">
      <c r="A1553" t="s">
        <v>448</v>
      </c>
      <c r="B1553" t="s">
        <v>449</v>
      </c>
      <c r="C1553" t="s">
        <v>112</v>
      </c>
      <c r="D1553" t="s">
        <v>55</v>
      </c>
      <c r="E1553" t="s">
        <v>113</v>
      </c>
      <c r="F1553">
        <v>4450</v>
      </c>
      <c r="G1553">
        <v>0</v>
      </c>
      <c r="H1553">
        <v>0</v>
      </c>
      <c r="I1553">
        <v>74</v>
      </c>
      <c r="J1553">
        <v>0</v>
      </c>
      <c r="K1553">
        <v>60</v>
      </c>
      <c r="L1553">
        <v>2223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132</v>
      </c>
      <c r="S1553">
        <v>470</v>
      </c>
      <c r="T1553">
        <v>754</v>
      </c>
      <c r="U1553">
        <v>0</v>
      </c>
      <c r="V1553">
        <v>0</v>
      </c>
      <c r="W1553">
        <v>205</v>
      </c>
      <c r="X1553">
        <f>NHS_AE_2024_2025[[#This Row],[A&amp;E attendances Type 1]]+
NHS_AE_2024_2025[[#This Row],[A&amp;E attendances Type 2]]+
NHS_AE_2024_2025[[#This Row],[A&amp;E attendances Other A&amp;E Department]]</f>
        <v>4450</v>
      </c>
      <c r="Y1553">
        <f t="shared" si="48"/>
        <v>2223</v>
      </c>
      <c r="Z1553">
        <f t="shared" si="49"/>
        <v>959</v>
      </c>
    </row>
    <row r="1554" spans="1:26" x14ac:dyDescent="0.2">
      <c r="A1554" t="s">
        <v>448</v>
      </c>
      <c r="B1554" t="s">
        <v>449</v>
      </c>
      <c r="C1554" t="s">
        <v>250</v>
      </c>
      <c r="D1554" t="s">
        <v>32</v>
      </c>
      <c r="E1554" t="s">
        <v>251</v>
      </c>
      <c r="F1554">
        <v>11381</v>
      </c>
      <c r="G1554">
        <v>0</v>
      </c>
      <c r="H1554">
        <v>6091</v>
      </c>
      <c r="I1554">
        <v>396</v>
      </c>
      <c r="J1554">
        <v>0</v>
      </c>
      <c r="K1554">
        <v>169</v>
      </c>
      <c r="L1554">
        <v>3800</v>
      </c>
      <c r="M1554">
        <v>0</v>
      </c>
      <c r="N1554">
        <v>538</v>
      </c>
      <c r="O1554">
        <v>138</v>
      </c>
      <c r="P1554">
        <v>0</v>
      </c>
      <c r="Q1554">
        <v>2</v>
      </c>
      <c r="R1554">
        <v>479</v>
      </c>
      <c r="S1554">
        <v>63</v>
      </c>
      <c r="T1554">
        <v>3904</v>
      </c>
      <c r="U1554">
        <v>0</v>
      </c>
      <c r="V1554">
        <v>2</v>
      </c>
      <c r="W1554">
        <v>303</v>
      </c>
      <c r="X1554">
        <f>NHS_AE_2024_2025[[#This Row],[A&amp;E attendances Type 1]]+
NHS_AE_2024_2025[[#This Row],[A&amp;E attendances Type 2]]+
NHS_AE_2024_2025[[#This Row],[A&amp;E attendances Other A&amp;E Department]]</f>
        <v>17472</v>
      </c>
      <c r="Y1554">
        <f t="shared" si="48"/>
        <v>4338</v>
      </c>
      <c r="Z1554">
        <f t="shared" si="49"/>
        <v>4209</v>
      </c>
    </row>
    <row r="1555" spans="1:26" x14ac:dyDescent="0.2">
      <c r="A1555" t="s">
        <v>448</v>
      </c>
      <c r="B1555" t="s">
        <v>449</v>
      </c>
      <c r="C1555" t="s">
        <v>310</v>
      </c>
      <c r="D1555" t="s">
        <v>26</v>
      </c>
      <c r="E1555" t="s">
        <v>311</v>
      </c>
      <c r="F1555">
        <v>9353</v>
      </c>
      <c r="G1555">
        <v>130</v>
      </c>
      <c r="H1555">
        <v>5705</v>
      </c>
      <c r="I1555">
        <v>0</v>
      </c>
      <c r="J1555">
        <v>0</v>
      </c>
      <c r="K1555">
        <v>0</v>
      </c>
      <c r="L1555">
        <v>5004</v>
      </c>
      <c r="M1555">
        <v>0</v>
      </c>
      <c r="N1555">
        <v>193</v>
      </c>
      <c r="O1555">
        <v>0</v>
      </c>
      <c r="P1555">
        <v>0</v>
      </c>
      <c r="Q1555">
        <v>0</v>
      </c>
      <c r="R1555">
        <v>411</v>
      </c>
      <c r="S1555">
        <v>735</v>
      </c>
      <c r="T1555">
        <v>2827</v>
      </c>
      <c r="U1555">
        <v>0</v>
      </c>
      <c r="V1555">
        <v>0</v>
      </c>
      <c r="W1555">
        <v>1502</v>
      </c>
      <c r="X1555">
        <f>NHS_AE_2024_2025[[#This Row],[A&amp;E attendances Type 1]]+
NHS_AE_2024_2025[[#This Row],[A&amp;E attendances Type 2]]+
NHS_AE_2024_2025[[#This Row],[A&amp;E attendances Other A&amp;E Department]]</f>
        <v>15188</v>
      </c>
      <c r="Y1555">
        <f t="shared" si="48"/>
        <v>5197</v>
      </c>
      <c r="Z1555">
        <f t="shared" si="49"/>
        <v>4329</v>
      </c>
    </row>
    <row r="1556" spans="1:26" x14ac:dyDescent="0.2">
      <c r="A1556" t="s">
        <v>448</v>
      </c>
      <c r="B1556" t="s">
        <v>449</v>
      </c>
      <c r="C1556" t="s">
        <v>314</v>
      </c>
      <c r="D1556" t="s">
        <v>32</v>
      </c>
      <c r="E1556" t="s">
        <v>315</v>
      </c>
      <c r="F1556">
        <v>7182</v>
      </c>
      <c r="G1556">
        <v>0</v>
      </c>
      <c r="H1556">
        <v>1690</v>
      </c>
      <c r="I1556">
        <v>0</v>
      </c>
      <c r="J1556">
        <v>0</v>
      </c>
      <c r="K1556">
        <v>0</v>
      </c>
      <c r="L1556">
        <v>2920</v>
      </c>
      <c r="M1556">
        <v>0</v>
      </c>
      <c r="N1556">
        <v>65</v>
      </c>
      <c r="O1556">
        <v>0</v>
      </c>
      <c r="P1556">
        <v>0</v>
      </c>
      <c r="Q1556">
        <v>0</v>
      </c>
      <c r="R1556">
        <v>453</v>
      </c>
      <c r="S1556">
        <v>338</v>
      </c>
      <c r="T1556">
        <v>1093</v>
      </c>
      <c r="U1556">
        <v>0</v>
      </c>
      <c r="V1556">
        <v>0</v>
      </c>
      <c r="W1556">
        <v>1</v>
      </c>
      <c r="X1556">
        <f>NHS_AE_2024_2025[[#This Row],[A&amp;E attendances Type 1]]+
NHS_AE_2024_2025[[#This Row],[A&amp;E attendances Type 2]]+
NHS_AE_2024_2025[[#This Row],[A&amp;E attendances Other A&amp;E Department]]</f>
        <v>8872</v>
      </c>
      <c r="Y1556">
        <f t="shared" si="48"/>
        <v>2985</v>
      </c>
      <c r="Z1556">
        <f t="shared" si="49"/>
        <v>1094</v>
      </c>
    </row>
    <row r="1557" spans="1:26" x14ac:dyDescent="0.2">
      <c r="A1557" t="s">
        <v>448</v>
      </c>
      <c r="B1557" t="s">
        <v>449</v>
      </c>
      <c r="C1557" t="s">
        <v>316</v>
      </c>
      <c r="D1557" t="s">
        <v>70</v>
      </c>
      <c r="E1557" t="s">
        <v>317</v>
      </c>
      <c r="F1557">
        <v>12804</v>
      </c>
      <c r="G1557">
        <v>0</v>
      </c>
      <c r="H1557">
        <v>8381</v>
      </c>
      <c r="I1557">
        <v>0</v>
      </c>
      <c r="J1557">
        <v>0</v>
      </c>
      <c r="K1557">
        <v>0</v>
      </c>
      <c r="L1557">
        <v>3867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914</v>
      </c>
      <c r="S1557">
        <v>255</v>
      </c>
      <c r="T1557">
        <v>2482</v>
      </c>
      <c r="U1557">
        <v>0</v>
      </c>
      <c r="V1557">
        <v>0</v>
      </c>
      <c r="W1557">
        <v>1599</v>
      </c>
      <c r="X1557">
        <f>NHS_AE_2024_2025[[#This Row],[A&amp;E attendances Type 1]]+
NHS_AE_2024_2025[[#This Row],[A&amp;E attendances Type 2]]+
NHS_AE_2024_2025[[#This Row],[A&amp;E attendances Other A&amp;E Department]]</f>
        <v>21185</v>
      </c>
      <c r="Y1557">
        <f t="shared" si="48"/>
        <v>3867</v>
      </c>
      <c r="Z1557">
        <f t="shared" si="49"/>
        <v>4081</v>
      </c>
    </row>
    <row r="1558" spans="1:26" x14ac:dyDescent="0.2">
      <c r="A1558" t="s">
        <v>448</v>
      </c>
      <c r="B1558" t="s">
        <v>449</v>
      </c>
      <c r="C1558" t="s">
        <v>418</v>
      </c>
      <c r="D1558" t="s">
        <v>55</v>
      </c>
      <c r="E1558" t="s">
        <v>419</v>
      </c>
      <c r="F1558">
        <v>25828</v>
      </c>
      <c r="G1558">
        <v>0</v>
      </c>
      <c r="H1558">
        <v>8886</v>
      </c>
      <c r="I1558">
        <v>0</v>
      </c>
      <c r="J1558">
        <v>0</v>
      </c>
      <c r="K1558">
        <v>0</v>
      </c>
      <c r="L1558">
        <v>10445</v>
      </c>
      <c r="M1558">
        <v>0</v>
      </c>
      <c r="N1558">
        <v>401</v>
      </c>
      <c r="O1558">
        <v>0</v>
      </c>
      <c r="P1558">
        <v>0</v>
      </c>
      <c r="Q1558">
        <v>0</v>
      </c>
      <c r="R1558">
        <v>1061</v>
      </c>
      <c r="S1558">
        <v>1306</v>
      </c>
      <c r="T1558">
        <v>7203</v>
      </c>
      <c r="U1558">
        <v>0</v>
      </c>
      <c r="V1558">
        <v>298</v>
      </c>
      <c r="W1558">
        <v>2067</v>
      </c>
      <c r="X1558">
        <f>NHS_AE_2024_2025[[#This Row],[A&amp;E attendances Type 1]]+
NHS_AE_2024_2025[[#This Row],[A&amp;E attendances Type 2]]+
NHS_AE_2024_2025[[#This Row],[A&amp;E attendances Other A&amp;E Department]]</f>
        <v>34714</v>
      </c>
      <c r="Y1558">
        <f t="shared" si="48"/>
        <v>10846</v>
      </c>
      <c r="Z1558">
        <f t="shared" si="49"/>
        <v>9568</v>
      </c>
    </row>
    <row r="1559" spans="1:26" x14ac:dyDescent="0.2">
      <c r="A1559" t="s">
        <v>448</v>
      </c>
      <c r="B1559" t="s">
        <v>449</v>
      </c>
      <c r="C1559" t="s">
        <v>252</v>
      </c>
      <c r="D1559" t="s">
        <v>37</v>
      </c>
      <c r="E1559" t="s">
        <v>253</v>
      </c>
      <c r="F1559">
        <v>11387</v>
      </c>
      <c r="G1559">
        <v>73</v>
      </c>
      <c r="H1559">
        <v>3523</v>
      </c>
      <c r="I1559">
        <v>0</v>
      </c>
      <c r="J1559">
        <v>0</v>
      </c>
      <c r="K1559">
        <v>107</v>
      </c>
      <c r="L1559">
        <v>4962</v>
      </c>
      <c r="M1559">
        <v>0</v>
      </c>
      <c r="N1559">
        <v>150</v>
      </c>
      <c r="O1559">
        <v>0</v>
      </c>
      <c r="P1559">
        <v>0</v>
      </c>
      <c r="Q1559">
        <v>0</v>
      </c>
      <c r="R1559">
        <v>299</v>
      </c>
      <c r="S1559">
        <v>52</v>
      </c>
      <c r="T1559">
        <v>4215</v>
      </c>
      <c r="U1559">
        <v>9</v>
      </c>
      <c r="V1559">
        <v>36</v>
      </c>
      <c r="W1559">
        <v>1388</v>
      </c>
      <c r="X1559">
        <f>NHS_AE_2024_2025[[#This Row],[A&amp;E attendances Type 1]]+
NHS_AE_2024_2025[[#This Row],[A&amp;E attendances Type 2]]+
NHS_AE_2024_2025[[#This Row],[A&amp;E attendances Other A&amp;E Department]]</f>
        <v>14983</v>
      </c>
      <c r="Y1559">
        <f t="shared" si="48"/>
        <v>5112</v>
      </c>
      <c r="Z1559">
        <f t="shared" si="49"/>
        <v>5648</v>
      </c>
    </row>
    <row r="1560" spans="1:26" x14ac:dyDescent="0.2">
      <c r="A1560" t="s">
        <v>448</v>
      </c>
      <c r="B1560" t="s">
        <v>449</v>
      </c>
      <c r="C1560" t="s">
        <v>374</v>
      </c>
      <c r="D1560" t="s">
        <v>37</v>
      </c>
      <c r="E1560" t="s">
        <v>375</v>
      </c>
      <c r="F1560">
        <v>11705</v>
      </c>
      <c r="G1560">
        <v>0</v>
      </c>
      <c r="H1560">
        <v>4168</v>
      </c>
      <c r="I1560">
        <v>0</v>
      </c>
      <c r="J1560">
        <v>0</v>
      </c>
      <c r="K1560">
        <v>0</v>
      </c>
      <c r="L1560">
        <v>3694</v>
      </c>
      <c r="M1560">
        <v>0</v>
      </c>
      <c r="N1560">
        <v>17</v>
      </c>
      <c r="O1560">
        <v>0</v>
      </c>
      <c r="P1560">
        <v>0</v>
      </c>
      <c r="Q1560">
        <v>0</v>
      </c>
      <c r="R1560">
        <v>546</v>
      </c>
      <c r="S1560">
        <v>407</v>
      </c>
      <c r="T1560">
        <v>3244</v>
      </c>
      <c r="U1560">
        <v>0</v>
      </c>
      <c r="V1560">
        <v>0</v>
      </c>
      <c r="W1560">
        <v>458</v>
      </c>
      <c r="X1560">
        <f>NHS_AE_2024_2025[[#This Row],[A&amp;E attendances Type 1]]+
NHS_AE_2024_2025[[#This Row],[A&amp;E attendances Type 2]]+
NHS_AE_2024_2025[[#This Row],[A&amp;E attendances Other A&amp;E Department]]</f>
        <v>15873</v>
      </c>
      <c r="Y1560">
        <f t="shared" si="48"/>
        <v>3711</v>
      </c>
      <c r="Z1560">
        <f t="shared" si="49"/>
        <v>3702</v>
      </c>
    </row>
    <row r="1561" spans="1:26" x14ac:dyDescent="0.2">
      <c r="A1561" t="s">
        <v>448</v>
      </c>
      <c r="B1561" t="s">
        <v>449</v>
      </c>
      <c r="C1561" t="s">
        <v>322</v>
      </c>
      <c r="D1561" t="s">
        <v>50</v>
      </c>
      <c r="E1561" t="s">
        <v>323</v>
      </c>
      <c r="F1561">
        <v>14073</v>
      </c>
      <c r="G1561">
        <v>0</v>
      </c>
      <c r="H1561">
        <v>4384</v>
      </c>
      <c r="I1561">
        <v>0</v>
      </c>
      <c r="J1561">
        <v>0</v>
      </c>
      <c r="K1561">
        <v>0</v>
      </c>
      <c r="L1561">
        <v>4642</v>
      </c>
      <c r="M1561">
        <v>0</v>
      </c>
      <c r="N1561">
        <v>21</v>
      </c>
      <c r="O1561">
        <v>0</v>
      </c>
      <c r="P1561">
        <v>0</v>
      </c>
      <c r="Q1561">
        <v>0</v>
      </c>
      <c r="R1561">
        <v>965</v>
      </c>
      <c r="S1561">
        <v>118</v>
      </c>
      <c r="T1561">
        <v>3831</v>
      </c>
      <c r="U1561">
        <v>0</v>
      </c>
      <c r="V1561">
        <v>429</v>
      </c>
      <c r="W1561">
        <v>1055</v>
      </c>
      <c r="X1561">
        <f>NHS_AE_2024_2025[[#This Row],[A&amp;E attendances Type 1]]+
NHS_AE_2024_2025[[#This Row],[A&amp;E attendances Type 2]]+
NHS_AE_2024_2025[[#This Row],[A&amp;E attendances Other A&amp;E Department]]</f>
        <v>18457</v>
      </c>
      <c r="Y1561">
        <f t="shared" si="48"/>
        <v>4663</v>
      </c>
      <c r="Z1561">
        <f t="shared" si="49"/>
        <v>5315</v>
      </c>
    </row>
    <row r="1562" spans="1:26" x14ac:dyDescent="0.2">
      <c r="A1562" t="s">
        <v>448</v>
      </c>
      <c r="B1562" t="s">
        <v>449</v>
      </c>
      <c r="C1562" t="s">
        <v>326</v>
      </c>
      <c r="D1562" t="s">
        <v>29</v>
      </c>
      <c r="E1562" t="s">
        <v>327</v>
      </c>
      <c r="F1562">
        <v>20043</v>
      </c>
      <c r="G1562">
        <v>0</v>
      </c>
      <c r="H1562">
        <v>6486</v>
      </c>
      <c r="I1562">
        <v>626</v>
      </c>
      <c r="J1562">
        <v>0</v>
      </c>
      <c r="K1562">
        <v>0</v>
      </c>
      <c r="L1562">
        <v>5353</v>
      </c>
      <c r="M1562">
        <v>0</v>
      </c>
      <c r="N1562">
        <v>102</v>
      </c>
      <c r="O1562">
        <v>0</v>
      </c>
      <c r="P1562">
        <v>0</v>
      </c>
      <c r="Q1562">
        <v>0</v>
      </c>
      <c r="R1562">
        <v>933</v>
      </c>
      <c r="S1562">
        <v>55</v>
      </c>
      <c r="T1562">
        <v>2869</v>
      </c>
      <c r="U1562">
        <v>0</v>
      </c>
      <c r="V1562">
        <v>0</v>
      </c>
      <c r="W1562">
        <v>307</v>
      </c>
      <c r="X1562">
        <f>NHS_AE_2024_2025[[#This Row],[A&amp;E attendances Type 1]]+
NHS_AE_2024_2025[[#This Row],[A&amp;E attendances Type 2]]+
NHS_AE_2024_2025[[#This Row],[A&amp;E attendances Other A&amp;E Department]]</f>
        <v>26529</v>
      </c>
      <c r="Y1562">
        <f t="shared" si="48"/>
        <v>5455</v>
      </c>
      <c r="Z1562">
        <f t="shared" si="49"/>
        <v>3176</v>
      </c>
    </row>
    <row r="1563" spans="1:26" x14ac:dyDescent="0.2">
      <c r="A1563" t="s">
        <v>448</v>
      </c>
      <c r="B1563" t="s">
        <v>449</v>
      </c>
      <c r="C1563" t="s">
        <v>392</v>
      </c>
      <c r="D1563" t="s">
        <v>50</v>
      </c>
      <c r="E1563" t="s">
        <v>393</v>
      </c>
      <c r="F1563">
        <v>12877</v>
      </c>
      <c r="G1563">
        <v>1781</v>
      </c>
      <c r="H1563">
        <v>5416</v>
      </c>
      <c r="I1563">
        <v>0</v>
      </c>
      <c r="J1563">
        <v>0</v>
      </c>
      <c r="K1563">
        <v>1188</v>
      </c>
      <c r="L1563">
        <v>4559</v>
      </c>
      <c r="M1563">
        <v>215</v>
      </c>
      <c r="N1563">
        <v>1</v>
      </c>
      <c r="O1563">
        <v>0</v>
      </c>
      <c r="P1563">
        <v>0</v>
      </c>
      <c r="Q1563">
        <v>0</v>
      </c>
      <c r="R1563">
        <v>525</v>
      </c>
      <c r="S1563">
        <v>37</v>
      </c>
      <c r="T1563">
        <v>3769</v>
      </c>
      <c r="U1563">
        <v>22</v>
      </c>
      <c r="V1563">
        <v>0</v>
      </c>
      <c r="W1563">
        <v>2861</v>
      </c>
      <c r="X1563">
        <f>NHS_AE_2024_2025[[#This Row],[A&amp;E attendances Type 1]]+
NHS_AE_2024_2025[[#This Row],[A&amp;E attendances Type 2]]+
NHS_AE_2024_2025[[#This Row],[A&amp;E attendances Other A&amp;E Department]]</f>
        <v>20074</v>
      </c>
      <c r="Y1563">
        <f t="shared" si="48"/>
        <v>4775</v>
      </c>
      <c r="Z1563">
        <f t="shared" si="49"/>
        <v>6652</v>
      </c>
    </row>
    <row r="1564" spans="1:26" x14ac:dyDescent="0.2">
      <c r="A1564" t="s">
        <v>448</v>
      </c>
      <c r="B1564" t="s">
        <v>449</v>
      </c>
      <c r="C1564" t="s">
        <v>334</v>
      </c>
      <c r="D1564" t="s">
        <v>26</v>
      </c>
      <c r="E1564" t="s">
        <v>335</v>
      </c>
      <c r="F1564">
        <v>13604</v>
      </c>
      <c r="G1564">
        <v>0</v>
      </c>
      <c r="H1564">
        <v>0</v>
      </c>
      <c r="I1564">
        <v>165</v>
      </c>
      <c r="J1564">
        <v>0</v>
      </c>
      <c r="K1564">
        <v>0</v>
      </c>
      <c r="L1564">
        <v>5355</v>
      </c>
      <c r="M1564">
        <v>0</v>
      </c>
      <c r="N1564">
        <v>0</v>
      </c>
      <c r="O1564">
        <v>51</v>
      </c>
      <c r="P1564">
        <v>0</v>
      </c>
      <c r="Q1564">
        <v>0</v>
      </c>
      <c r="R1564">
        <v>377</v>
      </c>
      <c r="S1564">
        <v>459</v>
      </c>
      <c r="T1564">
        <v>2713</v>
      </c>
      <c r="U1564">
        <v>0</v>
      </c>
      <c r="V1564">
        <v>0</v>
      </c>
      <c r="W1564">
        <v>2398</v>
      </c>
      <c r="X1564">
        <f>NHS_AE_2024_2025[[#This Row],[A&amp;E attendances Type 1]]+
NHS_AE_2024_2025[[#This Row],[A&amp;E attendances Type 2]]+
NHS_AE_2024_2025[[#This Row],[A&amp;E attendances Other A&amp;E Department]]</f>
        <v>13604</v>
      </c>
      <c r="Y1564">
        <f t="shared" si="48"/>
        <v>5355</v>
      </c>
      <c r="Z1564">
        <f t="shared" si="49"/>
        <v>5111</v>
      </c>
    </row>
    <row r="1565" spans="1:26" x14ac:dyDescent="0.2">
      <c r="A1565" t="s">
        <v>448</v>
      </c>
      <c r="B1565" t="s">
        <v>449</v>
      </c>
      <c r="C1565" t="s">
        <v>262</v>
      </c>
      <c r="D1565" t="s">
        <v>26</v>
      </c>
      <c r="E1565" t="s">
        <v>263</v>
      </c>
      <c r="F1565">
        <v>0</v>
      </c>
      <c r="G1565">
        <v>0</v>
      </c>
      <c r="H1565">
        <v>8527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126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32</v>
      </c>
      <c r="X1565">
        <f>NHS_AE_2024_2025[[#This Row],[A&amp;E attendances Type 1]]+
NHS_AE_2024_2025[[#This Row],[A&amp;E attendances Type 2]]+
NHS_AE_2024_2025[[#This Row],[A&amp;E attendances Other A&amp;E Department]]</f>
        <v>8527</v>
      </c>
      <c r="Y1565">
        <f t="shared" si="48"/>
        <v>126</v>
      </c>
      <c r="Z1565">
        <f t="shared" si="49"/>
        <v>32</v>
      </c>
    </row>
    <row r="1566" spans="1:26" x14ac:dyDescent="0.2">
      <c r="A1566" t="s">
        <v>448</v>
      </c>
      <c r="B1566" t="s">
        <v>449</v>
      </c>
      <c r="C1566" t="s">
        <v>210</v>
      </c>
      <c r="D1566" t="s">
        <v>26</v>
      </c>
      <c r="E1566" t="s">
        <v>211</v>
      </c>
      <c r="F1566">
        <v>9208</v>
      </c>
      <c r="G1566">
        <v>0</v>
      </c>
      <c r="H1566">
        <v>0</v>
      </c>
      <c r="I1566">
        <v>7</v>
      </c>
      <c r="J1566">
        <v>0</v>
      </c>
      <c r="K1566">
        <v>0</v>
      </c>
      <c r="L1566">
        <v>3568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538</v>
      </c>
      <c r="S1566">
        <v>407</v>
      </c>
      <c r="T1566">
        <v>2661</v>
      </c>
      <c r="U1566">
        <v>0</v>
      </c>
      <c r="V1566">
        <v>0</v>
      </c>
      <c r="W1566">
        <v>2225</v>
      </c>
      <c r="X1566">
        <f>NHS_AE_2024_2025[[#This Row],[A&amp;E attendances Type 1]]+
NHS_AE_2024_2025[[#This Row],[A&amp;E attendances Type 2]]+
NHS_AE_2024_2025[[#This Row],[A&amp;E attendances Other A&amp;E Department]]</f>
        <v>9208</v>
      </c>
      <c r="Y1566">
        <f t="shared" si="48"/>
        <v>3568</v>
      </c>
      <c r="Z1566">
        <f t="shared" si="49"/>
        <v>4886</v>
      </c>
    </row>
    <row r="1567" spans="1:26" x14ac:dyDescent="0.2">
      <c r="A1567" t="s">
        <v>448</v>
      </c>
      <c r="B1567" t="s">
        <v>449</v>
      </c>
      <c r="C1567" t="s">
        <v>264</v>
      </c>
      <c r="D1567" t="s">
        <v>50</v>
      </c>
      <c r="E1567" t="s">
        <v>265</v>
      </c>
      <c r="F1567">
        <v>9198</v>
      </c>
      <c r="G1567">
        <v>0</v>
      </c>
      <c r="H1567">
        <v>5279</v>
      </c>
      <c r="I1567">
        <v>0</v>
      </c>
      <c r="J1567">
        <v>0</v>
      </c>
      <c r="K1567">
        <v>0</v>
      </c>
      <c r="L1567">
        <v>5401</v>
      </c>
      <c r="M1567">
        <v>0</v>
      </c>
      <c r="N1567">
        <v>606</v>
      </c>
      <c r="O1567">
        <v>0</v>
      </c>
      <c r="P1567">
        <v>0</v>
      </c>
      <c r="Q1567">
        <v>0</v>
      </c>
      <c r="R1567">
        <v>1010</v>
      </c>
      <c r="S1567">
        <v>536</v>
      </c>
      <c r="T1567">
        <v>3486</v>
      </c>
      <c r="U1567">
        <v>0</v>
      </c>
      <c r="V1567">
        <v>0</v>
      </c>
      <c r="W1567">
        <v>2346</v>
      </c>
      <c r="X1567">
        <f>NHS_AE_2024_2025[[#This Row],[A&amp;E attendances Type 1]]+
NHS_AE_2024_2025[[#This Row],[A&amp;E attendances Type 2]]+
NHS_AE_2024_2025[[#This Row],[A&amp;E attendances Other A&amp;E Department]]</f>
        <v>14477</v>
      </c>
      <c r="Y1567">
        <f t="shared" si="48"/>
        <v>6007</v>
      </c>
      <c r="Z1567">
        <f t="shared" si="49"/>
        <v>5832</v>
      </c>
    </row>
    <row r="1568" spans="1:26" x14ac:dyDescent="0.2">
      <c r="A1568" t="s">
        <v>448</v>
      </c>
      <c r="B1568" t="s">
        <v>449</v>
      </c>
      <c r="C1568" t="s">
        <v>344</v>
      </c>
      <c r="D1568" t="s">
        <v>32</v>
      </c>
      <c r="E1568" t="s">
        <v>436</v>
      </c>
      <c r="F1568">
        <v>16558</v>
      </c>
      <c r="G1568">
        <v>0</v>
      </c>
      <c r="H1568">
        <v>3931</v>
      </c>
      <c r="I1568">
        <v>0</v>
      </c>
      <c r="J1568">
        <v>0</v>
      </c>
      <c r="K1568">
        <v>0</v>
      </c>
      <c r="L1568">
        <v>5812</v>
      </c>
      <c r="M1568">
        <v>0</v>
      </c>
      <c r="N1568">
        <v>417</v>
      </c>
      <c r="O1568">
        <v>0</v>
      </c>
      <c r="P1568">
        <v>0</v>
      </c>
      <c r="Q1568">
        <v>0</v>
      </c>
      <c r="R1568">
        <v>1074</v>
      </c>
      <c r="S1568">
        <v>573</v>
      </c>
      <c r="T1568">
        <v>4894</v>
      </c>
      <c r="U1568">
        <v>0</v>
      </c>
      <c r="V1568">
        <v>0</v>
      </c>
      <c r="W1568">
        <v>1137</v>
      </c>
      <c r="X1568">
        <f>NHS_AE_2024_2025[[#This Row],[A&amp;E attendances Type 1]]+
NHS_AE_2024_2025[[#This Row],[A&amp;E attendances Type 2]]+
NHS_AE_2024_2025[[#This Row],[A&amp;E attendances Other A&amp;E Department]]</f>
        <v>20489</v>
      </c>
      <c r="Y1568">
        <f t="shared" si="48"/>
        <v>6229</v>
      </c>
      <c r="Z1568">
        <f t="shared" si="49"/>
        <v>6031</v>
      </c>
    </row>
    <row r="1569" spans="1:26" x14ac:dyDescent="0.2">
      <c r="A1569" t="s">
        <v>448</v>
      </c>
      <c r="B1569" t="s">
        <v>449</v>
      </c>
      <c r="C1569" t="s">
        <v>172</v>
      </c>
      <c r="D1569" t="s">
        <v>37</v>
      </c>
      <c r="E1569" t="s">
        <v>173</v>
      </c>
      <c r="F1569">
        <v>8795</v>
      </c>
      <c r="G1569">
        <v>0</v>
      </c>
      <c r="H1569">
        <v>2736</v>
      </c>
      <c r="I1569">
        <v>1486</v>
      </c>
      <c r="J1569">
        <v>0</v>
      </c>
      <c r="K1569">
        <v>1857</v>
      </c>
      <c r="L1569">
        <v>4198</v>
      </c>
      <c r="M1569">
        <v>0</v>
      </c>
      <c r="N1569">
        <v>100</v>
      </c>
      <c r="O1569">
        <v>0</v>
      </c>
      <c r="P1569">
        <v>0</v>
      </c>
      <c r="Q1569">
        <v>0</v>
      </c>
      <c r="R1569">
        <v>188</v>
      </c>
      <c r="S1569">
        <v>92</v>
      </c>
      <c r="T1569">
        <v>3004</v>
      </c>
      <c r="U1569">
        <v>0</v>
      </c>
      <c r="V1569">
        <v>0</v>
      </c>
      <c r="W1569">
        <v>501</v>
      </c>
      <c r="X1569">
        <f>NHS_AE_2024_2025[[#This Row],[A&amp;E attendances Type 1]]+
NHS_AE_2024_2025[[#This Row],[A&amp;E attendances Type 2]]+
NHS_AE_2024_2025[[#This Row],[A&amp;E attendances Other A&amp;E Department]]</f>
        <v>11531</v>
      </c>
      <c r="Y1569">
        <f t="shared" si="48"/>
        <v>4298</v>
      </c>
      <c r="Z1569">
        <f t="shared" si="49"/>
        <v>3505</v>
      </c>
    </row>
    <row r="1570" spans="1:26" x14ac:dyDescent="0.2">
      <c r="A1570" t="s">
        <v>448</v>
      </c>
      <c r="B1570" t="s">
        <v>449</v>
      </c>
      <c r="C1570" t="s">
        <v>352</v>
      </c>
      <c r="D1570" t="s">
        <v>50</v>
      </c>
      <c r="E1570" t="s">
        <v>353</v>
      </c>
      <c r="F1570">
        <v>17104</v>
      </c>
      <c r="G1570">
        <v>154</v>
      </c>
      <c r="H1570">
        <v>6184</v>
      </c>
      <c r="I1570">
        <v>124</v>
      </c>
      <c r="J1570">
        <v>0</v>
      </c>
      <c r="K1570">
        <v>84</v>
      </c>
      <c r="L1570">
        <v>6472</v>
      </c>
      <c r="M1570">
        <v>0</v>
      </c>
      <c r="N1570">
        <v>508</v>
      </c>
      <c r="O1570">
        <v>3</v>
      </c>
      <c r="P1570">
        <v>0</v>
      </c>
      <c r="Q1570">
        <v>2</v>
      </c>
      <c r="R1570">
        <v>2036</v>
      </c>
      <c r="S1570">
        <v>277</v>
      </c>
      <c r="T1570">
        <v>3671</v>
      </c>
      <c r="U1570">
        <v>0</v>
      </c>
      <c r="V1570">
        <v>179</v>
      </c>
      <c r="W1570">
        <v>909</v>
      </c>
      <c r="X1570">
        <f>NHS_AE_2024_2025[[#This Row],[A&amp;E attendances Type 1]]+
NHS_AE_2024_2025[[#This Row],[A&amp;E attendances Type 2]]+
NHS_AE_2024_2025[[#This Row],[A&amp;E attendances Other A&amp;E Department]]</f>
        <v>23442</v>
      </c>
      <c r="Y1570">
        <f t="shared" si="48"/>
        <v>6980</v>
      </c>
      <c r="Z1570">
        <f t="shared" si="49"/>
        <v>4759</v>
      </c>
    </row>
    <row r="1571" spans="1:26" x14ac:dyDescent="0.2">
      <c r="A1571" t="s">
        <v>448</v>
      </c>
      <c r="B1571" t="s">
        <v>449</v>
      </c>
      <c r="C1571" t="s">
        <v>214</v>
      </c>
      <c r="D1571" t="s">
        <v>55</v>
      </c>
      <c r="E1571" t="s">
        <v>215</v>
      </c>
      <c r="F1571">
        <v>12058</v>
      </c>
      <c r="G1571">
        <v>0</v>
      </c>
      <c r="H1571">
        <v>3351</v>
      </c>
      <c r="I1571">
        <v>279</v>
      </c>
      <c r="J1571">
        <v>0</v>
      </c>
      <c r="K1571">
        <v>90</v>
      </c>
      <c r="L1571">
        <v>4668</v>
      </c>
      <c r="M1571">
        <v>0</v>
      </c>
      <c r="N1571">
        <v>164</v>
      </c>
      <c r="O1571">
        <v>47</v>
      </c>
      <c r="P1571">
        <v>0</v>
      </c>
      <c r="Q1571">
        <v>1</v>
      </c>
      <c r="R1571">
        <v>1015</v>
      </c>
      <c r="S1571">
        <v>418</v>
      </c>
      <c r="T1571">
        <v>2420</v>
      </c>
      <c r="U1571">
        <v>0</v>
      </c>
      <c r="V1571">
        <v>92</v>
      </c>
      <c r="W1571">
        <v>1119</v>
      </c>
      <c r="X1571">
        <f>NHS_AE_2024_2025[[#This Row],[A&amp;E attendances Type 1]]+
NHS_AE_2024_2025[[#This Row],[A&amp;E attendances Type 2]]+
NHS_AE_2024_2025[[#This Row],[A&amp;E attendances Other A&amp;E Department]]</f>
        <v>15409</v>
      </c>
      <c r="Y1571">
        <f t="shared" si="48"/>
        <v>4832</v>
      </c>
      <c r="Z1571">
        <f t="shared" si="49"/>
        <v>3631</v>
      </c>
    </row>
    <row r="1572" spans="1:26" x14ac:dyDescent="0.2">
      <c r="A1572" t="s">
        <v>448</v>
      </c>
      <c r="B1572" t="s">
        <v>449</v>
      </c>
      <c r="C1572" t="s">
        <v>358</v>
      </c>
      <c r="D1572" t="s">
        <v>29</v>
      </c>
      <c r="E1572" t="s">
        <v>359</v>
      </c>
      <c r="F1572">
        <v>12089</v>
      </c>
      <c r="G1572">
        <v>3928</v>
      </c>
      <c r="H1572">
        <v>7269</v>
      </c>
      <c r="I1572">
        <v>0</v>
      </c>
      <c r="J1572">
        <v>0</v>
      </c>
      <c r="K1572">
        <v>437</v>
      </c>
      <c r="L1572">
        <v>5333</v>
      </c>
      <c r="M1572">
        <v>45</v>
      </c>
      <c r="N1572">
        <v>349</v>
      </c>
      <c r="O1572">
        <v>0</v>
      </c>
      <c r="P1572">
        <v>0</v>
      </c>
      <c r="Q1572">
        <v>0</v>
      </c>
      <c r="R1572">
        <v>650</v>
      </c>
      <c r="S1572">
        <v>387</v>
      </c>
      <c r="T1572">
        <v>3707</v>
      </c>
      <c r="U1572">
        <v>1</v>
      </c>
      <c r="V1572">
        <v>0</v>
      </c>
      <c r="W1572">
        <v>1110</v>
      </c>
      <c r="X1572">
        <f>NHS_AE_2024_2025[[#This Row],[A&amp;E attendances Type 1]]+
NHS_AE_2024_2025[[#This Row],[A&amp;E attendances Type 2]]+
NHS_AE_2024_2025[[#This Row],[A&amp;E attendances Other A&amp;E Department]]</f>
        <v>23286</v>
      </c>
      <c r="Y1572">
        <f t="shared" si="48"/>
        <v>5727</v>
      </c>
      <c r="Z1572">
        <f t="shared" si="49"/>
        <v>4818</v>
      </c>
    </row>
    <row r="1573" spans="1:26" x14ac:dyDescent="0.2">
      <c r="A1573" t="s">
        <v>448</v>
      </c>
      <c r="B1573" t="s">
        <v>449</v>
      </c>
      <c r="C1573" t="s">
        <v>182</v>
      </c>
      <c r="D1573" t="s">
        <v>29</v>
      </c>
      <c r="E1573" t="s">
        <v>183</v>
      </c>
      <c r="F1573">
        <v>0</v>
      </c>
      <c r="G1573">
        <v>0</v>
      </c>
      <c r="H1573">
        <v>12768</v>
      </c>
      <c r="I1573">
        <v>0</v>
      </c>
      <c r="J1573">
        <v>0</v>
      </c>
      <c r="K1573">
        <v>581</v>
      </c>
      <c r="L1573">
        <v>0</v>
      </c>
      <c r="M1573">
        <v>0</v>
      </c>
      <c r="N1573">
        <v>404</v>
      </c>
      <c r="O1573">
        <v>0</v>
      </c>
      <c r="P1573">
        <v>0</v>
      </c>
      <c r="Q1573">
        <v>12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f>NHS_AE_2024_2025[[#This Row],[A&amp;E attendances Type 1]]+
NHS_AE_2024_2025[[#This Row],[A&amp;E attendances Type 2]]+
NHS_AE_2024_2025[[#This Row],[A&amp;E attendances Other A&amp;E Department]]</f>
        <v>12768</v>
      </c>
      <c r="Y1573">
        <f t="shared" si="48"/>
        <v>404</v>
      </c>
      <c r="Z1573">
        <f t="shared" si="49"/>
        <v>0</v>
      </c>
    </row>
    <row r="1574" spans="1:26" x14ac:dyDescent="0.2">
      <c r="A1574" t="s">
        <v>448</v>
      </c>
      <c r="B1574" t="s">
        <v>449</v>
      </c>
      <c r="C1574" t="s">
        <v>286</v>
      </c>
      <c r="D1574" t="s">
        <v>37</v>
      </c>
      <c r="E1574" t="s">
        <v>287</v>
      </c>
      <c r="F1574">
        <v>4266</v>
      </c>
      <c r="G1574">
        <v>329</v>
      </c>
      <c r="H1574">
        <v>1425</v>
      </c>
      <c r="I1574">
        <v>24</v>
      </c>
      <c r="J1574">
        <v>0</v>
      </c>
      <c r="K1574">
        <v>13</v>
      </c>
      <c r="L1574">
        <v>1979</v>
      </c>
      <c r="M1574">
        <v>0</v>
      </c>
      <c r="N1574">
        <v>0</v>
      </c>
      <c r="O1574">
        <v>4</v>
      </c>
      <c r="P1574">
        <v>0</v>
      </c>
      <c r="Q1574">
        <v>0</v>
      </c>
      <c r="R1574">
        <v>302</v>
      </c>
      <c r="S1574">
        <v>186</v>
      </c>
      <c r="T1574">
        <v>1287</v>
      </c>
      <c r="U1574">
        <v>0</v>
      </c>
      <c r="V1574">
        <v>0</v>
      </c>
      <c r="W1574">
        <v>88</v>
      </c>
      <c r="X1574">
        <f>NHS_AE_2024_2025[[#This Row],[A&amp;E attendances Type 1]]+
NHS_AE_2024_2025[[#This Row],[A&amp;E attendances Type 2]]+
NHS_AE_2024_2025[[#This Row],[A&amp;E attendances Other A&amp;E Department]]</f>
        <v>6020</v>
      </c>
      <c r="Y1574">
        <f t="shared" si="48"/>
        <v>1979</v>
      </c>
      <c r="Z1574">
        <f t="shared" si="49"/>
        <v>1375</v>
      </c>
    </row>
    <row r="1575" spans="1:26" x14ac:dyDescent="0.2">
      <c r="A1575" t="s">
        <v>448</v>
      </c>
      <c r="B1575" t="s">
        <v>449</v>
      </c>
      <c r="C1575" t="s">
        <v>224</v>
      </c>
      <c r="D1575" t="s">
        <v>29</v>
      </c>
      <c r="E1575" t="s">
        <v>225</v>
      </c>
      <c r="F1575">
        <v>25830</v>
      </c>
      <c r="G1575">
        <v>973</v>
      </c>
      <c r="H1575">
        <v>18069</v>
      </c>
      <c r="I1575">
        <v>0</v>
      </c>
      <c r="J1575">
        <v>0</v>
      </c>
      <c r="K1575">
        <v>0</v>
      </c>
      <c r="L1575">
        <v>11735</v>
      </c>
      <c r="M1575">
        <v>53</v>
      </c>
      <c r="N1575">
        <v>1279</v>
      </c>
      <c r="O1575">
        <v>0</v>
      </c>
      <c r="P1575">
        <v>0</v>
      </c>
      <c r="Q1575">
        <v>0</v>
      </c>
      <c r="R1575">
        <v>1242</v>
      </c>
      <c r="S1575">
        <v>990</v>
      </c>
      <c r="T1575">
        <v>4556</v>
      </c>
      <c r="U1575">
        <v>0</v>
      </c>
      <c r="V1575">
        <v>46</v>
      </c>
      <c r="W1575">
        <v>1117</v>
      </c>
      <c r="X1575">
        <f>NHS_AE_2024_2025[[#This Row],[A&amp;E attendances Type 1]]+
NHS_AE_2024_2025[[#This Row],[A&amp;E attendances Type 2]]+
NHS_AE_2024_2025[[#This Row],[A&amp;E attendances Other A&amp;E Department]]</f>
        <v>44872</v>
      </c>
      <c r="Y1575">
        <f t="shared" si="48"/>
        <v>13067</v>
      </c>
      <c r="Z1575">
        <f t="shared" si="49"/>
        <v>5719</v>
      </c>
    </row>
    <row r="1576" spans="1:26" x14ac:dyDescent="0.2">
      <c r="A1576" t="s">
        <v>448</v>
      </c>
      <c r="B1576" t="s">
        <v>449</v>
      </c>
      <c r="C1576" t="s">
        <v>398</v>
      </c>
      <c r="D1576" t="s">
        <v>55</v>
      </c>
      <c r="E1576" t="s">
        <v>399</v>
      </c>
      <c r="F1576">
        <v>7845</v>
      </c>
      <c r="G1576">
        <v>0</v>
      </c>
      <c r="H1576">
        <v>3322</v>
      </c>
      <c r="I1576">
        <v>0</v>
      </c>
      <c r="J1576">
        <v>0</v>
      </c>
      <c r="K1576">
        <v>188</v>
      </c>
      <c r="L1576">
        <v>4141</v>
      </c>
      <c r="M1576">
        <v>0</v>
      </c>
      <c r="N1576">
        <v>149</v>
      </c>
      <c r="O1576">
        <v>0</v>
      </c>
      <c r="P1576">
        <v>0</v>
      </c>
      <c r="Q1576">
        <v>9</v>
      </c>
      <c r="R1576">
        <v>412</v>
      </c>
      <c r="S1576">
        <v>893</v>
      </c>
      <c r="T1576">
        <v>2155</v>
      </c>
      <c r="U1576">
        <v>0</v>
      </c>
      <c r="V1576">
        <v>0</v>
      </c>
      <c r="W1576">
        <v>1605</v>
      </c>
      <c r="X1576">
        <f>NHS_AE_2024_2025[[#This Row],[A&amp;E attendances Type 1]]+
NHS_AE_2024_2025[[#This Row],[A&amp;E attendances Type 2]]+
NHS_AE_2024_2025[[#This Row],[A&amp;E attendances Other A&amp;E Department]]</f>
        <v>11167</v>
      </c>
      <c r="Y1576">
        <f t="shared" si="48"/>
        <v>4290</v>
      </c>
      <c r="Z1576">
        <f t="shared" si="49"/>
        <v>3760</v>
      </c>
    </row>
    <row r="1577" spans="1:26" x14ac:dyDescent="0.2">
      <c r="A1577" t="s">
        <v>448</v>
      </c>
      <c r="B1577" t="s">
        <v>449</v>
      </c>
      <c r="C1577" t="s">
        <v>380</v>
      </c>
      <c r="D1577" t="s">
        <v>55</v>
      </c>
      <c r="E1577" t="s">
        <v>381</v>
      </c>
      <c r="F1577">
        <v>17832</v>
      </c>
      <c r="G1577">
        <v>0</v>
      </c>
      <c r="H1577">
        <v>7558</v>
      </c>
      <c r="I1577">
        <v>478</v>
      </c>
      <c r="J1577">
        <v>0</v>
      </c>
      <c r="K1577">
        <v>0</v>
      </c>
      <c r="L1577">
        <v>6436</v>
      </c>
      <c r="M1577">
        <v>0</v>
      </c>
      <c r="N1577">
        <v>147</v>
      </c>
      <c r="O1577">
        <v>70</v>
      </c>
      <c r="P1577">
        <v>0</v>
      </c>
      <c r="Q1577">
        <v>0</v>
      </c>
      <c r="R1577">
        <v>652</v>
      </c>
      <c r="S1577">
        <v>363</v>
      </c>
      <c r="T1577">
        <v>8282</v>
      </c>
      <c r="U1577">
        <v>0</v>
      </c>
      <c r="V1577">
        <v>0</v>
      </c>
      <c r="W1577">
        <v>679</v>
      </c>
      <c r="X1577">
        <f>NHS_AE_2024_2025[[#This Row],[A&amp;E attendances Type 1]]+
NHS_AE_2024_2025[[#This Row],[A&amp;E attendances Type 2]]+
NHS_AE_2024_2025[[#This Row],[A&amp;E attendances Other A&amp;E Department]]</f>
        <v>25390</v>
      </c>
      <c r="Y1577">
        <f t="shared" si="48"/>
        <v>6583</v>
      </c>
      <c r="Z1577">
        <f t="shared" si="49"/>
        <v>8961</v>
      </c>
    </row>
    <row r="1578" spans="1:26" x14ac:dyDescent="0.2">
      <c r="A1578" t="s">
        <v>448</v>
      </c>
      <c r="B1578" t="s">
        <v>449</v>
      </c>
      <c r="C1578" t="s">
        <v>192</v>
      </c>
      <c r="D1578" t="s">
        <v>55</v>
      </c>
      <c r="E1578" t="s">
        <v>193</v>
      </c>
      <c r="F1578">
        <v>6446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1301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4</v>
      </c>
      <c r="S1578">
        <v>0</v>
      </c>
      <c r="T1578">
        <v>831</v>
      </c>
      <c r="U1578">
        <v>0</v>
      </c>
      <c r="V1578">
        <v>0</v>
      </c>
      <c r="W1578">
        <v>297</v>
      </c>
      <c r="X1578">
        <f>NHS_AE_2024_2025[[#This Row],[A&amp;E attendances Type 1]]+
NHS_AE_2024_2025[[#This Row],[A&amp;E attendances Type 2]]+
NHS_AE_2024_2025[[#This Row],[A&amp;E attendances Other A&amp;E Department]]</f>
        <v>6446</v>
      </c>
      <c r="Y1578">
        <f t="shared" si="48"/>
        <v>1301</v>
      </c>
      <c r="Z1578">
        <f t="shared" si="49"/>
        <v>1128</v>
      </c>
    </row>
    <row r="1579" spans="1:26" x14ac:dyDescent="0.2">
      <c r="A1579" t="s">
        <v>448</v>
      </c>
      <c r="B1579" t="s">
        <v>449</v>
      </c>
      <c r="C1579" t="s">
        <v>362</v>
      </c>
      <c r="D1579" t="s">
        <v>26</v>
      </c>
      <c r="E1579" t="s">
        <v>363</v>
      </c>
      <c r="F1579">
        <v>8762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3632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829</v>
      </c>
      <c r="S1579">
        <v>163</v>
      </c>
      <c r="T1579">
        <v>2580</v>
      </c>
      <c r="U1579">
        <v>0</v>
      </c>
      <c r="V1579">
        <v>3</v>
      </c>
      <c r="W1579">
        <v>1844</v>
      </c>
      <c r="X1579">
        <f>NHS_AE_2024_2025[[#This Row],[A&amp;E attendances Type 1]]+
NHS_AE_2024_2025[[#This Row],[A&amp;E attendances Type 2]]+
NHS_AE_2024_2025[[#This Row],[A&amp;E attendances Other A&amp;E Department]]</f>
        <v>8762</v>
      </c>
      <c r="Y1579">
        <f t="shared" si="48"/>
        <v>3632</v>
      </c>
      <c r="Z1579">
        <f t="shared" si="49"/>
        <v>4427</v>
      </c>
    </row>
    <row r="1580" spans="1:26" x14ac:dyDescent="0.2">
      <c r="A1580" t="s">
        <v>448</v>
      </c>
      <c r="B1580" t="s">
        <v>449</v>
      </c>
      <c r="C1580" t="s">
        <v>364</v>
      </c>
      <c r="D1580" t="s">
        <v>37</v>
      </c>
      <c r="E1580" t="s">
        <v>365</v>
      </c>
      <c r="F1580">
        <v>0</v>
      </c>
      <c r="G1580">
        <v>0</v>
      </c>
      <c r="H1580">
        <v>12570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121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f>NHS_AE_2024_2025[[#This Row],[A&amp;E attendances Type 1]]+
NHS_AE_2024_2025[[#This Row],[A&amp;E attendances Type 2]]+
NHS_AE_2024_2025[[#This Row],[A&amp;E attendances Other A&amp;E Department]]</f>
        <v>12570</v>
      </c>
      <c r="Y1580">
        <f t="shared" si="48"/>
        <v>121</v>
      </c>
      <c r="Z1580">
        <f t="shared" si="49"/>
        <v>0</v>
      </c>
    </row>
    <row r="1581" spans="1:26" x14ac:dyDescent="0.2">
      <c r="A1581" t="s">
        <v>448</v>
      </c>
      <c r="B1581" t="s">
        <v>449</v>
      </c>
      <c r="C1581" t="s">
        <v>366</v>
      </c>
      <c r="D1581" t="s">
        <v>29</v>
      </c>
      <c r="E1581" t="s">
        <v>367</v>
      </c>
      <c r="F1581">
        <v>13687</v>
      </c>
      <c r="G1581">
        <v>2482</v>
      </c>
      <c r="H1581">
        <v>15017</v>
      </c>
      <c r="I1581">
        <v>0</v>
      </c>
      <c r="J1581">
        <v>0</v>
      </c>
      <c r="K1581">
        <v>0</v>
      </c>
      <c r="L1581">
        <v>6204</v>
      </c>
      <c r="M1581">
        <v>385</v>
      </c>
      <c r="N1581">
        <v>151</v>
      </c>
      <c r="O1581">
        <v>0</v>
      </c>
      <c r="P1581">
        <v>0</v>
      </c>
      <c r="Q1581">
        <v>0</v>
      </c>
      <c r="R1581">
        <v>695</v>
      </c>
      <c r="S1581">
        <v>928</v>
      </c>
      <c r="T1581">
        <v>8016</v>
      </c>
      <c r="U1581">
        <v>0</v>
      </c>
      <c r="V1581">
        <v>0</v>
      </c>
      <c r="W1581">
        <v>415</v>
      </c>
      <c r="X1581">
        <f>NHS_AE_2024_2025[[#This Row],[A&amp;E attendances Type 1]]+
NHS_AE_2024_2025[[#This Row],[A&amp;E attendances Type 2]]+
NHS_AE_2024_2025[[#This Row],[A&amp;E attendances Other A&amp;E Department]]</f>
        <v>31186</v>
      </c>
      <c r="Y1581">
        <f t="shared" si="48"/>
        <v>6740</v>
      </c>
      <c r="Z1581">
        <f t="shared" si="49"/>
        <v>8431</v>
      </c>
    </row>
    <row r="1582" spans="1:26" x14ac:dyDescent="0.2">
      <c r="A1582" t="s">
        <v>448</v>
      </c>
      <c r="B1582" t="s">
        <v>449</v>
      </c>
      <c r="C1582" t="s">
        <v>404</v>
      </c>
      <c r="D1582" t="s">
        <v>26</v>
      </c>
      <c r="E1582" t="s">
        <v>405</v>
      </c>
      <c r="F1582">
        <v>12632</v>
      </c>
      <c r="G1582">
        <v>0</v>
      </c>
      <c r="H1582">
        <v>4261</v>
      </c>
      <c r="I1582">
        <v>1327</v>
      </c>
      <c r="J1582">
        <v>0</v>
      </c>
      <c r="K1582">
        <v>72</v>
      </c>
      <c r="L1582">
        <v>5510</v>
      </c>
      <c r="M1582">
        <v>0</v>
      </c>
      <c r="N1582">
        <v>23</v>
      </c>
      <c r="O1582">
        <v>540</v>
      </c>
      <c r="P1582">
        <v>0</v>
      </c>
      <c r="Q1582">
        <v>2</v>
      </c>
      <c r="R1582">
        <v>1473</v>
      </c>
      <c r="S1582">
        <v>215</v>
      </c>
      <c r="T1582">
        <v>3437</v>
      </c>
      <c r="U1582">
        <v>0</v>
      </c>
      <c r="V1582">
        <v>0</v>
      </c>
      <c r="W1582">
        <v>1943</v>
      </c>
      <c r="X1582">
        <f>NHS_AE_2024_2025[[#This Row],[A&amp;E attendances Type 1]]+
NHS_AE_2024_2025[[#This Row],[A&amp;E attendances Type 2]]+
NHS_AE_2024_2025[[#This Row],[A&amp;E attendances Other A&amp;E Department]]</f>
        <v>16893</v>
      </c>
      <c r="Y1582">
        <f t="shared" si="48"/>
        <v>5533</v>
      </c>
      <c r="Z1582">
        <f t="shared" si="49"/>
        <v>5380</v>
      </c>
    </row>
    <row r="1583" spans="1:26" x14ac:dyDescent="0.2">
      <c r="A1583" t="s">
        <v>448</v>
      </c>
      <c r="B1583" t="s">
        <v>449</v>
      </c>
      <c r="C1583" t="s">
        <v>420</v>
      </c>
      <c r="D1583" t="s">
        <v>37</v>
      </c>
      <c r="E1583" t="s">
        <v>421</v>
      </c>
      <c r="F1583">
        <v>11155</v>
      </c>
      <c r="G1583">
        <v>838</v>
      </c>
      <c r="H1583">
        <v>3281</v>
      </c>
      <c r="I1583">
        <v>1309</v>
      </c>
      <c r="J1583">
        <v>0</v>
      </c>
      <c r="K1583">
        <v>816</v>
      </c>
      <c r="L1583">
        <v>4645</v>
      </c>
      <c r="M1583">
        <v>13</v>
      </c>
      <c r="N1583">
        <v>71</v>
      </c>
      <c r="O1583">
        <v>485</v>
      </c>
      <c r="P1583">
        <v>0</v>
      </c>
      <c r="Q1583">
        <v>10</v>
      </c>
      <c r="R1583">
        <v>1316</v>
      </c>
      <c r="S1583">
        <v>348</v>
      </c>
      <c r="T1583">
        <v>3172</v>
      </c>
      <c r="U1583">
        <v>0</v>
      </c>
      <c r="V1583">
        <v>0</v>
      </c>
      <c r="W1583">
        <v>2611</v>
      </c>
      <c r="X1583">
        <f>NHS_AE_2024_2025[[#This Row],[A&amp;E attendances Type 1]]+
NHS_AE_2024_2025[[#This Row],[A&amp;E attendances Type 2]]+
NHS_AE_2024_2025[[#This Row],[A&amp;E attendances Other A&amp;E Department]]</f>
        <v>15274</v>
      </c>
      <c r="Y1583">
        <f t="shared" si="48"/>
        <v>4729</v>
      </c>
      <c r="Z1583">
        <f t="shared" si="49"/>
        <v>5783</v>
      </c>
    </row>
    <row r="1584" spans="1:26" x14ac:dyDescent="0.2">
      <c r="A1584" t="s">
        <v>448</v>
      </c>
      <c r="B1584" t="s">
        <v>449</v>
      </c>
      <c r="C1584" t="s">
        <v>324</v>
      </c>
      <c r="D1584" t="s">
        <v>37</v>
      </c>
      <c r="E1584" t="s">
        <v>325</v>
      </c>
      <c r="F1584">
        <v>9157</v>
      </c>
      <c r="G1584">
        <v>0</v>
      </c>
      <c r="H1584">
        <v>6942</v>
      </c>
      <c r="I1584">
        <v>262</v>
      </c>
      <c r="J1584">
        <v>0</v>
      </c>
      <c r="K1584">
        <v>1214</v>
      </c>
      <c r="L1584">
        <v>3152</v>
      </c>
      <c r="M1584">
        <v>0</v>
      </c>
      <c r="N1584">
        <v>747</v>
      </c>
      <c r="O1584">
        <v>68</v>
      </c>
      <c r="P1584">
        <v>0</v>
      </c>
      <c r="Q1584">
        <v>0</v>
      </c>
      <c r="R1584">
        <v>351</v>
      </c>
      <c r="S1584">
        <v>688</v>
      </c>
      <c r="T1584">
        <v>1903</v>
      </c>
      <c r="U1584">
        <v>0</v>
      </c>
      <c r="V1584">
        <v>0</v>
      </c>
      <c r="W1584">
        <v>493</v>
      </c>
      <c r="X1584">
        <f>NHS_AE_2024_2025[[#This Row],[A&amp;E attendances Type 1]]+
NHS_AE_2024_2025[[#This Row],[A&amp;E attendances Type 2]]+
NHS_AE_2024_2025[[#This Row],[A&amp;E attendances Other A&amp;E Department]]</f>
        <v>16099</v>
      </c>
      <c r="Y1584">
        <f t="shared" si="48"/>
        <v>3899</v>
      </c>
      <c r="Z1584">
        <f t="shared" si="49"/>
        <v>2396</v>
      </c>
    </row>
    <row r="1585" spans="1:26" x14ac:dyDescent="0.2">
      <c r="A1585" t="s">
        <v>448</v>
      </c>
      <c r="B1585" t="s">
        <v>449</v>
      </c>
      <c r="C1585" t="s">
        <v>332</v>
      </c>
      <c r="D1585" t="s">
        <v>55</v>
      </c>
      <c r="E1585" t="s">
        <v>333</v>
      </c>
      <c r="F1585">
        <v>6924</v>
      </c>
      <c r="G1585">
        <v>0</v>
      </c>
      <c r="H1585">
        <v>5866</v>
      </c>
      <c r="I1585">
        <v>0</v>
      </c>
      <c r="J1585">
        <v>0</v>
      </c>
      <c r="K1585">
        <v>0</v>
      </c>
      <c r="L1585">
        <v>3509</v>
      </c>
      <c r="M1585">
        <v>0</v>
      </c>
      <c r="N1585">
        <v>109</v>
      </c>
      <c r="O1585">
        <v>0</v>
      </c>
      <c r="P1585">
        <v>0</v>
      </c>
      <c r="Q1585">
        <v>0</v>
      </c>
      <c r="R1585">
        <v>1146</v>
      </c>
      <c r="S1585">
        <v>475</v>
      </c>
      <c r="T1585">
        <v>2391</v>
      </c>
      <c r="U1585">
        <v>0</v>
      </c>
      <c r="V1585">
        <v>0</v>
      </c>
      <c r="W1585">
        <v>661</v>
      </c>
      <c r="X1585">
        <f>NHS_AE_2024_2025[[#This Row],[A&amp;E attendances Type 1]]+
NHS_AE_2024_2025[[#This Row],[A&amp;E attendances Type 2]]+
NHS_AE_2024_2025[[#This Row],[A&amp;E attendances Other A&amp;E Department]]</f>
        <v>12790</v>
      </c>
      <c r="Y1585">
        <f t="shared" si="48"/>
        <v>3618</v>
      </c>
      <c r="Z1585">
        <f t="shared" si="49"/>
        <v>3052</v>
      </c>
    </row>
    <row r="1586" spans="1:26" x14ac:dyDescent="0.2">
      <c r="A1586" t="s">
        <v>448</v>
      </c>
      <c r="B1586" t="s">
        <v>449</v>
      </c>
      <c r="C1586" t="s">
        <v>340</v>
      </c>
      <c r="D1586" t="s">
        <v>29</v>
      </c>
      <c r="E1586" t="s">
        <v>341</v>
      </c>
      <c r="F1586">
        <v>11405</v>
      </c>
      <c r="G1586">
        <v>328</v>
      </c>
      <c r="H1586">
        <v>1497</v>
      </c>
      <c r="I1586">
        <v>455</v>
      </c>
      <c r="J1586">
        <v>0</v>
      </c>
      <c r="K1586">
        <v>33</v>
      </c>
      <c r="L1586">
        <v>3371</v>
      </c>
      <c r="M1586">
        <v>0</v>
      </c>
      <c r="N1586">
        <v>108</v>
      </c>
      <c r="O1586">
        <v>69</v>
      </c>
      <c r="P1586">
        <v>0</v>
      </c>
      <c r="Q1586">
        <v>1</v>
      </c>
      <c r="R1586">
        <v>253</v>
      </c>
      <c r="S1586">
        <v>706</v>
      </c>
      <c r="T1586">
        <v>1911</v>
      </c>
      <c r="U1586">
        <v>3</v>
      </c>
      <c r="V1586">
        <v>0</v>
      </c>
      <c r="W1586">
        <v>188</v>
      </c>
      <c r="X1586">
        <f>NHS_AE_2024_2025[[#This Row],[A&amp;E attendances Type 1]]+
NHS_AE_2024_2025[[#This Row],[A&amp;E attendances Type 2]]+
NHS_AE_2024_2025[[#This Row],[A&amp;E attendances Other A&amp;E Department]]</f>
        <v>13230</v>
      </c>
      <c r="Y1586">
        <f t="shared" si="48"/>
        <v>3479</v>
      </c>
      <c r="Z1586">
        <f t="shared" si="49"/>
        <v>2102</v>
      </c>
    </row>
    <row r="1587" spans="1:26" x14ac:dyDescent="0.2">
      <c r="A1587" t="s">
        <v>448</v>
      </c>
      <c r="B1587" t="s">
        <v>449</v>
      </c>
      <c r="C1587" t="s">
        <v>348</v>
      </c>
      <c r="D1587" t="s">
        <v>55</v>
      </c>
      <c r="E1587" t="s">
        <v>349</v>
      </c>
      <c r="F1587">
        <v>8213</v>
      </c>
      <c r="G1587">
        <v>0</v>
      </c>
      <c r="H1587">
        <v>1240</v>
      </c>
      <c r="I1587">
        <v>314</v>
      </c>
      <c r="J1587">
        <v>0</v>
      </c>
      <c r="K1587">
        <v>1334</v>
      </c>
      <c r="L1587">
        <v>3239</v>
      </c>
      <c r="M1587">
        <v>0</v>
      </c>
      <c r="N1587">
        <v>81</v>
      </c>
      <c r="O1587">
        <v>119</v>
      </c>
      <c r="P1587">
        <v>0</v>
      </c>
      <c r="Q1587">
        <v>4</v>
      </c>
      <c r="R1587">
        <v>801</v>
      </c>
      <c r="S1587">
        <v>292</v>
      </c>
      <c r="T1587">
        <v>2843</v>
      </c>
      <c r="U1587">
        <v>0</v>
      </c>
      <c r="V1587">
        <v>82</v>
      </c>
      <c r="W1587">
        <v>956</v>
      </c>
      <c r="X1587">
        <f>NHS_AE_2024_2025[[#This Row],[A&amp;E attendances Type 1]]+
NHS_AE_2024_2025[[#This Row],[A&amp;E attendances Type 2]]+
NHS_AE_2024_2025[[#This Row],[A&amp;E attendances Other A&amp;E Department]]</f>
        <v>9453</v>
      </c>
      <c r="Y1587">
        <f t="shared" si="48"/>
        <v>3320</v>
      </c>
      <c r="Z1587">
        <f t="shared" si="49"/>
        <v>3881</v>
      </c>
    </row>
    <row r="1588" spans="1:26" x14ac:dyDescent="0.2">
      <c r="A1588" t="s">
        <v>448</v>
      </c>
      <c r="B1588" t="s">
        <v>449</v>
      </c>
      <c r="C1588" t="s">
        <v>378</v>
      </c>
      <c r="D1588" t="s">
        <v>37</v>
      </c>
      <c r="E1588" t="s">
        <v>379</v>
      </c>
      <c r="F1588">
        <v>0</v>
      </c>
      <c r="G1588">
        <v>0</v>
      </c>
      <c r="H1588">
        <v>1479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8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19</v>
      </c>
      <c r="W1588">
        <v>0</v>
      </c>
      <c r="X1588">
        <f>NHS_AE_2024_2025[[#This Row],[A&amp;E attendances Type 1]]+
NHS_AE_2024_2025[[#This Row],[A&amp;E attendances Type 2]]+
NHS_AE_2024_2025[[#This Row],[A&amp;E attendances Other A&amp;E Department]]</f>
        <v>1479</v>
      </c>
      <c r="Y1588">
        <f t="shared" si="48"/>
        <v>8</v>
      </c>
      <c r="Z1588">
        <f t="shared" si="49"/>
        <v>19</v>
      </c>
    </row>
    <row r="1589" spans="1:26" x14ac:dyDescent="0.2">
      <c r="A1589" t="s">
        <v>448</v>
      </c>
      <c r="B1589" t="s">
        <v>449</v>
      </c>
      <c r="C1589" t="s">
        <v>396</v>
      </c>
      <c r="D1589" t="s">
        <v>29</v>
      </c>
      <c r="E1589" t="s">
        <v>397</v>
      </c>
      <c r="F1589">
        <v>6236</v>
      </c>
      <c r="G1589">
        <v>0</v>
      </c>
      <c r="H1589">
        <v>6892</v>
      </c>
      <c r="I1589">
        <v>0</v>
      </c>
      <c r="J1589">
        <v>0</v>
      </c>
      <c r="K1589">
        <v>0</v>
      </c>
      <c r="L1589">
        <v>3123</v>
      </c>
      <c r="M1589">
        <v>0</v>
      </c>
      <c r="N1589">
        <v>56</v>
      </c>
      <c r="O1589">
        <v>0</v>
      </c>
      <c r="P1589">
        <v>0</v>
      </c>
      <c r="Q1589">
        <v>0</v>
      </c>
      <c r="R1589">
        <v>766</v>
      </c>
      <c r="S1589">
        <v>69</v>
      </c>
      <c r="T1589">
        <v>1883</v>
      </c>
      <c r="U1589">
        <v>0</v>
      </c>
      <c r="V1589">
        <v>0</v>
      </c>
      <c r="W1589">
        <v>57</v>
      </c>
      <c r="X1589">
        <f>NHS_AE_2024_2025[[#This Row],[A&amp;E attendances Type 1]]+
NHS_AE_2024_2025[[#This Row],[A&amp;E attendances Type 2]]+
NHS_AE_2024_2025[[#This Row],[A&amp;E attendances Other A&amp;E Department]]</f>
        <v>13128</v>
      </c>
      <c r="Y1589">
        <f t="shared" si="48"/>
        <v>3179</v>
      </c>
      <c r="Z1589">
        <f t="shared" si="49"/>
        <v>1940</v>
      </c>
    </row>
    <row r="1590" spans="1:26" x14ac:dyDescent="0.2">
      <c r="A1590" t="s">
        <v>448</v>
      </c>
      <c r="B1590" t="s">
        <v>449</v>
      </c>
      <c r="C1590" t="s">
        <v>302</v>
      </c>
      <c r="D1590" t="s">
        <v>29</v>
      </c>
      <c r="E1590" t="s">
        <v>303</v>
      </c>
      <c r="F1590">
        <v>10247</v>
      </c>
      <c r="G1590">
        <v>727</v>
      </c>
      <c r="H1590">
        <v>7130</v>
      </c>
      <c r="I1590">
        <v>0</v>
      </c>
      <c r="J1590">
        <v>0</v>
      </c>
      <c r="K1590">
        <v>0</v>
      </c>
      <c r="L1590">
        <v>3568</v>
      </c>
      <c r="M1590">
        <v>12</v>
      </c>
      <c r="N1590">
        <v>199</v>
      </c>
      <c r="O1590">
        <v>0</v>
      </c>
      <c r="P1590">
        <v>0</v>
      </c>
      <c r="Q1590">
        <v>0</v>
      </c>
      <c r="R1590">
        <v>119</v>
      </c>
      <c r="S1590">
        <v>71</v>
      </c>
      <c r="T1590">
        <v>2054</v>
      </c>
      <c r="U1590">
        <v>0</v>
      </c>
      <c r="V1590">
        <v>0</v>
      </c>
      <c r="W1590">
        <v>220</v>
      </c>
      <c r="X1590">
        <f>NHS_AE_2024_2025[[#This Row],[A&amp;E attendances Type 1]]+
NHS_AE_2024_2025[[#This Row],[A&amp;E attendances Type 2]]+
NHS_AE_2024_2025[[#This Row],[A&amp;E attendances Other A&amp;E Department]]</f>
        <v>18104</v>
      </c>
      <c r="Y1590">
        <f t="shared" si="48"/>
        <v>3779</v>
      </c>
      <c r="Z1590">
        <f t="shared" si="49"/>
        <v>2274</v>
      </c>
    </row>
    <row r="1591" spans="1:26" x14ac:dyDescent="0.2">
      <c r="A1591" t="s">
        <v>448</v>
      </c>
      <c r="B1591" t="s">
        <v>431</v>
      </c>
      <c r="C1591" t="s">
        <v>431</v>
      </c>
      <c r="D1591" t="s">
        <v>431</v>
      </c>
      <c r="E1591" t="s">
        <v>431</v>
      </c>
      <c r="F1591">
        <v>1418235</v>
      </c>
      <c r="G1591">
        <v>50646</v>
      </c>
      <c r="H1591">
        <v>830779</v>
      </c>
      <c r="I1591">
        <v>32451</v>
      </c>
      <c r="J1591">
        <v>591</v>
      </c>
      <c r="K1591">
        <v>56362</v>
      </c>
      <c r="L1591">
        <v>558656</v>
      </c>
      <c r="M1591">
        <v>2283</v>
      </c>
      <c r="N1591">
        <v>27899</v>
      </c>
      <c r="O1591">
        <v>8339</v>
      </c>
      <c r="P1591">
        <v>25</v>
      </c>
      <c r="Q1591">
        <v>546</v>
      </c>
      <c r="R1591">
        <v>87191</v>
      </c>
      <c r="S1591">
        <v>46766</v>
      </c>
      <c r="T1591">
        <v>404354</v>
      </c>
      <c r="U1591">
        <v>1366</v>
      </c>
      <c r="V1591">
        <v>4569</v>
      </c>
      <c r="W1591">
        <v>140840</v>
      </c>
      <c r="X1591">
        <f>NHS_AE_2024_2025[[#This Row],[A&amp;E attendances Type 1]]+
NHS_AE_2024_2025[[#This Row],[A&amp;E attendances Type 2]]+
NHS_AE_2024_2025[[#This Row],[A&amp;E attendances Other A&amp;E Department]]</f>
        <v>2299660</v>
      </c>
      <c r="Y1591">
        <f t="shared" si="48"/>
        <v>588838</v>
      </c>
      <c r="Z1591">
        <f t="shared" si="49"/>
        <v>551129</v>
      </c>
    </row>
    <row r="1592" spans="1:26" x14ac:dyDescent="0.2">
      <c r="A1592" t="s">
        <v>452</v>
      </c>
      <c r="B1592" t="s">
        <v>453</v>
      </c>
      <c r="C1592" t="s">
        <v>25</v>
      </c>
      <c r="D1592" t="s">
        <v>26</v>
      </c>
      <c r="E1592" t="s">
        <v>27</v>
      </c>
      <c r="F1592">
        <v>0</v>
      </c>
      <c r="G1592">
        <v>0</v>
      </c>
      <c r="H1592">
        <v>620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f>NHS_AE_2024_2025[[#This Row],[A&amp;E attendances Type 1]]+
NHS_AE_2024_2025[[#This Row],[A&amp;E attendances Type 2]]+
NHS_AE_2024_2025[[#This Row],[A&amp;E attendances Other A&amp;E Department]]</f>
        <v>620</v>
      </c>
      <c r="Y1592">
        <f t="shared" si="48"/>
        <v>0</v>
      </c>
      <c r="Z1592">
        <f t="shared" si="49"/>
        <v>0</v>
      </c>
    </row>
    <row r="1593" spans="1:26" x14ac:dyDescent="0.2">
      <c r="A1593" t="s">
        <v>452</v>
      </c>
      <c r="B1593" t="s">
        <v>453</v>
      </c>
      <c r="C1593" t="s">
        <v>78</v>
      </c>
      <c r="D1593" t="s">
        <v>37</v>
      </c>
      <c r="E1593" t="s">
        <v>79</v>
      </c>
      <c r="F1593">
        <v>0</v>
      </c>
      <c r="G1593">
        <v>0</v>
      </c>
      <c r="H1593">
        <v>2435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171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f>NHS_AE_2024_2025[[#This Row],[A&amp;E attendances Type 1]]+
NHS_AE_2024_2025[[#This Row],[A&amp;E attendances Type 2]]+
NHS_AE_2024_2025[[#This Row],[A&amp;E attendances Other A&amp;E Department]]</f>
        <v>2435</v>
      </c>
      <c r="Y1593">
        <f t="shared" si="48"/>
        <v>171</v>
      </c>
      <c r="Z1593">
        <f t="shared" si="49"/>
        <v>0</v>
      </c>
    </row>
    <row r="1594" spans="1:26" x14ac:dyDescent="0.2">
      <c r="A1594" t="s">
        <v>452</v>
      </c>
      <c r="B1594" t="s">
        <v>453</v>
      </c>
      <c r="C1594" t="s">
        <v>80</v>
      </c>
      <c r="D1594" t="s">
        <v>37</v>
      </c>
      <c r="E1594" t="s">
        <v>81</v>
      </c>
      <c r="F1594">
        <v>0</v>
      </c>
      <c r="G1594">
        <v>0</v>
      </c>
      <c r="H1594">
        <v>2505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90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f>NHS_AE_2024_2025[[#This Row],[A&amp;E attendances Type 1]]+
NHS_AE_2024_2025[[#This Row],[A&amp;E attendances Type 2]]+
NHS_AE_2024_2025[[#This Row],[A&amp;E attendances Other A&amp;E Department]]</f>
        <v>2505</v>
      </c>
      <c r="Y1594">
        <f t="shared" si="48"/>
        <v>90</v>
      </c>
      <c r="Z1594">
        <f t="shared" si="49"/>
        <v>0</v>
      </c>
    </row>
    <row r="1595" spans="1:26" x14ac:dyDescent="0.2">
      <c r="A1595" t="s">
        <v>452</v>
      </c>
      <c r="B1595" t="s">
        <v>453</v>
      </c>
      <c r="C1595" t="s">
        <v>28</v>
      </c>
      <c r="D1595" t="s">
        <v>29</v>
      </c>
      <c r="E1595" t="s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42</v>
      </c>
      <c r="X1595">
        <f>NHS_AE_2024_2025[[#This Row],[A&amp;E attendances Type 1]]+
NHS_AE_2024_2025[[#This Row],[A&amp;E attendances Type 2]]+
NHS_AE_2024_2025[[#This Row],[A&amp;E attendances Other A&amp;E Department]]</f>
        <v>0</v>
      </c>
      <c r="Y1595">
        <f t="shared" si="48"/>
        <v>0</v>
      </c>
      <c r="Z1595">
        <f t="shared" si="49"/>
        <v>42</v>
      </c>
    </row>
    <row r="1596" spans="1:26" x14ac:dyDescent="0.2">
      <c r="A1596" t="s">
        <v>452</v>
      </c>
      <c r="B1596" t="s">
        <v>453</v>
      </c>
      <c r="C1596" t="s">
        <v>310</v>
      </c>
      <c r="D1596" t="s">
        <v>26</v>
      </c>
      <c r="E1596" t="s">
        <v>311</v>
      </c>
      <c r="F1596">
        <v>9272</v>
      </c>
      <c r="G1596">
        <v>138</v>
      </c>
      <c r="H1596">
        <v>5335</v>
      </c>
      <c r="I1596">
        <v>0</v>
      </c>
      <c r="J1596">
        <v>0</v>
      </c>
      <c r="K1596">
        <v>0</v>
      </c>
      <c r="L1596">
        <v>5108</v>
      </c>
      <c r="M1596">
        <v>0</v>
      </c>
      <c r="N1596">
        <v>245</v>
      </c>
      <c r="O1596">
        <v>0</v>
      </c>
      <c r="P1596">
        <v>0</v>
      </c>
      <c r="Q1596">
        <v>0</v>
      </c>
      <c r="R1596">
        <v>697</v>
      </c>
      <c r="S1596">
        <v>603</v>
      </c>
      <c r="T1596">
        <v>2960</v>
      </c>
      <c r="U1596">
        <v>0</v>
      </c>
      <c r="V1596">
        <v>0</v>
      </c>
      <c r="W1596">
        <v>1243</v>
      </c>
      <c r="X1596">
        <f>NHS_AE_2024_2025[[#This Row],[A&amp;E attendances Type 1]]+
NHS_AE_2024_2025[[#This Row],[A&amp;E attendances Type 2]]+
NHS_AE_2024_2025[[#This Row],[A&amp;E attendances Other A&amp;E Department]]</f>
        <v>14745</v>
      </c>
      <c r="Y1596">
        <f t="shared" si="48"/>
        <v>5353</v>
      </c>
      <c r="Z1596">
        <f t="shared" si="49"/>
        <v>4203</v>
      </c>
    </row>
    <row r="1597" spans="1:26" x14ac:dyDescent="0.2">
      <c r="A1597" t="s">
        <v>452</v>
      </c>
      <c r="B1597" t="s">
        <v>453</v>
      </c>
      <c r="C1597" t="s">
        <v>274</v>
      </c>
      <c r="D1597" t="s">
        <v>32</v>
      </c>
      <c r="E1597" t="s">
        <v>275</v>
      </c>
      <c r="F1597">
        <v>0</v>
      </c>
      <c r="G1597">
        <v>0</v>
      </c>
      <c r="H1597">
        <v>8846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351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f>NHS_AE_2024_2025[[#This Row],[A&amp;E attendances Type 1]]+
NHS_AE_2024_2025[[#This Row],[A&amp;E attendances Type 2]]+
NHS_AE_2024_2025[[#This Row],[A&amp;E attendances Other A&amp;E Department]]</f>
        <v>8846</v>
      </c>
      <c r="Y1597">
        <f t="shared" si="48"/>
        <v>351</v>
      </c>
      <c r="Z1597">
        <f t="shared" si="49"/>
        <v>0</v>
      </c>
    </row>
    <row r="1598" spans="1:26" x14ac:dyDescent="0.2">
      <c r="A1598" t="s">
        <v>452</v>
      </c>
      <c r="B1598" t="s">
        <v>453</v>
      </c>
      <c r="C1598" t="s">
        <v>180</v>
      </c>
      <c r="D1598" t="s">
        <v>26</v>
      </c>
      <c r="E1598" t="s">
        <v>181</v>
      </c>
      <c r="F1598">
        <v>0</v>
      </c>
      <c r="G1598">
        <v>0</v>
      </c>
      <c r="H1598">
        <v>1784</v>
      </c>
      <c r="I1598">
        <v>0</v>
      </c>
      <c r="J1598">
        <v>0</v>
      </c>
      <c r="K1598">
        <v>10</v>
      </c>
      <c r="L1598">
        <v>0</v>
      </c>
      <c r="M1598">
        <v>0</v>
      </c>
      <c r="N1598">
        <v>145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f>NHS_AE_2024_2025[[#This Row],[A&amp;E attendances Type 1]]+
NHS_AE_2024_2025[[#This Row],[A&amp;E attendances Type 2]]+
NHS_AE_2024_2025[[#This Row],[A&amp;E attendances Other A&amp;E Department]]</f>
        <v>1784</v>
      </c>
      <c r="Y1598">
        <f t="shared" si="48"/>
        <v>145</v>
      </c>
      <c r="Z1598">
        <f t="shared" si="49"/>
        <v>0</v>
      </c>
    </row>
    <row r="1599" spans="1:26" x14ac:dyDescent="0.2">
      <c r="A1599" t="s">
        <v>452</v>
      </c>
      <c r="B1599" t="s">
        <v>453</v>
      </c>
      <c r="C1599" t="s">
        <v>130</v>
      </c>
      <c r="D1599" t="s">
        <v>70</v>
      </c>
      <c r="E1599" t="s">
        <v>131</v>
      </c>
      <c r="F1599">
        <v>0</v>
      </c>
      <c r="G1599">
        <v>0</v>
      </c>
      <c r="H1599">
        <v>3181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f>NHS_AE_2024_2025[[#This Row],[A&amp;E attendances Type 1]]+
NHS_AE_2024_2025[[#This Row],[A&amp;E attendances Type 2]]+
NHS_AE_2024_2025[[#This Row],[A&amp;E attendances Other A&amp;E Department]]</f>
        <v>3181</v>
      </c>
      <c r="Y1599">
        <f t="shared" si="48"/>
        <v>0</v>
      </c>
      <c r="Z1599">
        <f t="shared" si="49"/>
        <v>0</v>
      </c>
    </row>
    <row r="1600" spans="1:26" x14ac:dyDescent="0.2">
      <c r="A1600" t="s">
        <v>452</v>
      </c>
      <c r="B1600" t="s">
        <v>453</v>
      </c>
      <c r="C1600" t="s">
        <v>63</v>
      </c>
      <c r="D1600" t="s">
        <v>32</v>
      </c>
      <c r="E1600" t="s">
        <v>64</v>
      </c>
      <c r="F1600">
        <v>0</v>
      </c>
      <c r="G1600">
        <v>0</v>
      </c>
      <c r="H1600">
        <v>6835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f>NHS_AE_2024_2025[[#This Row],[A&amp;E attendances Type 1]]+
NHS_AE_2024_2025[[#This Row],[A&amp;E attendances Type 2]]+
NHS_AE_2024_2025[[#This Row],[A&amp;E attendances Other A&amp;E Department]]</f>
        <v>6835</v>
      </c>
      <c r="Y1600">
        <f t="shared" si="48"/>
        <v>0</v>
      </c>
      <c r="Z1600">
        <f t="shared" si="49"/>
        <v>0</v>
      </c>
    </row>
    <row r="1601" spans="1:26" x14ac:dyDescent="0.2">
      <c r="A1601" t="s">
        <v>452</v>
      </c>
      <c r="B1601" t="s">
        <v>453</v>
      </c>
      <c r="C1601" t="s">
        <v>132</v>
      </c>
      <c r="D1601" t="s">
        <v>37</v>
      </c>
      <c r="E1601" t="s">
        <v>133</v>
      </c>
      <c r="F1601">
        <v>0</v>
      </c>
      <c r="G1601">
        <v>0</v>
      </c>
      <c r="H1601">
        <v>4668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f>NHS_AE_2024_2025[[#This Row],[A&amp;E attendances Type 1]]+
NHS_AE_2024_2025[[#This Row],[A&amp;E attendances Type 2]]+
NHS_AE_2024_2025[[#This Row],[A&amp;E attendances Other A&amp;E Department]]</f>
        <v>4668</v>
      </c>
      <c r="Y1601">
        <f t="shared" si="48"/>
        <v>0</v>
      </c>
      <c r="Z1601">
        <f t="shared" si="49"/>
        <v>0</v>
      </c>
    </row>
    <row r="1602" spans="1:26" x14ac:dyDescent="0.2">
      <c r="A1602" t="s">
        <v>452</v>
      </c>
      <c r="B1602" t="s">
        <v>453</v>
      </c>
      <c r="C1602" t="s">
        <v>34</v>
      </c>
      <c r="D1602" t="s">
        <v>29</v>
      </c>
      <c r="E1602" t="s">
        <v>35</v>
      </c>
      <c r="F1602">
        <v>0</v>
      </c>
      <c r="G1602">
        <v>0</v>
      </c>
      <c r="H1602">
        <v>3999</v>
      </c>
      <c r="I1602">
        <v>0</v>
      </c>
      <c r="J1602">
        <v>0</v>
      </c>
      <c r="K1602">
        <v>187</v>
      </c>
      <c r="L1602">
        <v>0</v>
      </c>
      <c r="M1602">
        <v>0</v>
      </c>
      <c r="N1602">
        <v>34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f>NHS_AE_2024_2025[[#This Row],[A&amp;E attendances Type 1]]+
NHS_AE_2024_2025[[#This Row],[A&amp;E attendances Type 2]]+
NHS_AE_2024_2025[[#This Row],[A&amp;E attendances Other A&amp;E Department]]</f>
        <v>3999</v>
      </c>
      <c r="Y1602">
        <f t="shared" ref="Y1602:Y1665" si="50">L1602+M1602+N1602</f>
        <v>34</v>
      </c>
      <c r="Z1602">
        <f t="shared" ref="Z1602:Z1665" si="51">T1602+U1602+V1602+W1602</f>
        <v>0</v>
      </c>
    </row>
    <row r="1603" spans="1:26" x14ac:dyDescent="0.2">
      <c r="A1603" t="s">
        <v>452</v>
      </c>
      <c r="B1603" t="s">
        <v>453</v>
      </c>
      <c r="C1603" t="s">
        <v>36</v>
      </c>
      <c r="D1603" t="s">
        <v>37</v>
      </c>
      <c r="E1603" t="s">
        <v>38</v>
      </c>
      <c r="F1603">
        <v>0</v>
      </c>
      <c r="G1603">
        <v>0</v>
      </c>
      <c r="H1603">
        <v>3021</v>
      </c>
      <c r="I1603">
        <v>0</v>
      </c>
      <c r="J1603">
        <v>0</v>
      </c>
      <c r="K1603">
        <v>20</v>
      </c>
      <c r="L1603">
        <v>0</v>
      </c>
      <c r="M1603">
        <v>0</v>
      </c>
      <c r="N1603">
        <v>13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f>NHS_AE_2024_2025[[#This Row],[A&amp;E attendances Type 1]]+
NHS_AE_2024_2025[[#This Row],[A&amp;E attendances Type 2]]+
NHS_AE_2024_2025[[#This Row],[A&amp;E attendances Other A&amp;E Department]]</f>
        <v>3021</v>
      </c>
      <c r="Y1603">
        <f t="shared" si="50"/>
        <v>13</v>
      </c>
      <c r="Z1603">
        <f t="shared" si="51"/>
        <v>0</v>
      </c>
    </row>
    <row r="1604" spans="1:26" x14ac:dyDescent="0.2">
      <c r="A1604" t="s">
        <v>452</v>
      </c>
      <c r="B1604" t="s">
        <v>453</v>
      </c>
      <c r="C1604" t="s">
        <v>92</v>
      </c>
      <c r="D1604" t="s">
        <v>26</v>
      </c>
      <c r="E1604" t="s">
        <v>93</v>
      </c>
      <c r="F1604">
        <v>0</v>
      </c>
      <c r="G1604">
        <v>0</v>
      </c>
      <c r="H1604">
        <v>2691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63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f>NHS_AE_2024_2025[[#This Row],[A&amp;E attendances Type 1]]+
NHS_AE_2024_2025[[#This Row],[A&amp;E attendances Type 2]]+
NHS_AE_2024_2025[[#This Row],[A&amp;E attendances Other A&amp;E Department]]</f>
        <v>2691</v>
      </c>
      <c r="Y1604">
        <f t="shared" si="50"/>
        <v>63</v>
      </c>
      <c r="Z1604">
        <f t="shared" si="51"/>
        <v>0</v>
      </c>
    </row>
    <row r="1605" spans="1:26" x14ac:dyDescent="0.2">
      <c r="A1605" t="s">
        <v>452</v>
      </c>
      <c r="B1605" t="s">
        <v>453</v>
      </c>
      <c r="C1605" t="s">
        <v>94</v>
      </c>
      <c r="D1605" t="s">
        <v>32</v>
      </c>
      <c r="E1605" t="s">
        <v>95</v>
      </c>
      <c r="F1605">
        <v>0</v>
      </c>
      <c r="G1605">
        <v>0</v>
      </c>
      <c r="H1605">
        <v>335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f>NHS_AE_2024_2025[[#This Row],[A&amp;E attendances Type 1]]+
NHS_AE_2024_2025[[#This Row],[A&amp;E attendances Type 2]]+
NHS_AE_2024_2025[[#This Row],[A&amp;E attendances Other A&amp;E Department]]</f>
        <v>335</v>
      </c>
      <c r="Y1605">
        <f t="shared" si="50"/>
        <v>0</v>
      </c>
      <c r="Z1605">
        <f t="shared" si="51"/>
        <v>0</v>
      </c>
    </row>
    <row r="1606" spans="1:26" x14ac:dyDescent="0.2">
      <c r="A1606" t="s">
        <v>452</v>
      </c>
      <c r="B1606" t="s">
        <v>453</v>
      </c>
      <c r="C1606" t="s">
        <v>96</v>
      </c>
      <c r="D1606" t="s">
        <v>29</v>
      </c>
      <c r="E1606" t="s">
        <v>97</v>
      </c>
      <c r="F1606">
        <v>0</v>
      </c>
      <c r="G1606">
        <v>0</v>
      </c>
      <c r="H1606">
        <v>2969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16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f>NHS_AE_2024_2025[[#This Row],[A&amp;E attendances Type 1]]+
NHS_AE_2024_2025[[#This Row],[A&amp;E attendances Type 2]]+
NHS_AE_2024_2025[[#This Row],[A&amp;E attendances Other A&amp;E Department]]</f>
        <v>2969</v>
      </c>
      <c r="Y1606">
        <f t="shared" si="50"/>
        <v>16</v>
      </c>
      <c r="Z1606">
        <f t="shared" si="51"/>
        <v>0</v>
      </c>
    </row>
    <row r="1607" spans="1:26" x14ac:dyDescent="0.2">
      <c r="A1607" t="s">
        <v>452</v>
      </c>
      <c r="B1607" t="s">
        <v>453</v>
      </c>
      <c r="C1607" t="s">
        <v>98</v>
      </c>
      <c r="D1607" t="s">
        <v>29</v>
      </c>
      <c r="E1607" t="s">
        <v>99</v>
      </c>
      <c r="F1607">
        <v>0</v>
      </c>
      <c r="G1607">
        <v>0</v>
      </c>
      <c r="H1607">
        <v>3114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f>NHS_AE_2024_2025[[#This Row],[A&amp;E attendances Type 1]]+
NHS_AE_2024_2025[[#This Row],[A&amp;E attendances Type 2]]+
NHS_AE_2024_2025[[#This Row],[A&amp;E attendances Other A&amp;E Department]]</f>
        <v>3114</v>
      </c>
      <c r="Y1607">
        <f t="shared" si="50"/>
        <v>11</v>
      </c>
      <c r="Z1607">
        <f t="shared" si="51"/>
        <v>0</v>
      </c>
    </row>
    <row r="1608" spans="1:26" x14ac:dyDescent="0.2">
      <c r="A1608" t="s">
        <v>452</v>
      </c>
      <c r="B1608" t="s">
        <v>453</v>
      </c>
      <c r="C1608" t="s">
        <v>39</v>
      </c>
      <c r="D1608" t="s">
        <v>26</v>
      </c>
      <c r="E1608" t="s">
        <v>40</v>
      </c>
      <c r="F1608">
        <v>0</v>
      </c>
      <c r="G1608">
        <v>0</v>
      </c>
      <c r="H1608">
        <v>76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f>NHS_AE_2024_2025[[#This Row],[A&amp;E attendances Type 1]]+
NHS_AE_2024_2025[[#This Row],[A&amp;E attendances Type 2]]+
NHS_AE_2024_2025[[#This Row],[A&amp;E attendances Other A&amp;E Department]]</f>
        <v>76</v>
      </c>
      <c r="Y1608">
        <f t="shared" si="50"/>
        <v>0</v>
      </c>
      <c r="Z1608">
        <f t="shared" si="51"/>
        <v>0</v>
      </c>
    </row>
    <row r="1609" spans="1:26" x14ac:dyDescent="0.2">
      <c r="A1609" t="s">
        <v>452</v>
      </c>
      <c r="B1609" t="s">
        <v>453</v>
      </c>
      <c r="C1609" t="s">
        <v>422</v>
      </c>
      <c r="D1609" t="s">
        <v>26</v>
      </c>
      <c r="E1609" t="s">
        <v>423</v>
      </c>
      <c r="F1609">
        <v>0</v>
      </c>
      <c r="G1609">
        <v>0</v>
      </c>
      <c r="H1609">
        <v>8802</v>
      </c>
      <c r="I1609">
        <v>0</v>
      </c>
      <c r="J1609">
        <v>0</v>
      </c>
      <c r="K1609">
        <v>234</v>
      </c>
      <c r="L1609">
        <v>0</v>
      </c>
      <c r="M1609">
        <v>0</v>
      </c>
      <c r="N1609">
        <v>671</v>
      </c>
      <c r="O1609">
        <v>0</v>
      </c>
      <c r="P1609">
        <v>0</v>
      </c>
      <c r="Q1609">
        <v>58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f>NHS_AE_2024_2025[[#This Row],[A&amp;E attendances Type 1]]+
NHS_AE_2024_2025[[#This Row],[A&amp;E attendances Type 2]]+
NHS_AE_2024_2025[[#This Row],[A&amp;E attendances Other A&amp;E Department]]</f>
        <v>8802</v>
      </c>
      <c r="Y1609">
        <f t="shared" si="50"/>
        <v>671</v>
      </c>
      <c r="Z1609">
        <f t="shared" si="51"/>
        <v>0</v>
      </c>
    </row>
    <row r="1610" spans="1:26" x14ac:dyDescent="0.2">
      <c r="A1610" t="s">
        <v>452</v>
      </c>
      <c r="B1610" t="s">
        <v>453</v>
      </c>
      <c r="C1610" t="s">
        <v>72</v>
      </c>
      <c r="D1610" t="s">
        <v>55</v>
      </c>
      <c r="E1610" t="s">
        <v>73</v>
      </c>
      <c r="F1610">
        <v>0</v>
      </c>
      <c r="G1610">
        <v>0</v>
      </c>
      <c r="H1610">
        <v>1952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6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f>NHS_AE_2024_2025[[#This Row],[A&amp;E attendances Type 1]]+
NHS_AE_2024_2025[[#This Row],[A&amp;E attendances Type 2]]+
NHS_AE_2024_2025[[#This Row],[A&amp;E attendances Other A&amp;E Department]]</f>
        <v>1952</v>
      </c>
      <c r="Y1610">
        <f t="shared" si="50"/>
        <v>6</v>
      </c>
      <c r="Z1610">
        <f t="shared" si="51"/>
        <v>0</v>
      </c>
    </row>
    <row r="1611" spans="1:26" x14ac:dyDescent="0.2">
      <c r="A1611" t="s">
        <v>452</v>
      </c>
      <c r="B1611" t="s">
        <v>453</v>
      </c>
      <c r="C1611" t="s">
        <v>74</v>
      </c>
      <c r="D1611" t="s">
        <v>26</v>
      </c>
      <c r="E1611" t="s">
        <v>75</v>
      </c>
      <c r="F1611">
        <v>0</v>
      </c>
      <c r="G1611">
        <v>0</v>
      </c>
      <c r="H1611">
        <v>1032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f>NHS_AE_2024_2025[[#This Row],[A&amp;E attendances Type 1]]+
NHS_AE_2024_2025[[#This Row],[A&amp;E attendances Type 2]]+
NHS_AE_2024_2025[[#This Row],[A&amp;E attendances Other A&amp;E Department]]</f>
        <v>1032</v>
      </c>
      <c r="Y1611">
        <f t="shared" si="50"/>
        <v>10</v>
      </c>
      <c r="Z1611">
        <f t="shared" si="51"/>
        <v>0</v>
      </c>
    </row>
    <row r="1612" spans="1:26" x14ac:dyDescent="0.2">
      <c r="A1612" t="s">
        <v>452</v>
      </c>
      <c r="B1612" t="s">
        <v>453</v>
      </c>
      <c r="C1612" t="s">
        <v>45</v>
      </c>
      <c r="D1612" t="s">
        <v>26</v>
      </c>
      <c r="E1612" t="s">
        <v>46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4</v>
      </c>
      <c r="W1612">
        <v>1</v>
      </c>
      <c r="X1612">
        <f>NHS_AE_2024_2025[[#This Row],[A&amp;E attendances Type 1]]+
NHS_AE_2024_2025[[#This Row],[A&amp;E attendances Type 2]]+
NHS_AE_2024_2025[[#This Row],[A&amp;E attendances Other A&amp;E Department]]</f>
        <v>0</v>
      </c>
      <c r="Y1612">
        <f t="shared" si="50"/>
        <v>0</v>
      </c>
      <c r="Z1612">
        <f t="shared" si="51"/>
        <v>5</v>
      </c>
    </row>
    <row r="1613" spans="1:26" x14ac:dyDescent="0.2">
      <c r="A1613" t="s">
        <v>452</v>
      </c>
      <c r="B1613" t="s">
        <v>453</v>
      </c>
      <c r="C1613" t="s">
        <v>47</v>
      </c>
      <c r="D1613" t="s">
        <v>26</v>
      </c>
      <c r="E1613" t="s">
        <v>48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9</v>
      </c>
      <c r="W1613">
        <v>51</v>
      </c>
      <c r="X1613">
        <f>NHS_AE_2024_2025[[#This Row],[A&amp;E attendances Type 1]]+
NHS_AE_2024_2025[[#This Row],[A&amp;E attendances Type 2]]+
NHS_AE_2024_2025[[#This Row],[A&amp;E attendances Other A&amp;E Department]]</f>
        <v>0</v>
      </c>
      <c r="Y1613">
        <f t="shared" si="50"/>
        <v>0</v>
      </c>
      <c r="Z1613">
        <f t="shared" si="51"/>
        <v>60</v>
      </c>
    </row>
    <row r="1614" spans="1:26" x14ac:dyDescent="0.2">
      <c r="A1614" t="s">
        <v>452</v>
      </c>
      <c r="B1614" t="s">
        <v>453</v>
      </c>
      <c r="C1614" t="s">
        <v>204</v>
      </c>
      <c r="D1614" t="s">
        <v>32</v>
      </c>
      <c r="E1614" t="s">
        <v>205</v>
      </c>
      <c r="F1614">
        <v>6533</v>
      </c>
      <c r="G1614">
        <v>1179</v>
      </c>
      <c r="H1614">
        <v>0</v>
      </c>
      <c r="I1614">
        <v>167</v>
      </c>
      <c r="J1614">
        <v>0</v>
      </c>
      <c r="K1614">
        <v>0</v>
      </c>
      <c r="L1614">
        <v>2484</v>
      </c>
      <c r="M1614">
        <v>0</v>
      </c>
      <c r="N1614">
        <v>0</v>
      </c>
      <c r="O1614">
        <v>31</v>
      </c>
      <c r="P1614">
        <v>0</v>
      </c>
      <c r="Q1614">
        <v>0</v>
      </c>
      <c r="R1614">
        <v>465</v>
      </c>
      <c r="S1614">
        <v>318</v>
      </c>
      <c r="T1614">
        <v>2035</v>
      </c>
      <c r="U1614">
        <v>0</v>
      </c>
      <c r="V1614">
        <v>0</v>
      </c>
      <c r="W1614">
        <v>690</v>
      </c>
      <c r="X1614">
        <f>NHS_AE_2024_2025[[#This Row],[A&amp;E attendances Type 1]]+
NHS_AE_2024_2025[[#This Row],[A&amp;E attendances Type 2]]+
NHS_AE_2024_2025[[#This Row],[A&amp;E attendances Other A&amp;E Department]]</f>
        <v>7712</v>
      </c>
      <c r="Y1614">
        <f t="shared" si="50"/>
        <v>2484</v>
      </c>
      <c r="Z1614">
        <f t="shared" si="51"/>
        <v>2725</v>
      </c>
    </row>
    <row r="1615" spans="1:26" x14ac:dyDescent="0.2">
      <c r="A1615" t="s">
        <v>452</v>
      </c>
      <c r="B1615" t="s">
        <v>453</v>
      </c>
      <c r="C1615" t="s">
        <v>410</v>
      </c>
      <c r="D1615" t="s">
        <v>32</v>
      </c>
      <c r="E1615" t="s">
        <v>411</v>
      </c>
      <c r="F1615">
        <v>5569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1208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6</v>
      </c>
      <c r="T1615">
        <v>1079</v>
      </c>
      <c r="U1615">
        <v>0</v>
      </c>
      <c r="V1615">
        <v>0</v>
      </c>
      <c r="W1615">
        <v>212</v>
      </c>
      <c r="X1615">
        <f>NHS_AE_2024_2025[[#This Row],[A&amp;E attendances Type 1]]+
NHS_AE_2024_2025[[#This Row],[A&amp;E attendances Type 2]]+
NHS_AE_2024_2025[[#This Row],[A&amp;E attendances Other A&amp;E Department]]</f>
        <v>5569</v>
      </c>
      <c r="Y1615">
        <f t="shared" si="50"/>
        <v>1208</v>
      </c>
      <c r="Z1615">
        <f t="shared" si="51"/>
        <v>1291</v>
      </c>
    </row>
    <row r="1616" spans="1:26" x14ac:dyDescent="0.2">
      <c r="A1616" t="s">
        <v>452</v>
      </c>
      <c r="B1616" t="s">
        <v>453</v>
      </c>
      <c r="C1616" t="s">
        <v>124</v>
      </c>
      <c r="D1616" t="s">
        <v>37</v>
      </c>
      <c r="E1616" t="s">
        <v>125</v>
      </c>
      <c r="F1616">
        <v>0</v>
      </c>
      <c r="G1616">
        <v>0</v>
      </c>
      <c r="H1616">
        <v>3163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93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136</v>
      </c>
      <c r="X1616">
        <f>NHS_AE_2024_2025[[#This Row],[A&amp;E attendances Type 1]]+
NHS_AE_2024_2025[[#This Row],[A&amp;E attendances Type 2]]+
NHS_AE_2024_2025[[#This Row],[A&amp;E attendances Other A&amp;E Department]]</f>
        <v>3163</v>
      </c>
      <c r="Y1616">
        <f t="shared" si="50"/>
        <v>93</v>
      </c>
      <c r="Z1616">
        <f t="shared" si="51"/>
        <v>136</v>
      </c>
    </row>
    <row r="1617" spans="1:26" x14ac:dyDescent="0.2">
      <c r="A1617" t="s">
        <v>452</v>
      </c>
      <c r="B1617" t="s">
        <v>453</v>
      </c>
      <c r="C1617" t="s">
        <v>49</v>
      </c>
      <c r="D1617" t="s">
        <v>50</v>
      </c>
      <c r="E1617" t="s">
        <v>51</v>
      </c>
      <c r="F1617">
        <v>16416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5090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1143</v>
      </c>
      <c r="S1617">
        <v>1</v>
      </c>
      <c r="T1617">
        <v>2999</v>
      </c>
      <c r="U1617">
        <v>0</v>
      </c>
      <c r="V1617">
        <v>0</v>
      </c>
      <c r="W1617">
        <v>313</v>
      </c>
      <c r="X1617">
        <f>NHS_AE_2024_2025[[#This Row],[A&amp;E attendances Type 1]]+
NHS_AE_2024_2025[[#This Row],[A&amp;E attendances Type 2]]+
NHS_AE_2024_2025[[#This Row],[A&amp;E attendances Other A&amp;E Department]]</f>
        <v>16416</v>
      </c>
      <c r="Y1617">
        <f t="shared" si="50"/>
        <v>5090</v>
      </c>
      <c r="Z1617">
        <f t="shared" si="51"/>
        <v>3312</v>
      </c>
    </row>
    <row r="1618" spans="1:26" x14ac:dyDescent="0.2">
      <c r="A1618" t="s">
        <v>452</v>
      </c>
      <c r="B1618" t="s">
        <v>453</v>
      </c>
      <c r="C1618" t="s">
        <v>174</v>
      </c>
      <c r="D1618" t="s">
        <v>50</v>
      </c>
      <c r="E1618" t="s">
        <v>175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135</v>
      </c>
      <c r="X1618">
        <f>NHS_AE_2024_2025[[#This Row],[A&amp;E attendances Type 1]]+
NHS_AE_2024_2025[[#This Row],[A&amp;E attendances Type 2]]+
NHS_AE_2024_2025[[#This Row],[A&amp;E attendances Other A&amp;E Department]]</f>
        <v>0</v>
      </c>
      <c r="Y1618">
        <f t="shared" si="50"/>
        <v>0</v>
      </c>
      <c r="Z1618">
        <f t="shared" si="51"/>
        <v>135</v>
      </c>
    </row>
    <row r="1619" spans="1:26" x14ac:dyDescent="0.2">
      <c r="A1619" t="s">
        <v>452</v>
      </c>
      <c r="B1619" t="s">
        <v>453</v>
      </c>
      <c r="C1619" t="s">
        <v>176</v>
      </c>
      <c r="D1619" t="s">
        <v>55</v>
      </c>
      <c r="E1619" t="s">
        <v>177</v>
      </c>
      <c r="F1619">
        <v>9230</v>
      </c>
      <c r="G1619">
        <v>0</v>
      </c>
      <c r="H1619">
        <v>10889</v>
      </c>
      <c r="I1619">
        <v>302</v>
      </c>
      <c r="J1619">
        <v>0</v>
      </c>
      <c r="K1619">
        <v>317</v>
      </c>
      <c r="L1619">
        <v>4047</v>
      </c>
      <c r="M1619">
        <v>0</v>
      </c>
      <c r="N1619">
        <v>67</v>
      </c>
      <c r="O1619">
        <v>96</v>
      </c>
      <c r="P1619">
        <v>0</v>
      </c>
      <c r="Q1619">
        <v>0</v>
      </c>
      <c r="R1619">
        <v>398</v>
      </c>
      <c r="S1619">
        <v>707</v>
      </c>
      <c r="T1619">
        <v>2570</v>
      </c>
      <c r="U1619">
        <v>0</v>
      </c>
      <c r="V1619">
        <v>0</v>
      </c>
      <c r="W1619">
        <v>1638</v>
      </c>
      <c r="X1619">
        <f>NHS_AE_2024_2025[[#This Row],[A&amp;E attendances Type 1]]+
NHS_AE_2024_2025[[#This Row],[A&amp;E attendances Type 2]]+
NHS_AE_2024_2025[[#This Row],[A&amp;E attendances Other A&amp;E Department]]</f>
        <v>20119</v>
      </c>
      <c r="Y1619">
        <f t="shared" si="50"/>
        <v>4114</v>
      </c>
      <c r="Z1619">
        <f t="shared" si="51"/>
        <v>4208</v>
      </c>
    </row>
    <row r="1620" spans="1:26" x14ac:dyDescent="0.2">
      <c r="A1620" t="s">
        <v>452</v>
      </c>
      <c r="B1620" t="s">
        <v>453</v>
      </c>
      <c r="C1620" t="s">
        <v>69</v>
      </c>
      <c r="D1620" t="s">
        <v>70</v>
      </c>
      <c r="E1620" t="s">
        <v>71</v>
      </c>
      <c r="F1620">
        <v>0</v>
      </c>
      <c r="G1620">
        <v>0</v>
      </c>
      <c r="H1620">
        <v>2489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68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f>NHS_AE_2024_2025[[#This Row],[A&amp;E attendances Type 1]]+
NHS_AE_2024_2025[[#This Row],[A&amp;E attendances Type 2]]+
NHS_AE_2024_2025[[#This Row],[A&amp;E attendances Other A&amp;E Department]]</f>
        <v>2489</v>
      </c>
      <c r="Y1620">
        <f t="shared" si="50"/>
        <v>68</v>
      </c>
      <c r="Z1620">
        <f t="shared" si="51"/>
        <v>0</v>
      </c>
    </row>
    <row r="1621" spans="1:26" x14ac:dyDescent="0.2">
      <c r="A1621" t="s">
        <v>452</v>
      </c>
      <c r="B1621" t="s">
        <v>453</v>
      </c>
      <c r="C1621" t="s">
        <v>222</v>
      </c>
      <c r="D1621" t="s">
        <v>32</v>
      </c>
      <c r="E1621" t="s">
        <v>223</v>
      </c>
      <c r="F1621">
        <v>0</v>
      </c>
      <c r="G1621">
        <v>0</v>
      </c>
      <c r="H1621">
        <v>4727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f>NHS_AE_2024_2025[[#This Row],[A&amp;E attendances Type 1]]+
NHS_AE_2024_2025[[#This Row],[A&amp;E attendances Type 2]]+
NHS_AE_2024_2025[[#This Row],[A&amp;E attendances Other A&amp;E Department]]</f>
        <v>4727</v>
      </c>
      <c r="Y1621">
        <f t="shared" si="50"/>
        <v>0</v>
      </c>
      <c r="Z1621">
        <f t="shared" si="51"/>
        <v>0</v>
      </c>
    </row>
    <row r="1622" spans="1:26" x14ac:dyDescent="0.2">
      <c r="A1622" t="s">
        <v>452</v>
      </c>
      <c r="B1622" t="s">
        <v>453</v>
      </c>
      <c r="C1622" t="s">
        <v>41</v>
      </c>
      <c r="D1622" t="s">
        <v>32</v>
      </c>
      <c r="E1622" t="s">
        <v>42</v>
      </c>
      <c r="F1622">
        <v>0</v>
      </c>
      <c r="G1622">
        <v>0</v>
      </c>
      <c r="H1622">
        <v>3478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f>NHS_AE_2024_2025[[#This Row],[A&amp;E attendances Type 1]]+
NHS_AE_2024_2025[[#This Row],[A&amp;E attendances Type 2]]+
NHS_AE_2024_2025[[#This Row],[A&amp;E attendances Other A&amp;E Department]]</f>
        <v>3478</v>
      </c>
      <c r="Y1622">
        <f t="shared" si="50"/>
        <v>0</v>
      </c>
      <c r="Z1622">
        <f t="shared" si="51"/>
        <v>0</v>
      </c>
    </row>
    <row r="1623" spans="1:26" x14ac:dyDescent="0.2">
      <c r="A1623" t="s">
        <v>452</v>
      </c>
      <c r="B1623" t="s">
        <v>453</v>
      </c>
      <c r="C1623" t="s">
        <v>232</v>
      </c>
      <c r="D1623" t="s">
        <v>29</v>
      </c>
      <c r="E1623" t="s">
        <v>233</v>
      </c>
      <c r="F1623">
        <v>7329</v>
      </c>
      <c r="G1623">
        <v>0</v>
      </c>
      <c r="H1623">
        <v>8787</v>
      </c>
      <c r="I1623">
        <v>0</v>
      </c>
      <c r="J1623">
        <v>0</v>
      </c>
      <c r="K1623">
        <v>0</v>
      </c>
      <c r="L1623">
        <v>3590</v>
      </c>
      <c r="M1623">
        <v>0</v>
      </c>
      <c r="N1623">
        <v>331</v>
      </c>
      <c r="O1623">
        <v>0</v>
      </c>
      <c r="P1623">
        <v>0</v>
      </c>
      <c r="Q1623">
        <v>0</v>
      </c>
      <c r="R1623">
        <v>143</v>
      </c>
      <c r="S1623">
        <v>486</v>
      </c>
      <c r="T1623">
        <v>1996</v>
      </c>
      <c r="U1623">
        <v>0</v>
      </c>
      <c r="V1623">
        <v>209</v>
      </c>
      <c r="W1623">
        <v>677</v>
      </c>
      <c r="X1623">
        <f>NHS_AE_2024_2025[[#This Row],[A&amp;E attendances Type 1]]+
NHS_AE_2024_2025[[#This Row],[A&amp;E attendances Type 2]]+
NHS_AE_2024_2025[[#This Row],[A&amp;E attendances Other A&amp;E Department]]</f>
        <v>16116</v>
      </c>
      <c r="Y1623">
        <f t="shared" si="50"/>
        <v>3921</v>
      </c>
      <c r="Z1623">
        <f t="shared" si="51"/>
        <v>2882</v>
      </c>
    </row>
    <row r="1624" spans="1:26" x14ac:dyDescent="0.2">
      <c r="A1624" t="s">
        <v>452</v>
      </c>
      <c r="B1624" t="s">
        <v>453</v>
      </c>
      <c r="C1624" t="s">
        <v>82</v>
      </c>
      <c r="D1624" t="s">
        <v>55</v>
      </c>
      <c r="E1624" t="s">
        <v>83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165</v>
      </c>
      <c r="X1624">
        <f>NHS_AE_2024_2025[[#This Row],[A&amp;E attendances Type 1]]+
NHS_AE_2024_2025[[#This Row],[A&amp;E attendances Type 2]]+
NHS_AE_2024_2025[[#This Row],[A&amp;E attendances Other A&amp;E Department]]</f>
        <v>0</v>
      </c>
      <c r="Y1624">
        <f t="shared" si="50"/>
        <v>0</v>
      </c>
      <c r="Z1624">
        <f t="shared" si="51"/>
        <v>165</v>
      </c>
    </row>
    <row r="1625" spans="1:26" x14ac:dyDescent="0.2">
      <c r="A1625" t="s">
        <v>452</v>
      </c>
      <c r="B1625" t="s">
        <v>453</v>
      </c>
      <c r="C1625" t="s">
        <v>256</v>
      </c>
      <c r="D1625" t="s">
        <v>37</v>
      </c>
      <c r="E1625" t="s">
        <v>257</v>
      </c>
      <c r="F1625">
        <v>0</v>
      </c>
      <c r="G1625">
        <v>0</v>
      </c>
      <c r="H1625">
        <v>4484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464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f>NHS_AE_2024_2025[[#This Row],[A&amp;E attendances Type 1]]+
NHS_AE_2024_2025[[#This Row],[A&amp;E attendances Type 2]]+
NHS_AE_2024_2025[[#This Row],[A&amp;E attendances Other A&amp;E Department]]</f>
        <v>4484</v>
      </c>
      <c r="Y1625">
        <f t="shared" si="50"/>
        <v>464</v>
      </c>
      <c r="Z1625">
        <f t="shared" si="51"/>
        <v>0</v>
      </c>
    </row>
    <row r="1626" spans="1:26" x14ac:dyDescent="0.2">
      <c r="A1626" t="s">
        <v>452</v>
      </c>
      <c r="B1626" t="s">
        <v>453</v>
      </c>
      <c r="C1626" t="s">
        <v>86</v>
      </c>
      <c r="D1626" t="s">
        <v>37</v>
      </c>
      <c r="E1626" t="s">
        <v>87</v>
      </c>
      <c r="F1626">
        <v>0</v>
      </c>
      <c r="G1626">
        <v>0</v>
      </c>
      <c r="H1626">
        <v>1618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17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5</v>
      </c>
      <c r="W1626">
        <v>630</v>
      </c>
      <c r="X1626">
        <f>NHS_AE_2024_2025[[#This Row],[A&amp;E attendances Type 1]]+
NHS_AE_2024_2025[[#This Row],[A&amp;E attendances Type 2]]+
NHS_AE_2024_2025[[#This Row],[A&amp;E attendances Other A&amp;E Department]]</f>
        <v>1618</v>
      </c>
      <c r="Y1626">
        <f t="shared" si="50"/>
        <v>17</v>
      </c>
      <c r="Z1626">
        <f t="shared" si="51"/>
        <v>635</v>
      </c>
    </row>
    <row r="1627" spans="1:26" x14ac:dyDescent="0.2">
      <c r="A1627" t="s">
        <v>452</v>
      </c>
      <c r="B1627" t="s">
        <v>453</v>
      </c>
      <c r="C1627" t="s">
        <v>264</v>
      </c>
      <c r="D1627" t="s">
        <v>50</v>
      </c>
      <c r="E1627" t="s">
        <v>265</v>
      </c>
      <c r="F1627">
        <v>9392</v>
      </c>
      <c r="G1627">
        <v>0</v>
      </c>
      <c r="H1627">
        <v>5089</v>
      </c>
      <c r="I1627">
        <v>0</v>
      </c>
      <c r="J1627">
        <v>0</v>
      </c>
      <c r="K1627">
        <v>0</v>
      </c>
      <c r="L1627">
        <v>4986</v>
      </c>
      <c r="M1627">
        <v>0</v>
      </c>
      <c r="N1627">
        <v>643</v>
      </c>
      <c r="O1627">
        <v>0</v>
      </c>
      <c r="P1627">
        <v>0</v>
      </c>
      <c r="Q1627">
        <v>0</v>
      </c>
      <c r="R1627">
        <v>1046</v>
      </c>
      <c r="S1627">
        <v>360</v>
      </c>
      <c r="T1627">
        <v>3462</v>
      </c>
      <c r="U1627">
        <v>0</v>
      </c>
      <c r="V1627">
        <v>0</v>
      </c>
      <c r="W1627">
        <v>1839</v>
      </c>
      <c r="X1627">
        <f>NHS_AE_2024_2025[[#This Row],[A&amp;E attendances Type 1]]+
NHS_AE_2024_2025[[#This Row],[A&amp;E attendances Type 2]]+
NHS_AE_2024_2025[[#This Row],[A&amp;E attendances Other A&amp;E Department]]</f>
        <v>14481</v>
      </c>
      <c r="Y1627">
        <f t="shared" si="50"/>
        <v>5629</v>
      </c>
      <c r="Z1627">
        <f t="shared" si="51"/>
        <v>5301</v>
      </c>
    </row>
    <row r="1628" spans="1:26" x14ac:dyDescent="0.2">
      <c r="A1628" t="s">
        <v>452</v>
      </c>
      <c r="B1628" t="s">
        <v>453</v>
      </c>
      <c r="C1628" t="s">
        <v>412</v>
      </c>
      <c r="D1628" t="s">
        <v>32</v>
      </c>
      <c r="E1628" t="s">
        <v>413</v>
      </c>
      <c r="F1628">
        <v>0</v>
      </c>
      <c r="G1628">
        <v>0</v>
      </c>
      <c r="H1628">
        <v>605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18</v>
      </c>
      <c r="X1628">
        <f>NHS_AE_2024_2025[[#This Row],[A&amp;E attendances Type 1]]+
NHS_AE_2024_2025[[#This Row],[A&amp;E attendances Type 2]]+
NHS_AE_2024_2025[[#This Row],[A&amp;E attendances Other A&amp;E Department]]</f>
        <v>605</v>
      </c>
      <c r="Y1628">
        <f t="shared" si="50"/>
        <v>0</v>
      </c>
      <c r="Z1628">
        <f t="shared" si="51"/>
        <v>18</v>
      </c>
    </row>
    <row r="1629" spans="1:26" x14ac:dyDescent="0.2">
      <c r="A1629" t="s">
        <v>452</v>
      </c>
      <c r="B1629" t="s">
        <v>453</v>
      </c>
      <c r="C1629" t="s">
        <v>294</v>
      </c>
      <c r="D1629" t="s">
        <v>70</v>
      </c>
      <c r="E1629" t="s">
        <v>295</v>
      </c>
      <c r="F1629">
        <v>16836</v>
      </c>
      <c r="G1629">
        <v>0</v>
      </c>
      <c r="H1629">
        <v>8529</v>
      </c>
      <c r="I1629">
        <v>0</v>
      </c>
      <c r="J1629">
        <v>0</v>
      </c>
      <c r="K1629">
        <v>1115</v>
      </c>
      <c r="L1629">
        <v>6466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82</v>
      </c>
      <c r="S1629">
        <v>27</v>
      </c>
      <c r="T1629">
        <v>4730</v>
      </c>
      <c r="U1629">
        <v>0</v>
      </c>
      <c r="V1629">
        <v>0</v>
      </c>
      <c r="W1629">
        <v>2314</v>
      </c>
      <c r="X1629">
        <f>NHS_AE_2024_2025[[#This Row],[A&amp;E attendances Type 1]]+
NHS_AE_2024_2025[[#This Row],[A&amp;E attendances Type 2]]+
NHS_AE_2024_2025[[#This Row],[A&amp;E attendances Other A&amp;E Department]]</f>
        <v>25365</v>
      </c>
      <c r="Y1629">
        <f t="shared" si="50"/>
        <v>6466</v>
      </c>
      <c r="Z1629">
        <f t="shared" si="51"/>
        <v>7044</v>
      </c>
    </row>
    <row r="1630" spans="1:26" x14ac:dyDescent="0.2">
      <c r="A1630" t="s">
        <v>452</v>
      </c>
      <c r="B1630" t="s">
        <v>453</v>
      </c>
      <c r="C1630" t="s">
        <v>402</v>
      </c>
      <c r="D1630" t="s">
        <v>70</v>
      </c>
      <c r="E1630" t="s">
        <v>403</v>
      </c>
      <c r="F1630">
        <v>6910</v>
      </c>
      <c r="G1630">
        <v>0</v>
      </c>
      <c r="H1630">
        <v>1234</v>
      </c>
      <c r="I1630">
        <v>14</v>
      </c>
      <c r="J1630">
        <v>0</v>
      </c>
      <c r="K1630">
        <v>0</v>
      </c>
      <c r="L1630">
        <v>2168</v>
      </c>
      <c r="M1630">
        <v>0</v>
      </c>
      <c r="N1630">
        <v>0</v>
      </c>
      <c r="O1630">
        <v>4</v>
      </c>
      <c r="P1630">
        <v>0</v>
      </c>
      <c r="Q1630">
        <v>0</v>
      </c>
      <c r="R1630">
        <v>319</v>
      </c>
      <c r="S1630">
        <v>97</v>
      </c>
      <c r="T1630">
        <v>2395</v>
      </c>
      <c r="U1630">
        <v>0</v>
      </c>
      <c r="V1630">
        <v>0</v>
      </c>
      <c r="W1630">
        <v>711</v>
      </c>
      <c r="X1630">
        <f>NHS_AE_2024_2025[[#This Row],[A&amp;E attendances Type 1]]+
NHS_AE_2024_2025[[#This Row],[A&amp;E attendances Type 2]]+
NHS_AE_2024_2025[[#This Row],[A&amp;E attendances Other A&amp;E Department]]</f>
        <v>8144</v>
      </c>
      <c r="Y1630">
        <f t="shared" si="50"/>
        <v>2168</v>
      </c>
      <c r="Z1630">
        <f t="shared" si="51"/>
        <v>3106</v>
      </c>
    </row>
    <row r="1631" spans="1:26" x14ac:dyDescent="0.2">
      <c r="A1631" t="s">
        <v>452</v>
      </c>
      <c r="B1631" t="s">
        <v>453</v>
      </c>
      <c r="C1631" t="s">
        <v>84</v>
      </c>
      <c r="D1631" t="s">
        <v>50</v>
      </c>
      <c r="E1631" t="s">
        <v>85</v>
      </c>
      <c r="F1631">
        <v>8850</v>
      </c>
      <c r="G1631">
        <v>0</v>
      </c>
      <c r="H1631">
        <v>0</v>
      </c>
      <c r="I1631">
        <v>426</v>
      </c>
      <c r="J1631">
        <v>0</v>
      </c>
      <c r="K1631">
        <v>0</v>
      </c>
      <c r="L1631">
        <v>2688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323</v>
      </c>
      <c r="S1631">
        <v>0</v>
      </c>
      <c r="T1631">
        <v>2968</v>
      </c>
      <c r="U1631">
        <v>0</v>
      </c>
      <c r="V1631">
        <v>0</v>
      </c>
      <c r="W1631">
        <v>550</v>
      </c>
      <c r="X1631">
        <f>NHS_AE_2024_2025[[#This Row],[A&amp;E attendances Type 1]]+
NHS_AE_2024_2025[[#This Row],[A&amp;E attendances Type 2]]+
NHS_AE_2024_2025[[#This Row],[A&amp;E attendances Other A&amp;E Department]]</f>
        <v>8850</v>
      </c>
      <c r="Y1631">
        <f t="shared" si="50"/>
        <v>2688</v>
      </c>
      <c r="Z1631">
        <f t="shared" si="51"/>
        <v>3518</v>
      </c>
    </row>
    <row r="1632" spans="1:26" x14ac:dyDescent="0.2">
      <c r="A1632" t="s">
        <v>452</v>
      </c>
      <c r="B1632" t="s">
        <v>453</v>
      </c>
      <c r="C1632" t="s">
        <v>248</v>
      </c>
      <c r="D1632" t="s">
        <v>55</v>
      </c>
      <c r="E1632" t="s">
        <v>249</v>
      </c>
      <c r="F1632">
        <v>5418</v>
      </c>
      <c r="G1632">
        <v>0</v>
      </c>
      <c r="H1632">
        <v>2120</v>
      </c>
      <c r="I1632">
        <v>0</v>
      </c>
      <c r="J1632">
        <v>0</v>
      </c>
      <c r="K1632">
        <v>0</v>
      </c>
      <c r="L1632">
        <v>2846</v>
      </c>
      <c r="M1632">
        <v>0</v>
      </c>
      <c r="N1632">
        <v>185</v>
      </c>
      <c r="O1632">
        <v>0</v>
      </c>
      <c r="P1632">
        <v>0</v>
      </c>
      <c r="Q1632">
        <v>0</v>
      </c>
      <c r="R1632">
        <v>291</v>
      </c>
      <c r="S1632">
        <v>706</v>
      </c>
      <c r="T1632">
        <v>1670</v>
      </c>
      <c r="U1632">
        <v>0</v>
      </c>
      <c r="V1632">
        <v>0</v>
      </c>
      <c r="W1632">
        <v>1246</v>
      </c>
      <c r="X1632">
        <f>NHS_AE_2024_2025[[#This Row],[A&amp;E attendances Type 1]]+
NHS_AE_2024_2025[[#This Row],[A&amp;E attendances Type 2]]+
NHS_AE_2024_2025[[#This Row],[A&amp;E attendances Other A&amp;E Department]]</f>
        <v>7538</v>
      </c>
      <c r="Y1632">
        <f t="shared" si="50"/>
        <v>3031</v>
      </c>
      <c r="Z1632">
        <f t="shared" si="51"/>
        <v>2916</v>
      </c>
    </row>
    <row r="1633" spans="1:26" x14ac:dyDescent="0.2">
      <c r="A1633" t="s">
        <v>452</v>
      </c>
      <c r="B1633" t="s">
        <v>453</v>
      </c>
      <c r="C1633" t="s">
        <v>258</v>
      </c>
      <c r="D1633" t="s">
        <v>50</v>
      </c>
      <c r="E1633" t="s">
        <v>259</v>
      </c>
      <c r="F1633">
        <v>5873</v>
      </c>
      <c r="G1633">
        <v>0</v>
      </c>
      <c r="H1633">
        <v>4098</v>
      </c>
      <c r="I1633">
        <v>28</v>
      </c>
      <c r="J1633">
        <v>0</v>
      </c>
      <c r="K1633">
        <v>3</v>
      </c>
      <c r="L1633">
        <v>2726</v>
      </c>
      <c r="M1633">
        <v>0</v>
      </c>
      <c r="N1633">
        <v>61</v>
      </c>
      <c r="O1633">
        <v>12</v>
      </c>
      <c r="P1633">
        <v>0</v>
      </c>
      <c r="Q1633">
        <v>0</v>
      </c>
      <c r="R1633">
        <v>954</v>
      </c>
      <c r="S1633">
        <v>4</v>
      </c>
      <c r="T1633">
        <v>1653</v>
      </c>
      <c r="U1633">
        <v>0</v>
      </c>
      <c r="V1633">
        <v>0</v>
      </c>
      <c r="W1633">
        <v>53</v>
      </c>
      <c r="X1633">
        <f>NHS_AE_2024_2025[[#This Row],[A&amp;E attendances Type 1]]+
NHS_AE_2024_2025[[#This Row],[A&amp;E attendances Type 2]]+
NHS_AE_2024_2025[[#This Row],[A&amp;E attendances Other A&amp;E Department]]</f>
        <v>9971</v>
      </c>
      <c r="Y1633">
        <f t="shared" si="50"/>
        <v>2787</v>
      </c>
      <c r="Z1633">
        <f t="shared" si="51"/>
        <v>1706</v>
      </c>
    </row>
    <row r="1634" spans="1:26" x14ac:dyDescent="0.2">
      <c r="A1634" t="s">
        <v>452</v>
      </c>
      <c r="B1634" t="s">
        <v>453</v>
      </c>
      <c r="C1634" t="s">
        <v>126</v>
      </c>
      <c r="D1634" t="s">
        <v>70</v>
      </c>
      <c r="E1634" t="s">
        <v>127</v>
      </c>
      <c r="F1634">
        <v>8347</v>
      </c>
      <c r="G1634">
        <v>0</v>
      </c>
      <c r="H1634">
        <v>8188</v>
      </c>
      <c r="I1634">
        <v>0</v>
      </c>
      <c r="J1634">
        <v>0</v>
      </c>
      <c r="K1634">
        <v>864</v>
      </c>
      <c r="L1634">
        <v>3113</v>
      </c>
      <c r="M1634">
        <v>0</v>
      </c>
      <c r="N1634">
        <v>401</v>
      </c>
      <c r="O1634">
        <v>0</v>
      </c>
      <c r="P1634">
        <v>0</v>
      </c>
      <c r="Q1634">
        <v>0</v>
      </c>
      <c r="R1634">
        <v>800</v>
      </c>
      <c r="S1634">
        <v>1</v>
      </c>
      <c r="T1634">
        <v>4007</v>
      </c>
      <c r="U1634">
        <v>0</v>
      </c>
      <c r="V1634">
        <v>0</v>
      </c>
      <c r="W1634">
        <v>560</v>
      </c>
      <c r="X1634">
        <f>NHS_AE_2024_2025[[#This Row],[A&amp;E attendances Type 1]]+
NHS_AE_2024_2025[[#This Row],[A&amp;E attendances Type 2]]+
NHS_AE_2024_2025[[#This Row],[A&amp;E attendances Other A&amp;E Department]]</f>
        <v>16535</v>
      </c>
      <c r="Y1634">
        <f t="shared" si="50"/>
        <v>3514</v>
      </c>
      <c r="Z1634">
        <f t="shared" si="51"/>
        <v>4567</v>
      </c>
    </row>
    <row r="1635" spans="1:26" x14ac:dyDescent="0.2">
      <c r="A1635" t="s">
        <v>452</v>
      </c>
      <c r="B1635" t="s">
        <v>453</v>
      </c>
      <c r="C1635" t="s">
        <v>90</v>
      </c>
      <c r="D1635" t="s">
        <v>29</v>
      </c>
      <c r="E1635" t="s">
        <v>91</v>
      </c>
      <c r="F1635">
        <v>0</v>
      </c>
      <c r="G1635">
        <v>0</v>
      </c>
      <c r="H1635">
        <v>8154</v>
      </c>
      <c r="I1635">
        <v>0</v>
      </c>
      <c r="J1635">
        <v>0</v>
      </c>
      <c r="K1635">
        <v>612</v>
      </c>
      <c r="L1635">
        <v>0</v>
      </c>
      <c r="M1635">
        <v>0</v>
      </c>
      <c r="N1635">
        <v>352</v>
      </c>
      <c r="O1635">
        <v>0</v>
      </c>
      <c r="P1635">
        <v>0</v>
      </c>
      <c r="Q1635">
        <v>6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f>NHS_AE_2024_2025[[#This Row],[A&amp;E attendances Type 1]]+
NHS_AE_2024_2025[[#This Row],[A&amp;E attendances Type 2]]+
NHS_AE_2024_2025[[#This Row],[A&amp;E attendances Other A&amp;E Department]]</f>
        <v>8154</v>
      </c>
      <c r="Y1635">
        <f t="shared" si="50"/>
        <v>352</v>
      </c>
      <c r="Z1635">
        <f t="shared" si="51"/>
        <v>0</v>
      </c>
    </row>
    <row r="1636" spans="1:26" x14ac:dyDescent="0.2">
      <c r="A1636" t="s">
        <v>452</v>
      </c>
      <c r="B1636" t="s">
        <v>453</v>
      </c>
      <c r="C1636" t="s">
        <v>110</v>
      </c>
      <c r="D1636" t="s">
        <v>37</v>
      </c>
      <c r="E1636" t="s">
        <v>111</v>
      </c>
      <c r="F1636">
        <v>0</v>
      </c>
      <c r="G1636">
        <v>0</v>
      </c>
      <c r="H1636">
        <v>1076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f>NHS_AE_2024_2025[[#This Row],[A&amp;E attendances Type 1]]+
NHS_AE_2024_2025[[#This Row],[A&amp;E attendances Type 2]]+
NHS_AE_2024_2025[[#This Row],[A&amp;E attendances Other A&amp;E Department]]</f>
        <v>1076</v>
      </c>
      <c r="Y1636">
        <f t="shared" si="50"/>
        <v>0</v>
      </c>
      <c r="Z1636">
        <f t="shared" si="51"/>
        <v>0</v>
      </c>
    </row>
    <row r="1637" spans="1:26" x14ac:dyDescent="0.2">
      <c r="A1637" t="s">
        <v>452</v>
      </c>
      <c r="B1637" t="s">
        <v>453</v>
      </c>
      <c r="C1637" t="s">
        <v>146</v>
      </c>
      <c r="D1637" t="s">
        <v>32</v>
      </c>
      <c r="E1637" t="s">
        <v>147</v>
      </c>
      <c r="F1637">
        <v>0</v>
      </c>
      <c r="G1637">
        <v>0</v>
      </c>
      <c r="H1637">
        <v>5649</v>
      </c>
      <c r="I1637">
        <v>0</v>
      </c>
      <c r="J1637">
        <v>0</v>
      </c>
      <c r="K1637">
        <v>268</v>
      </c>
      <c r="L1637">
        <v>0</v>
      </c>
      <c r="M1637">
        <v>0</v>
      </c>
      <c r="N1637">
        <v>412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f>NHS_AE_2024_2025[[#This Row],[A&amp;E attendances Type 1]]+
NHS_AE_2024_2025[[#This Row],[A&amp;E attendances Type 2]]+
NHS_AE_2024_2025[[#This Row],[A&amp;E attendances Other A&amp;E Department]]</f>
        <v>5649</v>
      </c>
      <c r="Y1637">
        <f t="shared" si="50"/>
        <v>412</v>
      </c>
      <c r="Z1637">
        <f t="shared" si="51"/>
        <v>0</v>
      </c>
    </row>
    <row r="1638" spans="1:26" x14ac:dyDescent="0.2">
      <c r="A1638" t="s">
        <v>452</v>
      </c>
      <c r="B1638" t="s">
        <v>453</v>
      </c>
      <c r="C1638" t="s">
        <v>154</v>
      </c>
      <c r="D1638" t="s">
        <v>70</v>
      </c>
      <c r="E1638" t="s">
        <v>155</v>
      </c>
      <c r="F1638">
        <v>7644</v>
      </c>
      <c r="G1638">
        <v>0</v>
      </c>
      <c r="H1638">
        <v>1449</v>
      </c>
      <c r="I1638">
        <v>116</v>
      </c>
      <c r="J1638">
        <v>0</v>
      </c>
      <c r="K1638">
        <v>0</v>
      </c>
      <c r="L1638">
        <v>3127</v>
      </c>
      <c r="M1638">
        <v>0</v>
      </c>
      <c r="N1638">
        <v>0</v>
      </c>
      <c r="O1638">
        <v>39</v>
      </c>
      <c r="P1638">
        <v>0</v>
      </c>
      <c r="Q1638">
        <v>0</v>
      </c>
      <c r="R1638">
        <v>621</v>
      </c>
      <c r="S1638">
        <v>412</v>
      </c>
      <c r="T1638">
        <v>1661</v>
      </c>
      <c r="U1638">
        <v>0</v>
      </c>
      <c r="V1638">
        <v>0</v>
      </c>
      <c r="W1638">
        <v>417</v>
      </c>
      <c r="X1638">
        <f>NHS_AE_2024_2025[[#This Row],[A&amp;E attendances Type 1]]+
NHS_AE_2024_2025[[#This Row],[A&amp;E attendances Type 2]]+
NHS_AE_2024_2025[[#This Row],[A&amp;E attendances Other A&amp;E Department]]</f>
        <v>9093</v>
      </c>
      <c r="Y1638">
        <f t="shared" si="50"/>
        <v>3127</v>
      </c>
      <c r="Z1638">
        <f t="shared" si="51"/>
        <v>2078</v>
      </c>
    </row>
    <row r="1639" spans="1:26" x14ac:dyDescent="0.2">
      <c r="A1639" t="s">
        <v>452</v>
      </c>
      <c r="B1639" t="s">
        <v>453</v>
      </c>
      <c r="C1639" t="s">
        <v>114</v>
      </c>
      <c r="D1639" t="s">
        <v>32</v>
      </c>
      <c r="E1639" t="s">
        <v>115</v>
      </c>
      <c r="F1639">
        <v>11615</v>
      </c>
      <c r="G1639">
        <v>618</v>
      </c>
      <c r="H1639">
        <v>2251</v>
      </c>
      <c r="I1639">
        <v>709</v>
      </c>
      <c r="J1639">
        <v>0</v>
      </c>
      <c r="K1639">
        <v>26</v>
      </c>
      <c r="L1639">
        <v>3860</v>
      </c>
      <c r="M1639">
        <v>13</v>
      </c>
      <c r="N1639">
        <v>81</v>
      </c>
      <c r="O1639">
        <v>197</v>
      </c>
      <c r="P1639">
        <v>0</v>
      </c>
      <c r="Q1639">
        <v>1</v>
      </c>
      <c r="R1639">
        <v>408</v>
      </c>
      <c r="S1639">
        <v>770</v>
      </c>
      <c r="T1639">
        <v>1991</v>
      </c>
      <c r="U1639">
        <v>0</v>
      </c>
      <c r="V1639">
        <v>0</v>
      </c>
      <c r="W1639">
        <v>1145</v>
      </c>
      <c r="X1639">
        <f>NHS_AE_2024_2025[[#This Row],[A&amp;E attendances Type 1]]+
NHS_AE_2024_2025[[#This Row],[A&amp;E attendances Type 2]]+
NHS_AE_2024_2025[[#This Row],[A&amp;E attendances Other A&amp;E Department]]</f>
        <v>14484</v>
      </c>
      <c r="Y1639">
        <f t="shared" si="50"/>
        <v>3954</v>
      </c>
      <c r="Z1639">
        <f t="shared" si="51"/>
        <v>3136</v>
      </c>
    </row>
    <row r="1640" spans="1:26" x14ac:dyDescent="0.2">
      <c r="A1640" t="s">
        <v>452</v>
      </c>
      <c r="B1640" t="s">
        <v>453</v>
      </c>
      <c r="C1640" t="s">
        <v>104</v>
      </c>
      <c r="D1640" t="s">
        <v>29</v>
      </c>
      <c r="E1640" t="s">
        <v>105</v>
      </c>
      <c r="F1640">
        <v>11636</v>
      </c>
      <c r="G1640">
        <v>0</v>
      </c>
      <c r="H1640">
        <v>0</v>
      </c>
      <c r="I1640">
        <v>15</v>
      </c>
      <c r="J1640">
        <v>0</v>
      </c>
      <c r="K1640">
        <v>0</v>
      </c>
      <c r="L1640">
        <v>2328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207</v>
      </c>
      <c r="S1640">
        <v>18</v>
      </c>
      <c r="T1640">
        <v>1787</v>
      </c>
      <c r="U1640">
        <v>0</v>
      </c>
      <c r="V1640">
        <v>0</v>
      </c>
      <c r="W1640">
        <v>308</v>
      </c>
      <c r="X1640">
        <f>NHS_AE_2024_2025[[#This Row],[A&amp;E attendances Type 1]]+
NHS_AE_2024_2025[[#This Row],[A&amp;E attendances Type 2]]+
NHS_AE_2024_2025[[#This Row],[A&amp;E attendances Other A&amp;E Department]]</f>
        <v>11636</v>
      </c>
      <c r="Y1640">
        <f t="shared" si="50"/>
        <v>2328</v>
      </c>
      <c r="Z1640">
        <f t="shared" si="51"/>
        <v>2095</v>
      </c>
    </row>
    <row r="1641" spans="1:26" x14ac:dyDescent="0.2">
      <c r="A1641" t="s">
        <v>452</v>
      </c>
      <c r="B1641" t="s">
        <v>453</v>
      </c>
      <c r="C1641" t="s">
        <v>88</v>
      </c>
      <c r="D1641" t="s">
        <v>29</v>
      </c>
      <c r="E1641" t="s">
        <v>89</v>
      </c>
      <c r="F1641">
        <v>13474</v>
      </c>
      <c r="G1641">
        <v>0</v>
      </c>
      <c r="H1641">
        <v>0</v>
      </c>
      <c r="I1641">
        <v>546</v>
      </c>
      <c r="J1641">
        <v>0</v>
      </c>
      <c r="K1641">
        <v>0</v>
      </c>
      <c r="L1641">
        <v>4779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426</v>
      </c>
      <c r="S1641">
        <v>140</v>
      </c>
      <c r="T1641">
        <v>1480</v>
      </c>
      <c r="U1641">
        <v>0</v>
      </c>
      <c r="V1641">
        <v>0</v>
      </c>
      <c r="W1641">
        <v>275</v>
      </c>
      <c r="X1641">
        <f>NHS_AE_2024_2025[[#This Row],[A&amp;E attendances Type 1]]+
NHS_AE_2024_2025[[#This Row],[A&amp;E attendances Type 2]]+
NHS_AE_2024_2025[[#This Row],[A&amp;E attendances Other A&amp;E Department]]</f>
        <v>13474</v>
      </c>
      <c r="Y1641">
        <f t="shared" si="50"/>
        <v>4779</v>
      </c>
      <c r="Z1641">
        <f t="shared" si="51"/>
        <v>1755</v>
      </c>
    </row>
    <row r="1642" spans="1:26" x14ac:dyDescent="0.2">
      <c r="A1642" t="s">
        <v>452</v>
      </c>
      <c r="B1642" t="s">
        <v>453</v>
      </c>
      <c r="C1642" t="s">
        <v>262</v>
      </c>
      <c r="D1642" t="s">
        <v>26</v>
      </c>
      <c r="E1642" t="s">
        <v>263</v>
      </c>
      <c r="F1642">
        <v>0</v>
      </c>
      <c r="G1642">
        <v>0</v>
      </c>
      <c r="H1642">
        <v>7544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46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24</v>
      </c>
      <c r="X1642">
        <f>NHS_AE_2024_2025[[#This Row],[A&amp;E attendances Type 1]]+
NHS_AE_2024_2025[[#This Row],[A&amp;E attendances Type 2]]+
NHS_AE_2024_2025[[#This Row],[A&amp;E attendances Other A&amp;E Department]]</f>
        <v>7544</v>
      </c>
      <c r="Y1642">
        <f t="shared" si="50"/>
        <v>46</v>
      </c>
      <c r="Z1642">
        <f t="shared" si="51"/>
        <v>24</v>
      </c>
    </row>
    <row r="1643" spans="1:26" x14ac:dyDescent="0.2">
      <c r="A1643" t="s">
        <v>452</v>
      </c>
      <c r="B1643" t="s">
        <v>453</v>
      </c>
      <c r="C1643" t="s">
        <v>166</v>
      </c>
      <c r="D1643" t="s">
        <v>50</v>
      </c>
      <c r="E1643" t="s">
        <v>167</v>
      </c>
      <c r="F1643">
        <v>0</v>
      </c>
      <c r="G1643">
        <v>0</v>
      </c>
      <c r="H1643">
        <v>1243</v>
      </c>
      <c r="I1643">
        <v>0</v>
      </c>
      <c r="J1643">
        <v>0</v>
      </c>
      <c r="K1643">
        <v>46</v>
      </c>
      <c r="L1643">
        <v>0</v>
      </c>
      <c r="M1643">
        <v>0</v>
      </c>
      <c r="N1643">
        <v>18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f>NHS_AE_2024_2025[[#This Row],[A&amp;E attendances Type 1]]+
NHS_AE_2024_2025[[#This Row],[A&amp;E attendances Type 2]]+
NHS_AE_2024_2025[[#This Row],[A&amp;E attendances Other A&amp;E Department]]</f>
        <v>1243</v>
      </c>
      <c r="Y1643">
        <f t="shared" si="50"/>
        <v>18</v>
      </c>
      <c r="Z1643">
        <f t="shared" si="51"/>
        <v>0</v>
      </c>
    </row>
    <row r="1644" spans="1:26" x14ac:dyDescent="0.2">
      <c r="A1644" t="s">
        <v>452</v>
      </c>
      <c r="B1644" t="s">
        <v>453</v>
      </c>
      <c r="C1644" t="s">
        <v>272</v>
      </c>
      <c r="D1644" t="s">
        <v>32</v>
      </c>
      <c r="E1644" t="s">
        <v>273</v>
      </c>
      <c r="F1644">
        <v>11073</v>
      </c>
      <c r="G1644">
        <v>0</v>
      </c>
      <c r="H1644">
        <v>2690</v>
      </c>
      <c r="I1644">
        <v>0</v>
      </c>
      <c r="J1644">
        <v>0</v>
      </c>
      <c r="K1644">
        <v>0</v>
      </c>
      <c r="L1644">
        <v>6706</v>
      </c>
      <c r="M1644">
        <v>0</v>
      </c>
      <c r="N1644">
        <v>390</v>
      </c>
      <c r="O1644">
        <v>0</v>
      </c>
      <c r="P1644">
        <v>0</v>
      </c>
      <c r="Q1644">
        <v>0</v>
      </c>
      <c r="R1644">
        <v>465</v>
      </c>
      <c r="S1644">
        <v>790</v>
      </c>
      <c r="T1644">
        <v>2944</v>
      </c>
      <c r="U1644">
        <v>0</v>
      </c>
      <c r="V1644">
        <v>136</v>
      </c>
      <c r="W1644">
        <v>2182</v>
      </c>
      <c r="X1644">
        <f>NHS_AE_2024_2025[[#This Row],[A&amp;E attendances Type 1]]+
NHS_AE_2024_2025[[#This Row],[A&amp;E attendances Type 2]]+
NHS_AE_2024_2025[[#This Row],[A&amp;E attendances Other A&amp;E Department]]</f>
        <v>13763</v>
      </c>
      <c r="Y1644">
        <f t="shared" si="50"/>
        <v>7096</v>
      </c>
      <c r="Z1644">
        <f t="shared" si="51"/>
        <v>5262</v>
      </c>
    </row>
    <row r="1645" spans="1:26" x14ac:dyDescent="0.2">
      <c r="A1645" t="s">
        <v>452</v>
      </c>
      <c r="B1645" t="s">
        <v>453</v>
      </c>
      <c r="C1645" t="s">
        <v>128</v>
      </c>
      <c r="D1645" t="s">
        <v>37</v>
      </c>
      <c r="E1645" t="s">
        <v>129</v>
      </c>
      <c r="F1645">
        <v>0</v>
      </c>
      <c r="G1645">
        <v>0</v>
      </c>
      <c r="H1645">
        <v>10818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44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f>NHS_AE_2024_2025[[#This Row],[A&amp;E attendances Type 1]]+
NHS_AE_2024_2025[[#This Row],[A&amp;E attendances Type 2]]+
NHS_AE_2024_2025[[#This Row],[A&amp;E attendances Other A&amp;E Department]]</f>
        <v>10818</v>
      </c>
      <c r="Y1645">
        <f t="shared" si="50"/>
        <v>44</v>
      </c>
      <c r="Z1645">
        <f t="shared" si="51"/>
        <v>0</v>
      </c>
    </row>
    <row r="1646" spans="1:26" x14ac:dyDescent="0.2">
      <c r="A1646" t="s">
        <v>452</v>
      </c>
      <c r="B1646" t="s">
        <v>453</v>
      </c>
      <c r="C1646" t="s">
        <v>108</v>
      </c>
      <c r="D1646" t="s">
        <v>37</v>
      </c>
      <c r="E1646" t="s">
        <v>109</v>
      </c>
      <c r="F1646">
        <v>0</v>
      </c>
      <c r="G1646">
        <v>0</v>
      </c>
      <c r="H1646">
        <v>2265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f>NHS_AE_2024_2025[[#This Row],[A&amp;E attendances Type 1]]+
NHS_AE_2024_2025[[#This Row],[A&amp;E attendances Type 2]]+
NHS_AE_2024_2025[[#This Row],[A&amp;E attendances Other A&amp;E Department]]</f>
        <v>2265</v>
      </c>
      <c r="Y1646">
        <f t="shared" si="50"/>
        <v>0</v>
      </c>
      <c r="Z1646">
        <f t="shared" si="51"/>
        <v>0</v>
      </c>
    </row>
    <row r="1647" spans="1:26" x14ac:dyDescent="0.2">
      <c r="A1647" t="s">
        <v>452</v>
      </c>
      <c r="B1647" t="s">
        <v>453</v>
      </c>
      <c r="C1647" t="s">
        <v>278</v>
      </c>
      <c r="D1647" t="s">
        <v>32</v>
      </c>
      <c r="E1647" t="s">
        <v>279</v>
      </c>
      <c r="F1647">
        <v>0</v>
      </c>
      <c r="G1647">
        <v>0</v>
      </c>
      <c r="H1647">
        <v>374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f>NHS_AE_2024_2025[[#This Row],[A&amp;E attendances Type 1]]+
NHS_AE_2024_2025[[#This Row],[A&amp;E attendances Type 2]]+
NHS_AE_2024_2025[[#This Row],[A&amp;E attendances Other A&amp;E Department]]</f>
        <v>374</v>
      </c>
      <c r="Y1647">
        <f t="shared" si="50"/>
        <v>0</v>
      </c>
      <c r="Z1647">
        <f t="shared" si="51"/>
        <v>0</v>
      </c>
    </row>
    <row r="1648" spans="1:26" x14ac:dyDescent="0.2">
      <c r="A1648" t="s">
        <v>452</v>
      </c>
      <c r="B1648" t="s">
        <v>453</v>
      </c>
      <c r="C1648" t="s">
        <v>100</v>
      </c>
      <c r="D1648" t="s">
        <v>37</v>
      </c>
      <c r="E1648" t="s">
        <v>101</v>
      </c>
      <c r="F1648">
        <v>0</v>
      </c>
      <c r="G1648">
        <v>0</v>
      </c>
      <c r="H1648">
        <v>5916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366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f>NHS_AE_2024_2025[[#This Row],[A&amp;E attendances Type 1]]+
NHS_AE_2024_2025[[#This Row],[A&amp;E attendances Type 2]]+
NHS_AE_2024_2025[[#This Row],[A&amp;E attendances Other A&amp;E Department]]</f>
        <v>5916</v>
      </c>
      <c r="Y1648">
        <f t="shared" si="50"/>
        <v>366</v>
      </c>
      <c r="Z1648">
        <f t="shared" si="51"/>
        <v>0</v>
      </c>
    </row>
    <row r="1649" spans="1:26" x14ac:dyDescent="0.2">
      <c r="A1649" t="s">
        <v>452</v>
      </c>
      <c r="B1649" t="s">
        <v>453</v>
      </c>
      <c r="C1649" t="s">
        <v>190</v>
      </c>
      <c r="D1649" t="s">
        <v>50</v>
      </c>
      <c r="E1649" t="s">
        <v>191</v>
      </c>
      <c r="F1649">
        <v>9649</v>
      </c>
      <c r="G1649">
        <v>1123</v>
      </c>
      <c r="H1649">
        <v>3445</v>
      </c>
      <c r="I1649">
        <v>0</v>
      </c>
      <c r="J1649">
        <v>0</v>
      </c>
      <c r="K1649">
        <v>0</v>
      </c>
      <c r="L1649">
        <v>2409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692</v>
      </c>
      <c r="S1649">
        <v>116</v>
      </c>
      <c r="T1649">
        <v>2479</v>
      </c>
      <c r="U1649">
        <v>0</v>
      </c>
      <c r="V1649">
        <v>63</v>
      </c>
      <c r="W1649">
        <v>1486</v>
      </c>
      <c r="X1649">
        <f>NHS_AE_2024_2025[[#This Row],[A&amp;E attendances Type 1]]+
NHS_AE_2024_2025[[#This Row],[A&amp;E attendances Type 2]]+
NHS_AE_2024_2025[[#This Row],[A&amp;E attendances Other A&amp;E Department]]</f>
        <v>14217</v>
      </c>
      <c r="Y1649">
        <f t="shared" si="50"/>
        <v>2409</v>
      </c>
      <c r="Z1649">
        <f t="shared" si="51"/>
        <v>4028</v>
      </c>
    </row>
    <row r="1650" spans="1:26" x14ac:dyDescent="0.2">
      <c r="A1650" t="s">
        <v>452</v>
      </c>
      <c r="B1650" t="s">
        <v>453</v>
      </c>
      <c r="C1650" t="s">
        <v>59</v>
      </c>
      <c r="D1650" t="s">
        <v>37</v>
      </c>
      <c r="E1650" t="s">
        <v>60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f>NHS_AE_2024_2025[[#This Row],[A&amp;E attendances Type 1]]+
NHS_AE_2024_2025[[#This Row],[A&amp;E attendances Type 2]]+
NHS_AE_2024_2025[[#This Row],[A&amp;E attendances Other A&amp;E Department]]</f>
        <v>0</v>
      </c>
      <c r="Y1650">
        <f t="shared" si="50"/>
        <v>0</v>
      </c>
      <c r="Z1650">
        <f t="shared" si="51"/>
        <v>0</v>
      </c>
    </row>
    <row r="1651" spans="1:26" x14ac:dyDescent="0.2">
      <c r="A1651" t="s">
        <v>452</v>
      </c>
      <c r="B1651" t="s">
        <v>453</v>
      </c>
      <c r="C1651" t="s">
        <v>61</v>
      </c>
      <c r="D1651" t="s">
        <v>55</v>
      </c>
      <c r="E1651" t="s">
        <v>62</v>
      </c>
      <c r="F1651">
        <v>0</v>
      </c>
      <c r="G1651">
        <v>0</v>
      </c>
      <c r="H1651">
        <v>1682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f>NHS_AE_2024_2025[[#This Row],[A&amp;E attendances Type 1]]+
NHS_AE_2024_2025[[#This Row],[A&amp;E attendances Type 2]]+
NHS_AE_2024_2025[[#This Row],[A&amp;E attendances Other A&amp;E Department]]</f>
        <v>1682</v>
      </c>
      <c r="Y1651">
        <f t="shared" si="50"/>
        <v>12</v>
      </c>
      <c r="Z1651">
        <f t="shared" si="51"/>
        <v>0</v>
      </c>
    </row>
    <row r="1652" spans="1:26" x14ac:dyDescent="0.2">
      <c r="A1652" t="s">
        <v>452</v>
      </c>
      <c r="B1652" t="s">
        <v>453</v>
      </c>
      <c r="C1652" t="s">
        <v>67</v>
      </c>
      <c r="D1652" t="s">
        <v>29</v>
      </c>
      <c r="E1652" t="s">
        <v>68</v>
      </c>
      <c r="F1652">
        <v>0</v>
      </c>
      <c r="G1652">
        <v>0</v>
      </c>
      <c r="H1652">
        <v>892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f>NHS_AE_2024_2025[[#This Row],[A&amp;E attendances Type 1]]+
NHS_AE_2024_2025[[#This Row],[A&amp;E attendances Type 2]]+
NHS_AE_2024_2025[[#This Row],[A&amp;E attendances Other A&amp;E Department]]</f>
        <v>892</v>
      </c>
      <c r="Y1652">
        <f t="shared" si="50"/>
        <v>0</v>
      </c>
      <c r="Z1652">
        <f t="shared" si="51"/>
        <v>0</v>
      </c>
    </row>
    <row r="1653" spans="1:26" x14ac:dyDescent="0.2">
      <c r="A1653" t="s">
        <v>452</v>
      </c>
      <c r="B1653" t="s">
        <v>453</v>
      </c>
      <c r="C1653" t="s">
        <v>31</v>
      </c>
      <c r="D1653" t="s">
        <v>32</v>
      </c>
      <c r="E1653" t="s">
        <v>33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2119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f>NHS_AE_2024_2025[[#This Row],[A&amp;E attendances Type 1]]+
NHS_AE_2024_2025[[#This Row],[A&amp;E attendances Type 2]]+
NHS_AE_2024_2025[[#This Row],[A&amp;E attendances Other A&amp;E Department]]</f>
        <v>0</v>
      </c>
      <c r="Y1653">
        <f t="shared" si="50"/>
        <v>0</v>
      </c>
      <c r="Z1653">
        <f t="shared" si="51"/>
        <v>0</v>
      </c>
    </row>
    <row r="1654" spans="1:26" x14ac:dyDescent="0.2">
      <c r="A1654" t="s">
        <v>452</v>
      </c>
      <c r="B1654" t="s">
        <v>453</v>
      </c>
      <c r="C1654" t="s">
        <v>184</v>
      </c>
      <c r="D1654" t="s">
        <v>55</v>
      </c>
      <c r="E1654" t="s">
        <v>185</v>
      </c>
      <c r="F1654">
        <v>0</v>
      </c>
      <c r="G1654">
        <v>0</v>
      </c>
      <c r="H1654">
        <v>1227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f>NHS_AE_2024_2025[[#This Row],[A&amp;E attendances Type 1]]+
NHS_AE_2024_2025[[#This Row],[A&amp;E attendances Type 2]]+
NHS_AE_2024_2025[[#This Row],[A&amp;E attendances Other A&amp;E Department]]</f>
        <v>1227</v>
      </c>
      <c r="Y1654">
        <f t="shared" si="50"/>
        <v>0</v>
      </c>
      <c r="Z1654">
        <f t="shared" si="51"/>
        <v>0</v>
      </c>
    </row>
    <row r="1655" spans="1:26" x14ac:dyDescent="0.2">
      <c r="A1655" t="s">
        <v>452</v>
      </c>
      <c r="B1655" t="s">
        <v>453</v>
      </c>
      <c r="C1655" t="s">
        <v>226</v>
      </c>
      <c r="D1655" t="s">
        <v>37</v>
      </c>
      <c r="E1655" t="s">
        <v>227</v>
      </c>
      <c r="F1655">
        <v>6641</v>
      </c>
      <c r="G1655">
        <v>0</v>
      </c>
      <c r="H1655">
        <v>1451</v>
      </c>
      <c r="I1655">
        <v>708</v>
      </c>
      <c r="J1655">
        <v>0</v>
      </c>
      <c r="K1655">
        <v>10</v>
      </c>
      <c r="L1655">
        <v>2310</v>
      </c>
      <c r="M1655">
        <v>0</v>
      </c>
      <c r="N1655">
        <v>0</v>
      </c>
      <c r="O1655">
        <v>215</v>
      </c>
      <c r="P1655">
        <v>0</v>
      </c>
      <c r="Q1655">
        <v>0</v>
      </c>
      <c r="R1655">
        <v>390</v>
      </c>
      <c r="S1655">
        <v>7</v>
      </c>
      <c r="T1655">
        <v>2415</v>
      </c>
      <c r="U1655">
        <v>0</v>
      </c>
      <c r="V1655">
        <v>0</v>
      </c>
      <c r="W1655">
        <v>1118</v>
      </c>
      <c r="X1655">
        <f>NHS_AE_2024_2025[[#This Row],[A&amp;E attendances Type 1]]+
NHS_AE_2024_2025[[#This Row],[A&amp;E attendances Type 2]]+
NHS_AE_2024_2025[[#This Row],[A&amp;E attendances Other A&amp;E Department]]</f>
        <v>8092</v>
      </c>
      <c r="Y1655">
        <f t="shared" si="50"/>
        <v>2310</v>
      </c>
      <c r="Z1655">
        <f t="shared" si="51"/>
        <v>3533</v>
      </c>
    </row>
    <row r="1656" spans="1:26" x14ac:dyDescent="0.2">
      <c r="A1656" t="s">
        <v>452</v>
      </c>
      <c r="B1656" t="s">
        <v>453</v>
      </c>
      <c r="C1656" t="s">
        <v>234</v>
      </c>
      <c r="D1656" t="s">
        <v>26</v>
      </c>
      <c r="E1656" t="s">
        <v>235</v>
      </c>
      <c r="F1656">
        <v>4472</v>
      </c>
      <c r="G1656">
        <v>0</v>
      </c>
      <c r="H1656">
        <v>0</v>
      </c>
      <c r="I1656">
        <v>380</v>
      </c>
      <c r="J1656">
        <v>0</v>
      </c>
      <c r="K1656">
        <v>4478</v>
      </c>
      <c r="L1656">
        <v>1774</v>
      </c>
      <c r="M1656">
        <v>0</v>
      </c>
      <c r="N1656">
        <v>0</v>
      </c>
      <c r="O1656">
        <v>116</v>
      </c>
      <c r="P1656">
        <v>0</v>
      </c>
      <c r="Q1656">
        <v>8</v>
      </c>
      <c r="R1656">
        <v>225</v>
      </c>
      <c r="S1656">
        <v>15</v>
      </c>
      <c r="T1656">
        <v>1829</v>
      </c>
      <c r="U1656">
        <v>0</v>
      </c>
      <c r="V1656">
        <v>0</v>
      </c>
      <c r="W1656">
        <v>542</v>
      </c>
      <c r="X1656">
        <f>NHS_AE_2024_2025[[#This Row],[A&amp;E attendances Type 1]]+
NHS_AE_2024_2025[[#This Row],[A&amp;E attendances Type 2]]+
NHS_AE_2024_2025[[#This Row],[A&amp;E attendances Other A&amp;E Department]]</f>
        <v>4472</v>
      </c>
      <c r="Y1656">
        <f t="shared" si="50"/>
        <v>1774</v>
      </c>
      <c r="Z1656">
        <f t="shared" si="51"/>
        <v>2371</v>
      </c>
    </row>
    <row r="1657" spans="1:26" x14ac:dyDescent="0.2">
      <c r="A1657" t="s">
        <v>452</v>
      </c>
      <c r="B1657" t="s">
        <v>453</v>
      </c>
      <c r="C1657" t="s">
        <v>150</v>
      </c>
      <c r="D1657" t="s">
        <v>55</v>
      </c>
      <c r="E1657" t="s">
        <v>151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775</v>
      </c>
      <c r="X1657">
        <f>NHS_AE_2024_2025[[#This Row],[A&amp;E attendances Type 1]]+
NHS_AE_2024_2025[[#This Row],[A&amp;E attendances Type 2]]+
NHS_AE_2024_2025[[#This Row],[A&amp;E attendances Other A&amp;E Department]]</f>
        <v>0</v>
      </c>
      <c r="Y1657">
        <f t="shared" si="50"/>
        <v>0</v>
      </c>
      <c r="Z1657">
        <f t="shared" si="51"/>
        <v>775</v>
      </c>
    </row>
    <row r="1658" spans="1:26" x14ac:dyDescent="0.2">
      <c r="A1658" t="s">
        <v>452</v>
      </c>
      <c r="B1658" t="s">
        <v>453</v>
      </c>
      <c r="C1658" t="s">
        <v>196</v>
      </c>
      <c r="D1658" t="s">
        <v>37</v>
      </c>
      <c r="E1658" t="s">
        <v>197</v>
      </c>
      <c r="F1658">
        <v>23846</v>
      </c>
      <c r="G1658">
        <v>918</v>
      </c>
      <c r="H1658">
        <v>11696</v>
      </c>
      <c r="I1658">
        <v>0</v>
      </c>
      <c r="J1658">
        <v>0</v>
      </c>
      <c r="K1658">
        <v>0</v>
      </c>
      <c r="L1658">
        <v>10001</v>
      </c>
      <c r="M1658">
        <v>1</v>
      </c>
      <c r="N1658">
        <v>91</v>
      </c>
      <c r="O1658">
        <v>0</v>
      </c>
      <c r="P1658">
        <v>0</v>
      </c>
      <c r="Q1658">
        <v>0</v>
      </c>
      <c r="R1658">
        <v>2229</v>
      </c>
      <c r="S1658">
        <v>227</v>
      </c>
      <c r="T1658">
        <v>6175</v>
      </c>
      <c r="U1658">
        <v>0</v>
      </c>
      <c r="V1658">
        <v>0</v>
      </c>
      <c r="W1658">
        <v>286</v>
      </c>
      <c r="X1658">
        <f>NHS_AE_2024_2025[[#This Row],[A&amp;E attendances Type 1]]+
NHS_AE_2024_2025[[#This Row],[A&amp;E attendances Type 2]]+
NHS_AE_2024_2025[[#This Row],[A&amp;E attendances Other A&amp;E Department]]</f>
        <v>36460</v>
      </c>
      <c r="Y1658">
        <f t="shared" si="50"/>
        <v>10093</v>
      </c>
      <c r="Z1658">
        <f t="shared" si="51"/>
        <v>6461</v>
      </c>
    </row>
    <row r="1659" spans="1:26" x14ac:dyDescent="0.2">
      <c r="A1659" t="s">
        <v>452</v>
      </c>
      <c r="B1659" t="s">
        <v>453</v>
      </c>
      <c r="C1659" t="s">
        <v>102</v>
      </c>
      <c r="D1659" t="s">
        <v>55</v>
      </c>
      <c r="E1659" t="s">
        <v>103</v>
      </c>
      <c r="F1659">
        <v>16314</v>
      </c>
      <c r="G1659">
        <v>1892</v>
      </c>
      <c r="H1659">
        <v>8219</v>
      </c>
      <c r="I1659">
        <v>497</v>
      </c>
      <c r="J1659">
        <v>0</v>
      </c>
      <c r="K1659">
        <v>0</v>
      </c>
      <c r="L1659">
        <v>7886</v>
      </c>
      <c r="M1659">
        <v>176</v>
      </c>
      <c r="N1659">
        <v>333</v>
      </c>
      <c r="O1659">
        <v>85</v>
      </c>
      <c r="P1659">
        <v>0</v>
      </c>
      <c r="Q1659">
        <v>0</v>
      </c>
      <c r="R1659">
        <v>2226</v>
      </c>
      <c r="S1659">
        <v>1329</v>
      </c>
      <c r="T1659">
        <v>5403</v>
      </c>
      <c r="U1659">
        <v>0</v>
      </c>
      <c r="V1659">
        <v>0</v>
      </c>
      <c r="W1659">
        <v>2573</v>
      </c>
      <c r="X1659">
        <f>NHS_AE_2024_2025[[#This Row],[A&amp;E attendances Type 1]]+
NHS_AE_2024_2025[[#This Row],[A&amp;E attendances Type 2]]+
NHS_AE_2024_2025[[#This Row],[A&amp;E attendances Other A&amp;E Department]]</f>
        <v>26425</v>
      </c>
      <c r="Y1659">
        <f t="shared" si="50"/>
        <v>8395</v>
      </c>
      <c r="Z1659">
        <f t="shared" si="51"/>
        <v>7976</v>
      </c>
    </row>
    <row r="1660" spans="1:26" x14ac:dyDescent="0.2">
      <c r="A1660" t="s">
        <v>452</v>
      </c>
      <c r="B1660" t="s">
        <v>453</v>
      </c>
      <c r="C1660" t="s">
        <v>384</v>
      </c>
      <c r="D1660" t="s">
        <v>55</v>
      </c>
      <c r="E1660" t="s">
        <v>385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160</v>
      </c>
      <c r="X1660">
        <f>NHS_AE_2024_2025[[#This Row],[A&amp;E attendances Type 1]]+
NHS_AE_2024_2025[[#This Row],[A&amp;E attendances Type 2]]+
NHS_AE_2024_2025[[#This Row],[A&amp;E attendances Other A&amp;E Department]]</f>
        <v>0</v>
      </c>
      <c r="Y1660">
        <f t="shared" si="50"/>
        <v>0</v>
      </c>
      <c r="Z1660">
        <f t="shared" si="51"/>
        <v>160</v>
      </c>
    </row>
    <row r="1661" spans="1:26" x14ac:dyDescent="0.2">
      <c r="A1661" t="s">
        <v>452</v>
      </c>
      <c r="B1661" t="s">
        <v>453</v>
      </c>
      <c r="C1661" t="s">
        <v>406</v>
      </c>
      <c r="D1661" t="s">
        <v>37</v>
      </c>
      <c r="E1661" t="s">
        <v>407</v>
      </c>
      <c r="F1661">
        <v>12521</v>
      </c>
      <c r="G1661">
        <v>2303</v>
      </c>
      <c r="H1661">
        <v>0</v>
      </c>
      <c r="I1661">
        <v>692</v>
      </c>
      <c r="J1661">
        <v>15</v>
      </c>
      <c r="K1661">
        <v>0</v>
      </c>
      <c r="L1661">
        <v>4363</v>
      </c>
      <c r="M1661">
        <v>31</v>
      </c>
      <c r="N1661">
        <v>0</v>
      </c>
      <c r="O1661">
        <v>202</v>
      </c>
      <c r="P1661">
        <v>1</v>
      </c>
      <c r="Q1661">
        <v>0</v>
      </c>
      <c r="R1661">
        <v>690</v>
      </c>
      <c r="S1661">
        <v>0</v>
      </c>
      <c r="T1661">
        <v>2648</v>
      </c>
      <c r="U1661">
        <v>0</v>
      </c>
      <c r="V1661">
        <v>0</v>
      </c>
      <c r="W1661">
        <v>880</v>
      </c>
      <c r="X1661">
        <f>NHS_AE_2024_2025[[#This Row],[A&amp;E attendances Type 1]]+
NHS_AE_2024_2025[[#This Row],[A&amp;E attendances Type 2]]+
NHS_AE_2024_2025[[#This Row],[A&amp;E attendances Other A&amp;E Department]]</f>
        <v>14824</v>
      </c>
      <c r="Y1661">
        <f t="shared" si="50"/>
        <v>4394</v>
      </c>
      <c r="Z1661">
        <f t="shared" si="51"/>
        <v>3528</v>
      </c>
    </row>
    <row r="1662" spans="1:26" x14ac:dyDescent="0.2">
      <c r="A1662" t="s">
        <v>452</v>
      </c>
      <c r="B1662" t="s">
        <v>453</v>
      </c>
      <c r="C1662" t="s">
        <v>254</v>
      </c>
      <c r="D1662" t="s">
        <v>50</v>
      </c>
      <c r="E1662" t="s">
        <v>255</v>
      </c>
      <c r="F1662">
        <v>9427</v>
      </c>
      <c r="G1662">
        <v>0</v>
      </c>
      <c r="H1662">
        <v>2160</v>
      </c>
      <c r="I1662">
        <v>345</v>
      </c>
      <c r="J1662">
        <v>0</v>
      </c>
      <c r="K1662">
        <v>35</v>
      </c>
      <c r="L1662">
        <v>4191</v>
      </c>
      <c r="M1662">
        <v>0</v>
      </c>
      <c r="N1662">
        <v>29</v>
      </c>
      <c r="O1662">
        <v>113</v>
      </c>
      <c r="P1662">
        <v>0</v>
      </c>
      <c r="Q1662">
        <v>0</v>
      </c>
      <c r="R1662">
        <v>801</v>
      </c>
      <c r="S1662">
        <v>592</v>
      </c>
      <c r="T1662">
        <v>2460</v>
      </c>
      <c r="U1662">
        <v>0</v>
      </c>
      <c r="V1662">
        <v>0</v>
      </c>
      <c r="W1662">
        <v>786</v>
      </c>
      <c r="X1662">
        <f>NHS_AE_2024_2025[[#This Row],[A&amp;E attendances Type 1]]+
NHS_AE_2024_2025[[#This Row],[A&amp;E attendances Type 2]]+
NHS_AE_2024_2025[[#This Row],[A&amp;E attendances Other A&amp;E Department]]</f>
        <v>11587</v>
      </c>
      <c r="Y1662">
        <f t="shared" si="50"/>
        <v>4220</v>
      </c>
      <c r="Z1662">
        <f t="shared" si="51"/>
        <v>3246</v>
      </c>
    </row>
    <row r="1663" spans="1:26" x14ac:dyDescent="0.2">
      <c r="A1663" t="s">
        <v>452</v>
      </c>
      <c r="B1663" t="s">
        <v>453</v>
      </c>
      <c r="C1663" t="s">
        <v>162</v>
      </c>
      <c r="D1663" t="s">
        <v>29</v>
      </c>
      <c r="E1663" t="s">
        <v>163</v>
      </c>
      <c r="F1663">
        <v>0</v>
      </c>
      <c r="G1663">
        <v>6053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155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5</v>
      </c>
      <c r="V1663">
        <v>0</v>
      </c>
      <c r="W1663">
        <v>191</v>
      </c>
      <c r="X1663">
        <f>NHS_AE_2024_2025[[#This Row],[A&amp;E attendances Type 1]]+
NHS_AE_2024_2025[[#This Row],[A&amp;E attendances Type 2]]+
NHS_AE_2024_2025[[#This Row],[A&amp;E attendances Other A&amp;E Department]]</f>
        <v>6053</v>
      </c>
      <c r="Y1663">
        <f t="shared" si="50"/>
        <v>155</v>
      </c>
      <c r="Z1663">
        <f t="shared" si="51"/>
        <v>196</v>
      </c>
    </row>
    <row r="1664" spans="1:26" x14ac:dyDescent="0.2">
      <c r="A1664" t="s">
        <v>452</v>
      </c>
      <c r="B1664" t="s">
        <v>453</v>
      </c>
      <c r="C1664" t="s">
        <v>328</v>
      </c>
      <c r="D1664" t="s">
        <v>70</v>
      </c>
      <c r="E1664" t="s">
        <v>329</v>
      </c>
      <c r="F1664">
        <v>8607</v>
      </c>
      <c r="G1664">
        <v>0</v>
      </c>
      <c r="H1664">
        <v>2099</v>
      </c>
      <c r="I1664">
        <v>0</v>
      </c>
      <c r="J1664">
        <v>0</v>
      </c>
      <c r="K1664">
        <v>830</v>
      </c>
      <c r="L1664">
        <v>4138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477</v>
      </c>
      <c r="S1664">
        <v>129</v>
      </c>
      <c r="T1664">
        <v>2166</v>
      </c>
      <c r="U1664">
        <v>0</v>
      </c>
      <c r="V1664">
        <v>0</v>
      </c>
      <c r="W1664">
        <v>411</v>
      </c>
      <c r="X1664">
        <f>NHS_AE_2024_2025[[#This Row],[A&amp;E attendances Type 1]]+
NHS_AE_2024_2025[[#This Row],[A&amp;E attendances Type 2]]+
NHS_AE_2024_2025[[#This Row],[A&amp;E attendances Other A&amp;E Department]]</f>
        <v>10706</v>
      </c>
      <c r="Y1664">
        <f t="shared" si="50"/>
        <v>4138</v>
      </c>
      <c r="Z1664">
        <f t="shared" si="51"/>
        <v>2577</v>
      </c>
    </row>
    <row r="1665" spans="1:26" x14ac:dyDescent="0.2">
      <c r="A1665" t="s">
        <v>452</v>
      </c>
      <c r="B1665" t="s">
        <v>453</v>
      </c>
      <c r="C1665" t="s">
        <v>392</v>
      </c>
      <c r="D1665" t="s">
        <v>50</v>
      </c>
      <c r="E1665" t="s">
        <v>393</v>
      </c>
      <c r="F1665">
        <v>12756</v>
      </c>
      <c r="G1665">
        <v>1661</v>
      </c>
      <c r="H1665">
        <v>5174</v>
      </c>
      <c r="I1665">
        <v>0</v>
      </c>
      <c r="J1665">
        <v>0</v>
      </c>
      <c r="K1665">
        <v>976</v>
      </c>
      <c r="L1665">
        <v>5565</v>
      </c>
      <c r="M1665">
        <v>192</v>
      </c>
      <c r="N1665">
        <v>0</v>
      </c>
      <c r="O1665">
        <v>0</v>
      </c>
      <c r="P1665">
        <v>0</v>
      </c>
      <c r="Q1665">
        <v>0</v>
      </c>
      <c r="R1665">
        <v>616</v>
      </c>
      <c r="S1665">
        <v>65</v>
      </c>
      <c r="T1665">
        <v>3960</v>
      </c>
      <c r="U1665">
        <v>22</v>
      </c>
      <c r="V1665">
        <v>0</v>
      </c>
      <c r="W1665">
        <v>3012</v>
      </c>
      <c r="X1665">
        <f>NHS_AE_2024_2025[[#This Row],[A&amp;E attendances Type 1]]+
NHS_AE_2024_2025[[#This Row],[A&amp;E attendances Type 2]]+
NHS_AE_2024_2025[[#This Row],[A&amp;E attendances Other A&amp;E Department]]</f>
        <v>19591</v>
      </c>
      <c r="Y1665">
        <f t="shared" si="50"/>
        <v>5757</v>
      </c>
      <c r="Z1665">
        <f t="shared" si="51"/>
        <v>6994</v>
      </c>
    </row>
    <row r="1666" spans="1:26" x14ac:dyDescent="0.2">
      <c r="A1666" t="s">
        <v>452</v>
      </c>
      <c r="B1666" t="s">
        <v>453</v>
      </c>
      <c r="C1666" t="s">
        <v>208</v>
      </c>
      <c r="D1666" t="s">
        <v>32</v>
      </c>
      <c r="E1666" t="s">
        <v>209</v>
      </c>
      <c r="F1666">
        <v>22167</v>
      </c>
      <c r="G1666">
        <v>0</v>
      </c>
      <c r="H1666">
        <v>10256</v>
      </c>
      <c r="I1666">
        <v>507</v>
      </c>
      <c r="J1666">
        <v>0</v>
      </c>
      <c r="K1666">
        <v>34</v>
      </c>
      <c r="L1666">
        <v>9134</v>
      </c>
      <c r="M1666">
        <v>0</v>
      </c>
      <c r="N1666">
        <v>29</v>
      </c>
      <c r="O1666">
        <v>227</v>
      </c>
      <c r="P1666">
        <v>0</v>
      </c>
      <c r="Q1666">
        <v>2</v>
      </c>
      <c r="R1666">
        <v>851</v>
      </c>
      <c r="S1666">
        <v>876</v>
      </c>
      <c r="T1666">
        <v>4332</v>
      </c>
      <c r="U1666">
        <v>0</v>
      </c>
      <c r="V1666">
        <v>2</v>
      </c>
      <c r="W1666">
        <v>2683</v>
      </c>
      <c r="X1666">
        <f>NHS_AE_2024_2025[[#This Row],[A&amp;E attendances Type 1]]+
NHS_AE_2024_2025[[#This Row],[A&amp;E attendances Type 2]]+
NHS_AE_2024_2025[[#This Row],[A&amp;E attendances Other A&amp;E Department]]</f>
        <v>32423</v>
      </c>
      <c r="Y1666">
        <f t="shared" ref="Y1666:Y1729" si="52">L1666+M1666+N1666</f>
        <v>9163</v>
      </c>
      <c r="Z1666">
        <f t="shared" ref="Z1666:Z1729" si="53">T1666+U1666+V1666+W1666</f>
        <v>7017</v>
      </c>
    </row>
    <row r="1667" spans="1:26" x14ac:dyDescent="0.2">
      <c r="A1667" t="s">
        <v>452</v>
      </c>
      <c r="B1667" t="s">
        <v>453</v>
      </c>
      <c r="C1667" t="s">
        <v>268</v>
      </c>
      <c r="D1667" t="s">
        <v>37</v>
      </c>
      <c r="E1667" t="s">
        <v>269</v>
      </c>
      <c r="F1667">
        <v>18736</v>
      </c>
      <c r="G1667">
        <v>0</v>
      </c>
      <c r="H1667">
        <v>2257</v>
      </c>
      <c r="I1667">
        <v>724</v>
      </c>
      <c r="J1667">
        <v>0</v>
      </c>
      <c r="K1667">
        <v>203</v>
      </c>
      <c r="L1667">
        <v>3276</v>
      </c>
      <c r="M1667">
        <v>0</v>
      </c>
      <c r="N1667">
        <v>52</v>
      </c>
      <c r="O1667">
        <v>87</v>
      </c>
      <c r="P1667">
        <v>0</v>
      </c>
      <c r="Q1667">
        <v>0</v>
      </c>
      <c r="R1667">
        <v>901</v>
      </c>
      <c r="S1667">
        <v>27</v>
      </c>
      <c r="T1667">
        <v>5193</v>
      </c>
      <c r="U1667">
        <v>0</v>
      </c>
      <c r="V1667">
        <v>0</v>
      </c>
      <c r="W1667">
        <v>1034</v>
      </c>
      <c r="X1667">
        <f>NHS_AE_2024_2025[[#This Row],[A&amp;E attendances Type 1]]+
NHS_AE_2024_2025[[#This Row],[A&amp;E attendances Type 2]]+
NHS_AE_2024_2025[[#This Row],[A&amp;E attendances Other A&amp;E Department]]</f>
        <v>20993</v>
      </c>
      <c r="Y1667">
        <f t="shared" si="52"/>
        <v>3328</v>
      </c>
      <c r="Z1667">
        <f t="shared" si="53"/>
        <v>6227</v>
      </c>
    </row>
    <row r="1668" spans="1:26" x14ac:dyDescent="0.2">
      <c r="A1668" t="s">
        <v>452</v>
      </c>
      <c r="B1668" t="s">
        <v>453</v>
      </c>
      <c r="C1668" t="s">
        <v>168</v>
      </c>
      <c r="D1668" t="s">
        <v>32</v>
      </c>
      <c r="E1668" t="s">
        <v>169</v>
      </c>
      <c r="F1668">
        <v>13286</v>
      </c>
      <c r="G1668">
        <v>0</v>
      </c>
      <c r="H1668">
        <v>6397</v>
      </c>
      <c r="I1668">
        <v>161</v>
      </c>
      <c r="J1668">
        <v>0</v>
      </c>
      <c r="K1668">
        <v>12</v>
      </c>
      <c r="L1668">
        <v>6643</v>
      </c>
      <c r="M1668">
        <v>0</v>
      </c>
      <c r="N1668">
        <v>41</v>
      </c>
      <c r="O1668">
        <v>58</v>
      </c>
      <c r="P1668">
        <v>0</v>
      </c>
      <c r="Q1668">
        <v>0</v>
      </c>
      <c r="R1668">
        <v>955</v>
      </c>
      <c r="S1668">
        <v>271</v>
      </c>
      <c r="T1668">
        <v>3747</v>
      </c>
      <c r="U1668">
        <v>0</v>
      </c>
      <c r="V1668">
        <v>0</v>
      </c>
      <c r="W1668">
        <v>1479</v>
      </c>
      <c r="X1668">
        <f>NHS_AE_2024_2025[[#This Row],[A&amp;E attendances Type 1]]+
NHS_AE_2024_2025[[#This Row],[A&amp;E attendances Type 2]]+
NHS_AE_2024_2025[[#This Row],[A&amp;E attendances Other A&amp;E Department]]</f>
        <v>19683</v>
      </c>
      <c r="Y1668">
        <f t="shared" si="52"/>
        <v>6684</v>
      </c>
      <c r="Z1668">
        <f t="shared" si="53"/>
        <v>5226</v>
      </c>
    </row>
    <row r="1669" spans="1:26" x14ac:dyDescent="0.2">
      <c r="A1669" t="s">
        <v>452</v>
      </c>
      <c r="B1669" t="s">
        <v>453</v>
      </c>
      <c r="C1669" t="s">
        <v>170</v>
      </c>
      <c r="D1669" t="s">
        <v>32</v>
      </c>
      <c r="E1669" t="s">
        <v>171</v>
      </c>
      <c r="F1669">
        <v>16556</v>
      </c>
      <c r="G1669">
        <v>1970</v>
      </c>
      <c r="H1669">
        <v>333</v>
      </c>
      <c r="I1669">
        <v>608</v>
      </c>
      <c r="J1669">
        <v>0</v>
      </c>
      <c r="K1669">
        <v>0</v>
      </c>
      <c r="L1669">
        <v>7908</v>
      </c>
      <c r="M1669">
        <v>79</v>
      </c>
      <c r="N1669">
        <v>3</v>
      </c>
      <c r="O1669">
        <v>264</v>
      </c>
      <c r="P1669">
        <v>0</v>
      </c>
      <c r="Q1669">
        <v>0</v>
      </c>
      <c r="R1669">
        <v>878</v>
      </c>
      <c r="S1669">
        <v>450</v>
      </c>
      <c r="T1669">
        <v>4380</v>
      </c>
      <c r="U1669">
        <v>0</v>
      </c>
      <c r="V1669">
        <v>0</v>
      </c>
      <c r="W1669">
        <v>3970</v>
      </c>
      <c r="X1669">
        <f>NHS_AE_2024_2025[[#This Row],[A&amp;E attendances Type 1]]+
NHS_AE_2024_2025[[#This Row],[A&amp;E attendances Type 2]]+
NHS_AE_2024_2025[[#This Row],[A&amp;E attendances Other A&amp;E Department]]</f>
        <v>18859</v>
      </c>
      <c r="Y1669">
        <f t="shared" si="52"/>
        <v>7990</v>
      </c>
      <c r="Z1669">
        <f t="shared" si="53"/>
        <v>8350</v>
      </c>
    </row>
    <row r="1670" spans="1:26" x14ac:dyDescent="0.2">
      <c r="A1670" t="s">
        <v>452</v>
      </c>
      <c r="B1670" t="s">
        <v>453</v>
      </c>
      <c r="C1670" t="s">
        <v>52</v>
      </c>
      <c r="D1670" t="s">
        <v>37</v>
      </c>
      <c r="E1670" t="s">
        <v>53</v>
      </c>
      <c r="F1670">
        <v>10475</v>
      </c>
      <c r="G1670">
        <v>1169</v>
      </c>
      <c r="H1670">
        <v>3949</v>
      </c>
      <c r="I1670">
        <v>0</v>
      </c>
      <c r="J1670">
        <v>0</v>
      </c>
      <c r="K1670">
        <v>0</v>
      </c>
      <c r="L1670">
        <v>3977</v>
      </c>
      <c r="M1670">
        <v>0</v>
      </c>
      <c r="N1670">
        <v>251</v>
      </c>
      <c r="O1670">
        <v>0</v>
      </c>
      <c r="P1670">
        <v>0</v>
      </c>
      <c r="Q1670">
        <v>0</v>
      </c>
      <c r="R1670">
        <v>369</v>
      </c>
      <c r="S1670">
        <v>148</v>
      </c>
      <c r="T1670">
        <v>4150</v>
      </c>
      <c r="U1670">
        <v>821</v>
      </c>
      <c r="V1670">
        <v>0</v>
      </c>
      <c r="W1670">
        <v>1899</v>
      </c>
      <c r="X1670">
        <f>NHS_AE_2024_2025[[#This Row],[A&amp;E attendances Type 1]]+
NHS_AE_2024_2025[[#This Row],[A&amp;E attendances Type 2]]+
NHS_AE_2024_2025[[#This Row],[A&amp;E attendances Other A&amp;E Department]]</f>
        <v>15593</v>
      </c>
      <c r="Y1670">
        <f t="shared" si="52"/>
        <v>4228</v>
      </c>
      <c r="Z1670">
        <f t="shared" si="53"/>
        <v>6870</v>
      </c>
    </row>
    <row r="1671" spans="1:26" x14ac:dyDescent="0.2">
      <c r="A1671" t="s">
        <v>452</v>
      </c>
      <c r="B1671" t="s">
        <v>453</v>
      </c>
      <c r="C1671" t="s">
        <v>216</v>
      </c>
      <c r="D1671" t="s">
        <v>55</v>
      </c>
      <c r="E1671" t="s">
        <v>217</v>
      </c>
      <c r="F1671">
        <v>13526</v>
      </c>
      <c r="G1671">
        <v>0</v>
      </c>
      <c r="H1671">
        <v>11586</v>
      </c>
      <c r="I1671">
        <v>0</v>
      </c>
      <c r="J1671">
        <v>0</v>
      </c>
      <c r="K1671">
        <v>0</v>
      </c>
      <c r="L1671">
        <v>4466</v>
      </c>
      <c r="M1671">
        <v>0</v>
      </c>
      <c r="N1671">
        <v>556</v>
      </c>
      <c r="O1671">
        <v>0</v>
      </c>
      <c r="P1671">
        <v>0</v>
      </c>
      <c r="Q1671">
        <v>0</v>
      </c>
      <c r="R1671">
        <v>408</v>
      </c>
      <c r="S1671">
        <v>1200</v>
      </c>
      <c r="T1671">
        <v>3312</v>
      </c>
      <c r="U1671">
        <v>0</v>
      </c>
      <c r="V1671">
        <v>74</v>
      </c>
      <c r="W1671">
        <v>1762</v>
      </c>
      <c r="X1671">
        <f>NHS_AE_2024_2025[[#This Row],[A&amp;E attendances Type 1]]+
NHS_AE_2024_2025[[#This Row],[A&amp;E attendances Type 2]]+
NHS_AE_2024_2025[[#This Row],[A&amp;E attendances Other A&amp;E Department]]</f>
        <v>25112</v>
      </c>
      <c r="Y1671">
        <f t="shared" si="52"/>
        <v>5022</v>
      </c>
      <c r="Z1671">
        <f t="shared" si="53"/>
        <v>5148</v>
      </c>
    </row>
    <row r="1672" spans="1:26" x14ac:dyDescent="0.2">
      <c r="A1672" t="s">
        <v>452</v>
      </c>
      <c r="B1672" t="s">
        <v>453</v>
      </c>
      <c r="C1672" t="s">
        <v>57</v>
      </c>
      <c r="D1672" t="s">
        <v>32</v>
      </c>
      <c r="E1672" t="s">
        <v>58</v>
      </c>
      <c r="F1672">
        <v>0</v>
      </c>
      <c r="G1672">
        <v>0</v>
      </c>
      <c r="H1672">
        <v>6626</v>
      </c>
      <c r="I1672">
        <v>0</v>
      </c>
      <c r="J1672">
        <v>0</v>
      </c>
      <c r="K1672">
        <v>1671</v>
      </c>
      <c r="L1672">
        <v>0</v>
      </c>
      <c r="M1672">
        <v>0</v>
      </c>
      <c r="N1672">
        <v>127</v>
      </c>
      <c r="O1672">
        <v>0</v>
      </c>
      <c r="P1672">
        <v>0</v>
      </c>
      <c r="Q1672">
        <v>14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f>NHS_AE_2024_2025[[#This Row],[A&amp;E attendances Type 1]]+
NHS_AE_2024_2025[[#This Row],[A&amp;E attendances Type 2]]+
NHS_AE_2024_2025[[#This Row],[A&amp;E attendances Other A&amp;E Department]]</f>
        <v>6626</v>
      </c>
      <c r="Y1672">
        <f t="shared" si="52"/>
        <v>127</v>
      </c>
      <c r="Z1672">
        <f t="shared" si="53"/>
        <v>0</v>
      </c>
    </row>
    <row r="1673" spans="1:26" x14ac:dyDescent="0.2">
      <c r="A1673" t="s">
        <v>452</v>
      </c>
      <c r="B1673" t="s">
        <v>453</v>
      </c>
      <c r="C1673" t="s">
        <v>106</v>
      </c>
      <c r="D1673" t="s">
        <v>37</v>
      </c>
      <c r="E1673" t="s">
        <v>107</v>
      </c>
      <c r="F1673">
        <v>0</v>
      </c>
      <c r="G1673">
        <v>0</v>
      </c>
      <c r="H1673">
        <v>2012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f>NHS_AE_2024_2025[[#This Row],[A&amp;E attendances Type 1]]+
NHS_AE_2024_2025[[#This Row],[A&amp;E attendances Type 2]]+
NHS_AE_2024_2025[[#This Row],[A&amp;E attendances Other A&amp;E Department]]</f>
        <v>2012</v>
      </c>
      <c r="Y1673">
        <f t="shared" si="52"/>
        <v>0</v>
      </c>
      <c r="Z1673">
        <f t="shared" si="53"/>
        <v>0</v>
      </c>
    </row>
    <row r="1674" spans="1:26" x14ac:dyDescent="0.2">
      <c r="A1674" t="s">
        <v>452</v>
      </c>
      <c r="B1674" t="s">
        <v>453</v>
      </c>
      <c r="C1674" t="s">
        <v>65</v>
      </c>
      <c r="D1674" t="s">
        <v>32</v>
      </c>
      <c r="E1674" t="s">
        <v>66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2107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f>NHS_AE_2024_2025[[#This Row],[A&amp;E attendances Type 1]]+
NHS_AE_2024_2025[[#This Row],[A&amp;E attendances Type 2]]+
NHS_AE_2024_2025[[#This Row],[A&amp;E attendances Other A&amp;E Department]]</f>
        <v>0</v>
      </c>
      <c r="Y1674">
        <f t="shared" si="52"/>
        <v>0</v>
      </c>
      <c r="Z1674">
        <f t="shared" si="53"/>
        <v>0</v>
      </c>
    </row>
    <row r="1675" spans="1:26" x14ac:dyDescent="0.2">
      <c r="A1675" t="s">
        <v>452</v>
      </c>
      <c r="B1675" t="s">
        <v>453</v>
      </c>
      <c r="C1675" t="s">
        <v>118</v>
      </c>
      <c r="D1675" t="s">
        <v>32</v>
      </c>
      <c r="E1675" t="s">
        <v>119</v>
      </c>
      <c r="F1675">
        <v>0</v>
      </c>
      <c r="G1675">
        <v>0</v>
      </c>
      <c r="H1675">
        <v>2184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5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f>NHS_AE_2024_2025[[#This Row],[A&amp;E attendances Type 1]]+
NHS_AE_2024_2025[[#This Row],[A&amp;E attendances Type 2]]+
NHS_AE_2024_2025[[#This Row],[A&amp;E attendances Other A&amp;E Department]]</f>
        <v>2184</v>
      </c>
      <c r="Y1675">
        <f t="shared" si="52"/>
        <v>5</v>
      </c>
      <c r="Z1675">
        <f t="shared" si="53"/>
        <v>0</v>
      </c>
    </row>
    <row r="1676" spans="1:26" x14ac:dyDescent="0.2">
      <c r="A1676" t="s">
        <v>452</v>
      </c>
      <c r="B1676" t="s">
        <v>453</v>
      </c>
      <c r="C1676" t="s">
        <v>76</v>
      </c>
      <c r="D1676" t="s">
        <v>37</v>
      </c>
      <c r="E1676" t="s">
        <v>77</v>
      </c>
      <c r="F1676">
        <v>0</v>
      </c>
      <c r="G1676">
        <v>0</v>
      </c>
      <c r="H1676">
        <v>5696</v>
      </c>
      <c r="I1676">
        <v>0</v>
      </c>
      <c r="J1676">
        <v>0</v>
      </c>
      <c r="K1676">
        <v>315</v>
      </c>
      <c r="L1676">
        <v>0</v>
      </c>
      <c r="M1676">
        <v>0</v>
      </c>
      <c r="N1676">
        <v>68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f>NHS_AE_2024_2025[[#This Row],[A&amp;E attendances Type 1]]+
NHS_AE_2024_2025[[#This Row],[A&amp;E attendances Type 2]]+
NHS_AE_2024_2025[[#This Row],[A&amp;E attendances Other A&amp;E Department]]</f>
        <v>5696</v>
      </c>
      <c r="Y1676">
        <f t="shared" si="52"/>
        <v>68</v>
      </c>
      <c r="Z1676">
        <f t="shared" si="53"/>
        <v>0</v>
      </c>
    </row>
    <row r="1677" spans="1:26" x14ac:dyDescent="0.2">
      <c r="A1677" t="s">
        <v>452</v>
      </c>
      <c r="B1677" t="s">
        <v>453</v>
      </c>
      <c r="C1677" t="s">
        <v>120</v>
      </c>
      <c r="D1677" t="s">
        <v>50</v>
      </c>
      <c r="E1677" t="s">
        <v>121</v>
      </c>
      <c r="F1677">
        <v>11704</v>
      </c>
      <c r="G1677">
        <v>1271</v>
      </c>
      <c r="H1677">
        <v>6486</v>
      </c>
      <c r="I1677">
        <v>514</v>
      </c>
      <c r="J1677">
        <v>0</v>
      </c>
      <c r="K1677">
        <v>1550</v>
      </c>
      <c r="L1677">
        <v>4949</v>
      </c>
      <c r="M1677">
        <v>29</v>
      </c>
      <c r="N1677">
        <v>103</v>
      </c>
      <c r="O1677">
        <v>241</v>
      </c>
      <c r="P1677">
        <v>0</v>
      </c>
      <c r="Q1677">
        <v>21</v>
      </c>
      <c r="R1677">
        <v>470</v>
      </c>
      <c r="S1677">
        <v>4</v>
      </c>
      <c r="T1677">
        <v>4614</v>
      </c>
      <c r="U1677">
        <v>18</v>
      </c>
      <c r="V1677">
        <v>0</v>
      </c>
      <c r="W1677">
        <v>1183</v>
      </c>
      <c r="X1677">
        <f>NHS_AE_2024_2025[[#This Row],[A&amp;E attendances Type 1]]+
NHS_AE_2024_2025[[#This Row],[A&amp;E attendances Type 2]]+
NHS_AE_2024_2025[[#This Row],[A&amp;E attendances Other A&amp;E Department]]</f>
        <v>19461</v>
      </c>
      <c r="Y1677">
        <f t="shared" si="52"/>
        <v>5081</v>
      </c>
      <c r="Z1677">
        <f t="shared" si="53"/>
        <v>5815</v>
      </c>
    </row>
    <row r="1678" spans="1:26" x14ac:dyDescent="0.2">
      <c r="A1678" t="s">
        <v>452</v>
      </c>
      <c r="B1678" t="s">
        <v>453</v>
      </c>
      <c r="C1678" t="s">
        <v>186</v>
      </c>
      <c r="D1678" t="s">
        <v>26</v>
      </c>
      <c r="E1678" t="s">
        <v>187</v>
      </c>
      <c r="F1678">
        <v>13855</v>
      </c>
      <c r="G1678">
        <v>0</v>
      </c>
      <c r="H1678">
        <v>5621</v>
      </c>
      <c r="I1678">
        <v>0</v>
      </c>
      <c r="J1678">
        <v>0</v>
      </c>
      <c r="K1678">
        <v>0</v>
      </c>
      <c r="L1678">
        <v>5354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955</v>
      </c>
      <c r="S1678">
        <v>203</v>
      </c>
      <c r="T1678">
        <v>4243</v>
      </c>
      <c r="U1678">
        <v>4</v>
      </c>
      <c r="V1678">
        <v>0</v>
      </c>
      <c r="W1678">
        <v>2585</v>
      </c>
      <c r="X1678">
        <f>NHS_AE_2024_2025[[#This Row],[A&amp;E attendances Type 1]]+
NHS_AE_2024_2025[[#This Row],[A&amp;E attendances Type 2]]+
NHS_AE_2024_2025[[#This Row],[A&amp;E attendances Other A&amp;E Department]]</f>
        <v>19476</v>
      </c>
      <c r="Y1678">
        <f t="shared" si="52"/>
        <v>5354</v>
      </c>
      <c r="Z1678">
        <f t="shared" si="53"/>
        <v>6832</v>
      </c>
    </row>
    <row r="1679" spans="1:26" x14ac:dyDescent="0.2">
      <c r="A1679" t="s">
        <v>452</v>
      </c>
      <c r="B1679" t="s">
        <v>453</v>
      </c>
      <c r="C1679" t="s">
        <v>288</v>
      </c>
      <c r="D1679" t="s">
        <v>29</v>
      </c>
      <c r="E1679" t="s">
        <v>289</v>
      </c>
      <c r="F1679">
        <v>13910</v>
      </c>
      <c r="G1679">
        <v>0</v>
      </c>
      <c r="H1679">
        <v>16014</v>
      </c>
      <c r="I1679">
        <v>0</v>
      </c>
      <c r="J1679">
        <v>0</v>
      </c>
      <c r="K1679">
        <v>0</v>
      </c>
      <c r="L1679">
        <v>7504</v>
      </c>
      <c r="M1679">
        <v>0</v>
      </c>
      <c r="N1679">
        <v>268</v>
      </c>
      <c r="O1679">
        <v>0</v>
      </c>
      <c r="P1679">
        <v>0</v>
      </c>
      <c r="Q1679">
        <v>0</v>
      </c>
      <c r="R1679">
        <v>855</v>
      </c>
      <c r="S1679">
        <v>432</v>
      </c>
      <c r="T1679">
        <v>6671</v>
      </c>
      <c r="U1679">
        <v>0</v>
      </c>
      <c r="V1679">
        <v>0</v>
      </c>
      <c r="W1679">
        <v>378</v>
      </c>
      <c r="X1679">
        <f>NHS_AE_2024_2025[[#This Row],[A&amp;E attendances Type 1]]+
NHS_AE_2024_2025[[#This Row],[A&amp;E attendances Type 2]]+
NHS_AE_2024_2025[[#This Row],[A&amp;E attendances Other A&amp;E Department]]</f>
        <v>29924</v>
      </c>
      <c r="Y1679">
        <f t="shared" si="52"/>
        <v>7772</v>
      </c>
      <c r="Z1679">
        <f t="shared" si="53"/>
        <v>7049</v>
      </c>
    </row>
    <row r="1680" spans="1:26" x14ac:dyDescent="0.2">
      <c r="A1680" t="s">
        <v>452</v>
      </c>
      <c r="B1680" t="s">
        <v>453</v>
      </c>
      <c r="C1680" t="s">
        <v>188</v>
      </c>
      <c r="D1680" t="s">
        <v>26</v>
      </c>
      <c r="E1680" t="s">
        <v>189</v>
      </c>
      <c r="F1680">
        <v>16093</v>
      </c>
      <c r="G1680">
        <v>2411</v>
      </c>
      <c r="H1680">
        <v>0</v>
      </c>
      <c r="I1680">
        <v>0</v>
      </c>
      <c r="J1680">
        <v>0</v>
      </c>
      <c r="K1680">
        <v>0</v>
      </c>
      <c r="L1680">
        <v>5753</v>
      </c>
      <c r="M1680">
        <v>166</v>
      </c>
      <c r="N1680">
        <v>0</v>
      </c>
      <c r="O1680">
        <v>0</v>
      </c>
      <c r="P1680">
        <v>0</v>
      </c>
      <c r="Q1680">
        <v>0</v>
      </c>
      <c r="R1680">
        <v>1268</v>
      </c>
      <c r="S1680">
        <v>321</v>
      </c>
      <c r="T1680">
        <v>5329</v>
      </c>
      <c r="U1680">
        <v>9</v>
      </c>
      <c r="V1680">
        <v>0</v>
      </c>
      <c r="W1680">
        <v>1484</v>
      </c>
      <c r="X1680">
        <f>NHS_AE_2024_2025[[#This Row],[A&amp;E attendances Type 1]]+
NHS_AE_2024_2025[[#This Row],[A&amp;E attendances Type 2]]+
NHS_AE_2024_2025[[#This Row],[A&amp;E attendances Other A&amp;E Department]]</f>
        <v>18504</v>
      </c>
      <c r="Y1680">
        <f t="shared" si="52"/>
        <v>5919</v>
      </c>
      <c r="Z1680">
        <f t="shared" si="53"/>
        <v>6822</v>
      </c>
    </row>
    <row r="1681" spans="1:26" x14ac:dyDescent="0.2">
      <c r="A1681" t="s">
        <v>452</v>
      </c>
      <c r="B1681" t="s">
        <v>453</v>
      </c>
      <c r="C1681" t="s">
        <v>192</v>
      </c>
      <c r="D1681" t="s">
        <v>55</v>
      </c>
      <c r="E1681" t="s">
        <v>193</v>
      </c>
      <c r="F1681">
        <v>6107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805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1003</v>
      </c>
      <c r="U1681">
        <v>0</v>
      </c>
      <c r="V1681">
        <v>0</v>
      </c>
      <c r="W1681">
        <v>312</v>
      </c>
      <c r="X1681">
        <f>NHS_AE_2024_2025[[#This Row],[A&amp;E attendances Type 1]]+
NHS_AE_2024_2025[[#This Row],[A&amp;E attendances Type 2]]+
NHS_AE_2024_2025[[#This Row],[A&amp;E attendances Other A&amp;E Department]]</f>
        <v>6107</v>
      </c>
      <c r="Y1681">
        <f t="shared" si="52"/>
        <v>805</v>
      </c>
      <c r="Z1681">
        <f t="shared" si="53"/>
        <v>1315</v>
      </c>
    </row>
    <row r="1682" spans="1:26" x14ac:dyDescent="0.2">
      <c r="A1682" t="s">
        <v>452</v>
      </c>
      <c r="B1682" t="s">
        <v>453</v>
      </c>
      <c r="C1682" t="s">
        <v>152</v>
      </c>
      <c r="D1682" t="s">
        <v>26</v>
      </c>
      <c r="E1682" t="s">
        <v>153</v>
      </c>
      <c r="F1682">
        <v>6719</v>
      </c>
      <c r="G1682">
        <v>0</v>
      </c>
      <c r="H1682">
        <v>13370</v>
      </c>
      <c r="I1682">
        <v>0</v>
      </c>
      <c r="J1682">
        <v>0</v>
      </c>
      <c r="K1682">
        <v>0</v>
      </c>
      <c r="L1682">
        <v>4041</v>
      </c>
      <c r="M1682">
        <v>0</v>
      </c>
      <c r="N1682">
        <v>782</v>
      </c>
      <c r="O1682">
        <v>0</v>
      </c>
      <c r="P1682">
        <v>0</v>
      </c>
      <c r="Q1682">
        <v>0</v>
      </c>
      <c r="R1682">
        <v>506</v>
      </c>
      <c r="S1682">
        <v>476</v>
      </c>
      <c r="T1682">
        <v>2250</v>
      </c>
      <c r="U1682">
        <v>0</v>
      </c>
      <c r="V1682">
        <v>47</v>
      </c>
      <c r="W1682">
        <v>1239</v>
      </c>
      <c r="X1682">
        <f>NHS_AE_2024_2025[[#This Row],[A&amp;E attendances Type 1]]+
NHS_AE_2024_2025[[#This Row],[A&amp;E attendances Type 2]]+
NHS_AE_2024_2025[[#This Row],[A&amp;E attendances Other A&amp;E Department]]</f>
        <v>20089</v>
      </c>
      <c r="Y1682">
        <f t="shared" si="52"/>
        <v>4823</v>
      </c>
      <c r="Z1682">
        <f t="shared" si="53"/>
        <v>3536</v>
      </c>
    </row>
    <row r="1683" spans="1:26" x14ac:dyDescent="0.2">
      <c r="A1683" t="s">
        <v>452</v>
      </c>
      <c r="B1683" t="s">
        <v>453</v>
      </c>
      <c r="C1683" t="s">
        <v>112</v>
      </c>
      <c r="D1683" t="s">
        <v>55</v>
      </c>
      <c r="E1683" t="s">
        <v>113</v>
      </c>
      <c r="F1683">
        <v>4714</v>
      </c>
      <c r="G1683">
        <v>0</v>
      </c>
      <c r="H1683">
        <v>0</v>
      </c>
      <c r="I1683">
        <v>81</v>
      </c>
      <c r="J1683">
        <v>0</v>
      </c>
      <c r="K1683">
        <v>51</v>
      </c>
      <c r="L1683">
        <v>2396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268</v>
      </c>
      <c r="S1683">
        <v>332</v>
      </c>
      <c r="T1683">
        <v>933</v>
      </c>
      <c r="U1683">
        <v>0</v>
      </c>
      <c r="V1683">
        <v>0</v>
      </c>
      <c r="W1683">
        <v>197</v>
      </c>
      <c r="X1683">
        <f>NHS_AE_2024_2025[[#This Row],[A&amp;E attendances Type 1]]+
NHS_AE_2024_2025[[#This Row],[A&amp;E attendances Type 2]]+
NHS_AE_2024_2025[[#This Row],[A&amp;E attendances Other A&amp;E Department]]</f>
        <v>4714</v>
      </c>
      <c r="Y1683">
        <f t="shared" si="52"/>
        <v>2396</v>
      </c>
      <c r="Z1683">
        <f t="shared" si="53"/>
        <v>1130</v>
      </c>
    </row>
    <row r="1684" spans="1:26" x14ac:dyDescent="0.2">
      <c r="A1684" t="s">
        <v>452</v>
      </c>
      <c r="B1684" t="s">
        <v>453</v>
      </c>
      <c r="C1684" t="s">
        <v>202</v>
      </c>
      <c r="D1684" t="s">
        <v>32</v>
      </c>
      <c r="E1684" t="s">
        <v>203</v>
      </c>
      <c r="F1684">
        <v>13697</v>
      </c>
      <c r="G1684">
        <v>0</v>
      </c>
      <c r="H1684">
        <v>8229</v>
      </c>
      <c r="I1684">
        <v>150</v>
      </c>
      <c r="J1684">
        <v>0</v>
      </c>
      <c r="K1684">
        <v>920</v>
      </c>
      <c r="L1684">
        <v>4115</v>
      </c>
      <c r="M1684">
        <v>0</v>
      </c>
      <c r="N1684">
        <v>203</v>
      </c>
      <c r="O1684">
        <v>21</v>
      </c>
      <c r="P1684">
        <v>0</v>
      </c>
      <c r="Q1684">
        <v>3</v>
      </c>
      <c r="R1684">
        <v>1205</v>
      </c>
      <c r="S1684">
        <v>225</v>
      </c>
      <c r="T1684">
        <v>6241</v>
      </c>
      <c r="U1684">
        <v>0</v>
      </c>
      <c r="V1684">
        <v>0</v>
      </c>
      <c r="W1684">
        <v>959</v>
      </c>
      <c r="X1684">
        <f>NHS_AE_2024_2025[[#This Row],[A&amp;E attendances Type 1]]+
NHS_AE_2024_2025[[#This Row],[A&amp;E attendances Type 2]]+
NHS_AE_2024_2025[[#This Row],[A&amp;E attendances Other A&amp;E Department]]</f>
        <v>21926</v>
      </c>
      <c r="Y1684">
        <f t="shared" si="52"/>
        <v>4318</v>
      </c>
      <c r="Z1684">
        <f t="shared" si="53"/>
        <v>7200</v>
      </c>
    </row>
    <row r="1685" spans="1:26" x14ac:dyDescent="0.2">
      <c r="A1685" t="s">
        <v>452</v>
      </c>
      <c r="B1685" t="s">
        <v>453</v>
      </c>
      <c r="C1685" t="s">
        <v>374</v>
      </c>
      <c r="D1685" t="s">
        <v>37</v>
      </c>
      <c r="E1685" t="s">
        <v>375</v>
      </c>
      <c r="F1685">
        <v>11876</v>
      </c>
      <c r="G1685">
        <v>0</v>
      </c>
      <c r="H1685">
        <v>3899</v>
      </c>
      <c r="I1685">
        <v>0</v>
      </c>
      <c r="J1685">
        <v>0</v>
      </c>
      <c r="K1685">
        <v>0</v>
      </c>
      <c r="L1685">
        <v>3237</v>
      </c>
      <c r="M1685">
        <v>0</v>
      </c>
      <c r="N1685">
        <v>33</v>
      </c>
      <c r="O1685">
        <v>0</v>
      </c>
      <c r="P1685">
        <v>0</v>
      </c>
      <c r="Q1685">
        <v>0</v>
      </c>
      <c r="R1685">
        <v>680</v>
      </c>
      <c r="S1685">
        <v>51</v>
      </c>
      <c r="T1685">
        <v>3190</v>
      </c>
      <c r="U1685">
        <v>0</v>
      </c>
      <c r="V1685">
        <v>0</v>
      </c>
      <c r="W1685">
        <v>459</v>
      </c>
      <c r="X1685">
        <f>NHS_AE_2024_2025[[#This Row],[A&amp;E attendances Type 1]]+
NHS_AE_2024_2025[[#This Row],[A&amp;E attendances Type 2]]+
NHS_AE_2024_2025[[#This Row],[A&amp;E attendances Other A&amp;E Department]]</f>
        <v>15775</v>
      </c>
      <c r="Y1685">
        <f t="shared" si="52"/>
        <v>3270</v>
      </c>
      <c r="Z1685">
        <f t="shared" si="53"/>
        <v>3649</v>
      </c>
    </row>
    <row r="1686" spans="1:26" x14ac:dyDescent="0.2">
      <c r="A1686" t="s">
        <v>452</v>
      </c>
      <c r="B1686" t="s">
        <v>453</v>
      </c>
      <c r="C1686" t="s">
        <v>158</v>
      </c>
      <c r="D1686" t="s">
        <v>32</v>
      </c>
      <c r="E1686" t="s">
        <v>159</v>
      </c>
      <c r="F1686">
        <v>9799</v>
      </c>
      <c r="G1686">
        <v>0</v>
      </c>
      <c r="H1686">
        <v>4817</v>
      </c>
      <c r="I1686">
        <v>125</v>
      </c>
      <c r="J1686">
        <v>0</v>
      </c>
      <c r="K1686">
        <v>753</v>
      </c>
      <c r="L1686">
        <v>2723</v>
      </c>
      <c r="M1686">
        <v>0</v>
      </c>
      <c r="N1686">
        <v>186</v>
      </c>
      <c r="O1686">
        <v>7</v>
      </c>
      <c r="P1686">
        <v>0</v>
      </c>
      <c r="Q1686">
        <v>0</v>
      </c>
      <c r="R1686">
        <v>1860</v>
      </c>
      <c r="S1686">
        <v>238</v>
      </c>
      <c r="T1686">
        <v>3469</v>
      </c>
      <c r="U1686">
        <v>0</v>
      </c>
      <c r="V1686">
        <v>0</v>
      </c>
      <c r="W1686">
        <v>2261</v>
      </c>
      <c r="X1686">
        <f>NHS_AE_2024_2025[[#This Row],[A&amp;E attendances Type 1]]+
NHS_AE_2024_2025[[#This Row],[A&amp;E attendances Type 2]]+
NHS_AE_2024_2025[[#This Row],[A&amp;E attendances Other A&amp;E Department]]</f>
        <v>14616</v>
      </c>
      <c r="Y1686">
        <f t="shared" si="52"/>
        <v>2909</v>
      </c>
      <c r="Z1686">
        <f t="shared" si="53"/>
        <v>5730</v>
      </c>
    </row>
    <row r="1687" spans="1:26" x14ac:dyDescent="0.2">
      <c r="A1687" t="s">
        <v>452</v>
      </c>
      <c r="B1687" t="s">
        <v>453</v>
      </c>
      <c r="C1687" t="s">
        <v>160</v>
      </c>
      <c r="D1687" t="s">
        <v>32</v>
      </c>
      <c r="E1687" t="s">
        <v>161</v>
      </c>
      <c r="F1687">
        <v>9967</v>
      </c>
      <c r="G1687">
        <v>0</v>
      </c>
      <c r="H1687">
        <v>9616</v>
      </c>
      <c r="I1687">
        <v>506</v>
      </c>
      <c r="J1687">
        <v>0</v>
      </c>
      <c r="K1687">
        <v>0</v>
      </c>
      <c r="L1687">
        <v>3580</v>
      </c>
      <c r="M1687">
        <v>0</v>
      </c>
      <c r="N1687">
        <v>109</v>
      </c>
      <c r="O1687">
        <v>0</v>
      </c>
      <c r="P1687">
        <v>0</v>
      </c>
      <c r="Q1687">
        <v>0</v>
      </c>
      <c r="R1687">
        <v>1384</v>
      </c>
      <c r="S1687">
        <v>0</v>
      </c>
      <c r="T1687">
        <v>2040</v>
      </c>
      <c r="U1687">
        <v>0</v>
      </c>
      <c r="V1687">
        <v>0</v>
      </c>
      <c r="W1687">
        <v>216</v>
      </c>
      <c r="X1687">
        <f>NHS_AE_2024_2025[[#This Row],[A&amp;E attendances Type 1]]+
NHS_AE_2024_2025[[#This Row],[A&amp;E attendances Type 2]]+
NHS_AE_2024_2025[[#This Row],[A&amp;E attendances Other A&amp;E Department]]</f>
        <v>19583</v>
      </c>
      <c r="Y1687">
        <f t="shared" si="52"/>
        <v>3689</v>
      </c>
      <c r="Z1687">
        <f t="shared" si="53"/>
        <v>2256</v>
      </c>
    </row>
    <row r="1688" spans="1:26" x14ac:dyDescent="0.2">
      <c r="A1688" t="s">
        <v>452</v>
      </c>
      <c r="B1688" t="s">
        <v>453</v>
      </c>
      <c r="C1688" t="s">
        <v>320</v>
      </c>
      <c r="D1688" t="s">
        <v>26</v>
      </c>
      <c r="E1688" t="s">
        <v>321</v>
      </c>
      <c r="F1688">
        <v>4554</v>
      </c>
      <c r="G1688">
        <v>319</v>
      </c>
      <c r="H1688">
        <v>2165</v>
      </c>
      <c r="I1688">
        <v>328</v>
      </c>
      <c r="J1688">
        <v>0</v>
      </c>
      <c r="K1688">
        <v>0</v>
      </c>
      <c r="L1688">
        <v>1697</v>
      </c>
      <c r="M1688">
        <v>0</v>
      </c>
      <c r="N1688">
        <v>0</v>
      </c>
      <c r="O1688">
        <v>120</v>
      </c>
      <c r="P1688">
        <v>0</v>
      </c>
      <c r="Q1688">
        <v>0</v>
      </c>
      <c r="R1688">
        <v>370</v>
      </c>
      <c r="S1688">
        <v>5</v>
      </c>
      <c r="T1688">
        <v>1450</v>
      </c>
      <c r="U1688">
        <v>0</v>
      </c>
      <c r="V1688">
        <v>0</v>
      </c>
      <c r="W1688">
        <v>922</v>
      </c>
      <c r="X1688">
        <f>NHS_AE_2024_2025[[#This Row],[A&amp;E attendances Type 1]]+
NHS_AE_2024_2025[[#This Row],[A&amp;E attendances Type 2]]+
NHS_AE_2024_2025[[#This Row],[A&amp;E attendances Other A&amp;E Department]]</f>
        <v>7038</v>
      </c>
      <c r="Y1688">
        <f t="shared" si="52"/>
        <v>1697</v>
      </c>
      <c r="Z1688">
        <f t="shared" si="53"/>
        <v>2372</v>
      </c>
    </row>
    <row r="1689" spans="1:26" x14ac:dyDescent="0.2">
      <c r="A1689" t="s">
        <v>452</v>
      </c>
      <c r="B1689" t="s">
        <v>453</v>
      </c>
      <c r="C1689" t="s">
        <v>212</v>
      </c>
      <c r="D1689" t="s">
        <v>50</v>
      </c>
      <c r="E1689" t="s">
        <v>213</v>
      </c>
      <c r="F1689">
        <v>4879</v>
      </c>
      <c r="G1689">
        <v>0</v>
      </c>
      <c r="H1689">
        <v>12102</v>
      </c>
      <c r="I1689">
        <v>0</v>
      </c>
      <c r="J1689">
        <v>0</v>
      </c>
      <c r="K1689">
        <v>0</v>
      </c>
      <c r="L1689">
        <v>2109</v>
      </c>
      <c r="M1689">
        <v>0</v>
      </c>
      <c r="N1689">
        <v>71</v>
      </c>
      <c r="O1689">
        <v>0</v>
      </c>
      <c r="P1689">
        <v>0</v>
      </c>
      <c r="Q1689">
        <v>0</v>
      </c>
      <c r="R1689">
        <v>157</v>
      </c>
      <c r="S1689">
        <v>1</v>
      </c>
      <c r="T1689">
        <v>1652</v>
      </c>
      <c r="U1689">
        <v>0</v>
      </c>
      <c r="V1689">
        <v>541</v>
      </c>
      <c r="W1689">
        <v>2176</v>
      </c>
      <c r="X1689">
        <f>NHS_AE_2024_2025[[#This Row],[A&amp;E attendances Type 1]]+
NHS_AE_2024_2025[[#This Row],[A&amp;E attendances Type 2]]+
NHS_AE_2024_2025[[#This Row],[A&amp;E attendances Other A&amp;E Department]]</f>
        <v>16981</v>
      </c>
      <c r="Y1689">
        <f t="shared" si="52"/>
        <v>2180</v>
      </c>
      <c r="Z1689">
        <f t="shared" si="53"/>
        <v>4369</v>
      </c>
    </row>
    <row r="1690" spans="1:26" x14ac:dyDescent="0.2">
      <c r="A1690" t="s">
        <v>452</v>
      </c>
      <c r="B1690" t="s">
        <v>453</v>
      </c>
      <c r="C1690" t="s">
        <v>116</v>
      </c>
      <c r="D1690" t="s">
        <v>55</v>
      </c>
      <c r="E1690" t="s">
        <v>117</v>
      </c>
      <c r="F1690">
        <v>0</v>
      </c>
      <c r="G1690">
        <v>0</v>
      </c>
      <c r="H1690">
        <v>11608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628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74</v>
      </c>
      <c r="X1690">
        <f>NHS_AE_2024_2025[[#This Row],[A&amp;E attendances Type 1]]+
NHS_AE_2024_2025[[#This Row],[A&amp;E attendances Type 2]]+
NHS_AE_2024_2025[[#This Row],[A&amp;E attendances Other A&amp;E Department]]</f>
        <v>11608</v>
      </c>
      <c r="Y1690">
        <f t="shared" si="52"/>
        <v>628</v>
      </c>
      <c r="Z1690">
        <f t="shared" si="53"/>
        <v>74</v>
      </c>
    </row>
    <row r="1691" spans="1:26" x14ac:dyDescent="0.2">
      <c r="A1691" t="s">
        <v>452</v>
      </c>
      <c r="B1691" t="s">
        <v>453</v>
      </c>
      <c r="C1691" t="s">
        <v>218</v>
      </c>
      <c r="D1691" t="s">
        <v>70</v>
      </c>
      <c r="E1691" t="s">
        <v>219</v>
      </c>
      <c r="F1691">
        <v>0</v>
      </c>
      <c r="G1691">
        <v>0</v>
      </c>
      <c r="H1691">
        <v>1044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16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f>NHS_AE_2024_2025[[#This Row],[A&amp;E attendances Type 1]]+
NHS_AE_2024_2025[[#This Row],[A&amp;E attendances Type 2]]+
NHS_AE_2024_2025[[#This Row],[A&amp;E attendances Other A&amp;E Department]]</f>
        <v>1044</v>
      </c>
      <c r="Y1691">
        <f t="shared" si="52"/>
        <v>16</v>
      </c>
      <c r="Z1691">
        <f t="shared" si="53"/>
        <v>0</v>
      </c>
    </row>
    <row r="1692" spans="1:26" x14ac:dyDescent="0.2">
      <c r="A1692" t="s">
        <v>452</v>
      </c>
      <c r="B1692" t="s">
        <v>453</v>
      </c>
      <c r="C1692" t="s">
        <v>54</v>
      </c>
      <c r="D1692" t="s">
        <v>55</v>
      </c>
      <c r="E1692" t="s">
        <v>56</v>
      </c>
      <c r="F1692">
        <v>0</v>
      </c>
      <c r="G1692">
        <v>0</v>
      </c>
      <c r="H1692">
        <v>4800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119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f>NHS_AE_2024_2025[[#This Row],[A&amp;E attendances Type 1]]+
NHS_AE_2024_2025[[#This Row],[A&amp;E attendances Type 2]]+
NHS_AE_2024_2025[[#This Row],[A&amp;E attendances Other A&amp;E Department]]</f>
        <v>4800</v>
      </c>
      <c r="Y1692">
        <f t="shared" si="52"/>
        <v>119</v>
      </c>
      <c r="Z1692">
        <f t="shared" si="53"/>
        <v>0</v>
      </c>
    </row>
    <row r="1693" spans="1:26" x14ac:dyDescent="0.2">
      <c r="A1693" t="s">
        <v>452</v>
      </c>
      <c r="B1693" t="s">
        <v>453</v>
      </c>
      <c r="C1693" t="s">
        <v>220</v>
      </c>
      <c r="D1693" t="s">
        <v>50</v>
      </c>
      <c r="E1693" t="s">
        <v>221</v>
      </c>
      <c r="F1693">
        <v>0</v>
      </c>
      <c r="G1693">
        <v>0</v>
      </c>
      <c r="H1693">
        <v>330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f>NHS_AE_2024_2025[[#This Row],[A&amp;E attendances Type 1]]+
NHS_AE_2024_2025[[#This Row],[A&amp;E attendances Type 2]]+
NHS_AE_2024_2025[[#This Row],[A&amp;E attendances Other A&amp;E Department]]</f>
        <v>330</v>
      </c>
      <c r="Y1693">
        <f t="shared" si="52"/>
        <v>0</v>
      </c>
      <c r="Z1693">
        <f t="shared" si="53"/>
        <v>0</v>
      </c>
    </row>
    <row r="1694" spans="1:26" x14ac:dyDescent="0.2">
      <c r="A1694" t="s">
        <v>452</v>
      </c>
      <c r="B1694" t="s">
        <v>453</v>
      </c>
      <c r="C1694" t="s">
        <v>134</v>
      </c>
      <c r="D1694" t="s">
        <v>37</v>
      </c>
      <c r="E1694" t="s">
        <v>135</v>
      </c>
      <c r="F1694">
        <v>0</v>
      </c>
      <c r="G1694">
        <v>0</v>
      </c>
      <c r="H1694">
        <v>2395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f>NHS_AE_2024_2025[[#This Row],[A&amp;E attendances Type 1]]+
NHS_AE_2024_2025[[#This Row],[A&amp;E attendances Type 2]]+
NHS_AE_2024_2025[[#This Row],[A&amp;E attendances Other A&amp;E Department]]</f>
        <v>2395</v>
      </c>
      <c r="Y1694">
        <f t="shared" si="52"/>
        <v>0</v>
      </c>
      <c r="Z1694">
        <f t="shared" si="53"/>
        <v>0</v>
      </c>
    </row>
    <row r="1695" spans="1:26" x14ac:dyDescent="0.2">
      <c r="A1695" t="s">
        <v>452</v>
      </c>
      <c r="B1695" t="s">
        <v>453</v>
      </c>
      <c r="C1695" t="s">
        <v>280</v>
      </c>
      <c r="D1695" t="s">
        <v>50</v>
      </c>
      <c r="E1695" t="s">
        <v>281</v>
      </c>
      <c r="F1695">
        <v>0</v>
      </c>
      <c r="G1695">
        <v>0</v>
      </c>
      <c r="H1695">
        <v>4032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990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f>NHS_AE_2024_2025[[#This Row],[A&amp;E attendances Type 1]]+
NHS_AE_2024_2025[[#This Row],[A&amp;E attendances Type 2]]+
NHS_AE_2024_2025[[#This Row],[A&amp;E attendances Other A&amp;E Department]]</f>
        <v>4032</v>
      </c>
      <c r="Y1695">
        <f t="shared" si="52"/>
        <v>990</v>
      </c>
      <c r="Z1695">
        <f t="shared" si="53"/>
        <v>0</v>
      </c>
    </row>
    <row r="1696" spans="1:26" x14ac:dyDescent="0.2">
      <c r="A1696" t="s">
        <v>452</v>
      </c>
      <c r="B1696" t="s">
        <v>453</v>
      </c>
      <c r="C1696" t="s">
        <v>282</v>
      </c>
      <c r="D1696" t="s">
        <v>50</v>
      </c>
      <c r="E1696" t="s">
        <v>283</v>
      </c>
      <c r="F1696">
        <v>0</v>
      </c>
      <c r="G1696">
        <v>0</v>
      </c>
      <c r="H1696">
        <v>3083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578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f>NHS_AE_2024_2025[[#This Row],[A&amp;E attendances Type 1]]+
NHS_AE_2024_2025[[#This Row],[A&amp;E attendances Type 2]]+
NHS_AE_2024_2025[[#This Row],[A&amp;E attendances Other A&amp;E Department]]</f>
        <v>3083</v>
      </c>
      <c r="Y1696">
        <f t="shared" si="52"/>
        <v>578</v>
      </c>
      <c r="Z1696">
        <f t="shared" si="53"/>
        <v>0</v>
      </c>
    </row>
    <row r="1697" spans="1:26" x14ac:dyDescent="0.2">
      <c r="A1697" t="s">
        <v>452</v>
      </c>
      <c r="B1697" t="s">
        <v>453</v>
      </c>
      <c r="C1697" t="s">
        <v>284</v>
      </c>
      <c r="D1697" t="s">
        <v>50</v>
      </c>
      <c r="E1697" t="s">
        <v>285</v>
      </c>
      <c r="F1697">
        <v>0</v>
      </c>
      <c r="G1697">
        <v>0</v>
      </c>
      <c r="H1697">
        <v>1654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19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f>NHS_AE_2024_2025[[#This Row],[A&amp;E attendances Type 1]]+
NHS_AE_2024_2025[[#This Row],[A&amp;E attendances Type 2]]+
NHS_AE_2024_2025[[#This Row],[A&amp;E attendances Other A&amp;E Department]]</f>
        <v>1654</v>
      </c>
      <c r="Y1697">
        <f t="shared" si="52"/>
        <v>19</v>
      </c>
      <c r="Z1697">
        <f t="shared" si="53"/>
        <v>0</v>
      </c>
    </row>
    <row r="1698" spans="1:26" x14ac:dyDescent="0.2">
      <c r="A1698" t="s">
        <v>452</v>
      </c>
      <c r="B1698" t="s">
        <v>453</v>
      </c>
      <c r="C1698" t="s">
        <v>136</v>
      </c>
      <c r="D1698" t="s">
        <v>32</v>
      </c>
      <c r="E1698" t="s">
        <v>137</v>
      </c>
      <c r="F1698">
        <v>0</v>
      </c>
      <c r="G1698">
        <v>0</v>
      </c>
      <c r="H1698">
        <v>6249</v>
      </c>
      <c r="I1698">
        <v>0</v>
      </c>
      <c r="J1698">
        <v>0</v>
      </c>
      <c r="K1698">
        <v>585</v>
      </c>
      <c r="L1698">
        <v>0</v>
      </c>
      <c r="M1698">
        <v>0</v>
      </c>
      <c r="N1698">
        <v>34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f>NHS_AE_2024_2025[[#This Row],[A&amp;E attendances Type 1]]+
NHS_AE_2024_2025[[#This Row],[A&amp;E attendances Type 2]]+
NHS_AE_2024_2025[[#This Row],[A&amp;E attendances Other A&amp;E Department]]</f>
        <v>6249</v>
      </c>
      <c r="Y1698">
        <f t="shared" si="52"/>
        <v>34</v>
      </c>
      <c r="Z1698">
        <f t="shared" si="53"/>
        <v>0</v>
      </c>
    </row>
    <row r="1699" spans="1:26" x14ac:dyDescent="0.2">
      <c r="A1699" t="s">
        <v>452</v>
      </c>
      <c r="B1699" t="s">
        <v>453</v>
      </c>
      <c r="C1699" t="s">
        <v>138</v>
      </c>
      <c r="D1699" t="s">
        <v>32</v>
      </c>
      <c r="E1699" t="s">
        <v>139</v>
      </c>
      <c r="F1699">
        <v>0</v>
      </c>
      <c r="G1699">
        <v>0</v>
      </c>
      <c r="H1699">
        <v>192</v>
      </c>
      <c r="I1699">
        <v>0</v>
      </c>
      <c r="J1699">
        <v>0</v>
      </c>
      <c r="K1699">
        <v>2136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f>NHS_AE_2024_2025[[#This Row],[A&amp;E attendances Type 1]]+
NHS_AE_2024_2025[[#This Row],[A&amp;E attendances Type 2]]+
NHS_AE_2024_2025[[#This Row],[A&amp;E attendances Other A&amp;E Department]]</f>
        <v>192</v>
      </c>
      <c r="Y1699">
        <f t="shared" si="52"/>
        <v>1</v>
      </c>
      <c r="Z1699">
        <f t="shared" si="53"/>
        <v>0</v>
      </c>
    </row>
    <row r="1700" spans="1:26" x14ac:dyDescent="0.2">
      <c r="A1700" t="s">
        <v>452</v>
      </c>
      <c r="B1700" t="s">
        <v>453</v>
      </c>
      <c r="C1700" t="s">
        <v>140</v>
      </c>
      <c r="D1700" t="s">
        <v>32</v>
      </c>
      <c r="E1700" t="s">
        <v>141</v>
      </c>
      <c r="F1700">
        <v>0</v>
      </c>
      <c r="G1700">
        <v>0</v>
      </c>
      <c r="H1700">
        <v>128</v>
      </c>
      <c r="I1700">
        <v>0</v>
      </c>
      <c r="J1700">
        <v>0</v>
      </c>
      <c r="K1700">
        <v>355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f>NHS_AE_2024_2025[[#This Row],[A&amp;E attendances Type 1]]+
NHS_AE_2024_2025[[#This Row],[A&amp;E attendances Type 2]]+
NHS_AE_2024_2025[[#This Row],[A&amp;E attendances Other A&amp;E Department]]</f>
        <v>128</v>
      </c>
      <c r="Y1700">
        <f t="shared" si="52"/>
        <v>0</v>
      </c>
      <c r="Z1700">
        <f t="shared" si="53"/>
        <v>0</v>
      </c>
    </row>
    <row r="1701" spans="1:26" x14ac:dyDescent="0.2">
      <c r="A1701" t="s">
        <v>452</v>
      </c>
      <c r="B1701" t="s">
        <v>453</v>
      </c>
      <c r="C1701" t="s">
        <v>142</v>
      </c>
      <c r="D1701" t="s">
        <v>32</v>
      </c>
      <c r="E1701" t="s">
        <v>143</v>
      </c>
      <c r="F1701">
        <v>0</v>
      </c>
      <c r="G1701">
        <v>0</v>
      </c>
      <c r="H1701">
        <v>78</v>
      </c>
      <c r="I1701">
        <v>0</v>
      </c>
      <c r="J1701">
        <v>0</v>
      </c>
      <c r="K1701">
        <v>373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f>NHS_AE_2024_2025[[#This Row],[A&amp;E attendances Type 1]]+
NHS_AE_2024_2025[[#This Row],[A&amp;E attendances Type 2]]+
NHS_AE_2024_2025[[#This Row],[A&amp;E attendances Other A&amp;E Department]]</f>
        <v>78</v>
      </c>
      <c r="Y1701">
        <f t="shared" si="52"/>
        <v>1</v>
      </c>
      <c r="Z1701">
        <f t="shared" si="53"/>
        <v>0</v>
      </c>
    </row>
    <row r="1702" spans="1:26" x14ac:dyDescent="0.2">
      <c r="A1702" t="s">
        <v>452</v>
      </c>
      <c r="B1702" t="s">
        <v>453</v>
      </c>
      <c r="C1702" t="s">
        <v>414</v>
      </c>
      <c r="D1702" t="s">
        <v>32</v>
      </c>
      <c r="E1702" t="s">
        <v>415</v>
      </c>
      <c r="F1702">
        <v>0</v>
      </c>
      <c r="G1702">
        <v>0</v>
      </c>
      <c r="H1702">
        <v>466</v>
      </c>
      <c r="I1702">
        <v>0</v>
      </c>
      <c r="J1702">
        <v>0</v>
      </c>
      <c r="K1702">
        <v>2283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f>NHS_AE_2024_2025[[#This Row],[A&amp;E attendances Type 1]]+
NHS_AE_2024_2025[[#This Row],[A&amp;E attendances Type 2]]+
NHS_AE_2024_2025[[#This Row],[A&amp;E attendances Other A&amp;E Department]]</f>
        <v>466</v>
      </c>
      <c r="Y1702">
        <f t="shared" si="52"/>
        <v>0</v>
      </c>
      <c r="Z1702">
        <f t="shared" si="53"/>
        <v>0</v>
      </c>
    </row>
    <row r="1703" spans="1:26" x14ac:dyDescent="0.2">
      <c r="A1703" t="s">
        <v>452</v>
      </c>
      <c r="B1703" t="s">
        <v>453</v>
      </c>
      <c r="C1703" t="s">
        <v>144</v>
      </c>
      <c r="D1703" t="s">
        <v>32</v>
      </c>
      <c r="E1703" t="s">
        <v>145</v>
      </c>
      <c r="F1703">
        <v>0</v>
      </c>
      <c r="G1703">
        <v>0</v>
      </c>
      <c r="H1703">
        <v>67</v>
      </c>
      <c r="I1703">
        <v>0</v>
      </c>
      <c r="J1703">
        <v>0</v>
      </c>
      <c r="K1703">
        <v>391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f>NHS_AE_2024_2025[[#This Row],[A&amp;E attendances Type 1]]+
NHS_AE_2024_2025[[#This Row],[A&amp;E attendances Type 2]]+
NHS_AE_2024_2025[[#This Row],[A&amp;E attendances Other A&amp;E Department]]</f>
        <v>67</v>
      </c>
      <c r="Y1703">
        <f t="shared" si="52"/>
        <v>0</v>
      </c>
      <c r="Z1703">
        <f t="shared" si="53"/>
        <v>0</v>
      </c>
    </row>
    <row r="1704" spans="1:26" x14ac:dyDescent="0.2">
      <c r="A1704" t="s">
        <v>452</v>
      </c>
      <c r="B1704" t="s">
        <v>453</v>
      </c>
      <c r="C1704" t="s">
        <v>394</v>
      </c>
      <c r="D1704" t="s">
        <v>55</v>
      </c>
      <c r="E1704" t="s">
        <v>395</v>
      </c>
      <c r="F1704">
        <v>26218</v>
      </c>
      <c r="G1704">
        <v>3241</v>
      </c>
      <c r="H1704">
        <v>12493</v>
      </c>
      <c r="I1704">
        <v>3364</v>
      </c>
      <c r="J1704">
        <v>497</v>
      </c>
      <c r="K1704">
        <v>1109</v>
      </c>
      <c r="L1704">
        <v>12613</v>
      </c>
      <c r="M1704">
        <v>114</v>
      </c>
      <c r="N1704">
        <v>830</v>
      </c>
      <c r="O1704">
        <v>1596</v>
      </c>
      <c r="P1704">
        <v>12</v>
      </c>
      <c r="Q1704">
        <v>118</v>
      </c>
      <c r="R1704">
        <v>3856</v>
      </c>
      <c r="S1704">
        <v>720</v>
      </c>
      <c r="T1704">
        <v>5602</v>
      </c>
      <c r="U1704">
        <v>168</v>
      </c>
      <c r="V1704">
        <v>165</v>
      </c>
      <c r="W1704">
        <v>500</v>
      </c>
      <c r="X1704">
        <f>NHS_AE_2024_2025[[#This Row],[A&amp;E attendances Type 1]]+
NHS_AE_2024_2025[[#This Row],[A&amp;E attendances Type 2]]+
NHS_AE_2024_2025[[#This Row],[A&amp;E attendances Other A&amp;E Department]]</f>
        <v>41952</v>
      </c>
      <c r="Y1704">
        <f t="shared" si="52"/>
        <v>13557</v>
      </c>
      <c r="Z1704">
        <f t="shared" si="53"/>
        <v>6435</v>
      </c>
    </row>
    <row r="1705" spans="1:26" x14ac:dyDescent="0.2">
      <c r="A1705" t="s">
        <v>452</v>
      </c>
      <c r="B1705" t="s">
        <v>453</v>
      </c>
      <c r="C1705" t="s">
        <v>286</v>
      </c>
      <c r="D1705" t="s">
        <v>37</v>
      </c>
      <c r="E1705" t="s">
        <v>287</v>
      </c>
      <c r="F1705">
        <v>4425</v>
      </c>
      <c r="G1705">
        <v>0</v>
      </c>
      <c r="H1705">
        <v>2180</v>
      </c>
      <c r="I1705">
        <v>31</v>
      </c>
      <c r="J1705">
        <v>0</v>
      </c>
      <c r="K1705">
        <v>28</v>
      </c>
      <c r="L1705">
        <v>1782</v>
      </c>
      <c r="M1705">
        <v>0</v>
      </c>
      <c r="N1705">
        <v>2</v>
      </c>
      <c r="O1705">
        <v>11</v>
      </c>
      <c r="P1705">
        <v>0</v>
      </c>
      <c r="Q1705">
        <v>0</v>
      </c>
      <c r="R1705">
        <v>127</v>
      </c>
      <c r="S1705">
        <v>22</v>
      </c>
      <c r="T1705">
        <v>1126</v>
      </c>
      <c r="U1705">
        <v>0</v>
      </c>
      <c r="V1705">
        <v>0</v>
      </c>
      <c r="W1705">
        <v>317</v>
      </c>
      <c r="X1705">
        <f>NHS_AE_2024_2025[[#This Row],[A&amp;E attendances Type 1]]+
NHS_AE_2024_2025[[#This Row],[A&amp;E attendances Type 2]]+
NHS_AE_2024_2025[[#This Row],[A&amp;E attendances Other A&amp;E Department]]</f>
        <v>6605</v>
      </c>
      <c r="Y1705">
        <f t="shared" si="52"/>
        <v>1784</v>
      </c>
      <c r="Z1705">
        <f t="shared" si="53"/>
        <v>1443</v>
      </c>
    </row>
    <row r="1706" spans="1:26" x14ac:dyDescent="0.2">
      <c r="A1706" t="s">
        <v>452</v>
      </c>
      <c r="B1706" t="s">
        <v>453</v>
      </c>
      <c r="C1706" t="s">
        <v>43</v>
      </c>
      <c r="D1706" t="s">
        <v>26</v>
      </c>
      <c r="E1706" t="s">
        <v>44</v>
      </c>
      <c r="F1706">
        <v>6698</v>
      </c>
      <c r="G1706">
        <v>0</v>
      </c>
      <c r="H1706">
        <v>3543</v>
      </c>
      <c r="I1706">
        <v>409</v>
      </c>
      <c r="J1706">
        <v>0</v>
      </c>
      <c r="K1706">
        <v>179</v>
      </c>
      <c r="L1706">
        <v>2918</v>
      </c>
      <c r="M1706">
        <v>0</v>
      </c>
      <c r="N1706">
        <v>10</v>
      </c>
      <c r="O1706">
        <v>144</v>
      </c>
      <c r="P1706">
        <v>0</v>
      </c>
      <c r="Q1706">
        <v>1</v>
      </c>
      <c r="R1706">
        <v>354</v>
      </c>
      <c r="S1706">
        <v>113</v>
      </c>
      <c r="T1706">
        <v>2194</v>
      </c>
      <c r="U1706">
        <v>0</v>
      </c>
      <c r="V1706">
        <v>0</v>
      </c>
      <c r="W1706">
        <v>1244</v>
      </c>
      <c r="X1706">
        <f>NHS_AE_2024_2025[[#This Row],[A&amp;E attendances Type 1]]+
NHS_AE_2024_2025[[#This Row],[A&amp;E attendances Type 2]]+
NHS_AE_2024_2025[[#This Row],[A&amp;E attendances Other A&amp;E Department]]</f>
        <v>10241</v>
      </c>
      <c r="Y1706">
        <f t="shared" si="52"/>
        <v>2928</v>
      </c>
      <c r="Z1706">
        <f t="shared" si="53"/>
        <v>3438</v>
      </c>
    </row>
    <row r="1707" spans="1:26" x14ac:dyDescent="0.2">
      <c r="A1707" t="s">
        <v>452</v>
      </c>
      <c r="B1707" t="s">
        <v>453</v>
      </c>
      <c r="C1707" t="s">
        <v>236</v>
      </c>
      <c r="D1707" t="s">
        <v>32</v>
      </c>
      <c r="E1707" t="s">
        <v>237</v>
      </c>
      <c r="F1707">
        <v>8928</v>
      </c>
      <c r="G1707">
        <v>0</v>
      </c>
      <c r="H1707">
        <v>4169</v>
      </c>
      <c r="I1707">
        <v>426</v>
      </c>
      <c r="J1707">
        <v>0</v>
      </c>
      <c r="K1707">
        <v>148</v>
      </c>
      <c r="L1707">
        <v>2791</v>
      </c>
      <c r="M1707">
        <v>0</v>
      </c>
      <c r="N1707">
        <v>209</v>
      </c>
      <c r="O1707">
        <v>60</v>
      </c>
      <c r="P1707">
        <v>0</v>
      </c>
      <c r="Q1707">
        <v>0</v>
      </c>
      <c r="R1707">
        <v>795</v>
      </c>
      <c r="S1707">
        <v>50</v>
      </c>
      <c r="T1707">
        <v>3692</v>
      </c>
      <c r="U1707">
        <v>0</v>
      </c>
      <c r="V1707">
        <v>0</v>
      </c>
      <c r="W1707">
        <v>680</v>
      </c>
      <c r="X1707">
        <f>NHS_AE_2024_2025[[#This Row],[A&amp;E attendances Type 1]]+
NHS_AE_2024_2025[[#This Row],[A&amp;E attendances Type 2]]+
NHS_AE_2024_2025[[#This Row],[A&amp;E attendances Other A&amp;E Department]]</f>
        <v>13097</v>
      </c>
      <c r="Y1707">
        <f t="shared" si="52"/>
        <v>3000</v>
      </c>
      <c r="Z1707">
        <f t="shared" si="53"/>
        <v>4372</v>
      </c>
    </row>
    <row r="1708" spans="1:26" x14ac:dyDescent="0.2">
      <c r="A1708" t="s">
        <v>452</v>
      </c>
      <c r="B1708" t="s">
        <v>453</v>
      </c>
      <c r="C1708" t="s">
        <v>292</v>
      </c>
      <c r="D1708" t="s">
        <v>55</v>
      </c>
      <c r="E1708" t="s">
        <v>293</v>
      </c>
      <c r="F1708">
        <v>7444</v>
      </c>
      <c r="G1708">
        <v>0</v>
      </c>
      <c r="H1708">
        <v>2986</v>
      </c>
      <c r="I1708">
        <v>160</v>
      </c>
      <c r="J1708">
        <v>0</v>
      </c>
      <c r="K1708">
        <v>56</v>
      </c>
      <c r="L1708">
        <v>4292</v>
      </c>
      <c r="M1708">
        <v>0</v>
      </c>
      <c r="N1708">
        <v>56</v>
      </c>
      <c r="O1708">
        <v>41</v>
      </c>
      <c r="P1708">
        <v>0</v>
      </c>
      <c r="Q1708">
        <v>0</v>
      </c>
      <c r="R1708">
        <v>660</v>
      </c>
      <c r="S1708">
        <v>571</v>
      </c>
      <c r="T1708">
        <v>2433</v>
      </c>
      <c r="U1708">
        <v>0</v>
      </c>
      <c r="V1708">
        <v>0</v>
      </c>
      <c r="W1708">
        <v>1026</v>
      </c>
      <c r="X1708">
        <f>NHS_AE_2024_2025[[#This Row],[A&amp;E attendances Type 1]]+
NHS_AE_2024_2025[[#This Row],[A&amp;E attendances Type 2]]+
NHS_AE_2024_2025[[#This Row],[A&amp;E attendances Other A&amp;E Department]]</f>
        <v>10430</v>
      </c>
      <c r="Y1708">
        <f t="shared" si="52"/>
        <v>4348</v>
      </c>
      <c r="Z1708">
        <f t="shared" si="53"/>
        <v>3459</v>
      </c>
    </row>
    <row r="1709" spans="1:26" x14ac:dyDescent="0.2">
      <c r="A1709" t="s">
        <v>452</v>
      </c>
      <c r="B1709" t="s">
        <v>453</v>
      </c>
      <c r="C1709" t="s">
        <v>238</v>
      </c>
      <c r="D1709" t="s">
        <v>50</v>
      </c>
      <c r="E1709" t="s">
        <v>239</v>
      </c>
      <c r="F1709">
        <v>11533</v>
      </c>
      <c r="G1709">
        <v>398</v>
      </c>
      <c r="H1709">
        <v>9042</v>
      </c>
      <c r="I1709">
        <v>0</v>
      </c>
      <c r="J1709">
        <v>0</v>
      </c>
      <c r="K1709">
        <v>0</v>
      </c>
      <c r="L1709">
        <v>6364</v>
      </c>
      <c r="M1709">
        <v>0</v>
      </c>
      <c r="N1709">
        <v>337</v>
      </c>
      <c r="O1709">
        <v>0</v>
      </c>
      <c r="P1709">
        <v>0</v>
      </c>
      <c r="Q1709">
        <v>0</v>
      </c>
      <c r="R1709">
        <v>844</v>
      </c>
      <c r="S1709">
        <v>762</v>
      </c>
      <c r="T1709">
        <v>4613</v>
      </c>
      <c r="U1709">
        <v>6</v>
      </c>
      <c r="V1709">
        <v>0</v>
      </c>
      <c r="W1709">
        <v>1576</v>
      </c>
      <c r="X1709">
        <f>NHS_AE_2024_2025[[#This Row],[A&amp;E attendances Type 1]]+
NHS_AE_2024_2025[[#This Row],[A&amp;E attendances Type 2]]+
NHS_AE_2024_2025[[#This Row],[A&amp;E attendances Other A&amp;E Department]]</f>
        <v>20973</v>
      </c>
      <c r="Y1709">
        <f t="shared" si="52"/>
        <v>6701</v>
      </c>
      <c r="Z1709">
        <f t="shared" si="53"/>
        <v>6195</v>
      </c>
    </row>
    <row r="1710" spans="1:26" x14ac:dyDescent="0.2">
      <c r="A1710" t="s">
        <v>452</v>
      </c>
      <c r="B1710" t="s">
        <v>453</v>
      </c>
      <c r="C1710" t="s">
        <v>240</v>
      </c>
      <c r="D1710" t="s">
        <v>50</v>
      </c>
      <c r="E1710" t="s">
        <v>241</v>
      </c>
      <c r="F1710">
        <v>6340</v>
      </c>
      <c r="G1710">
        <v>260</v>
      </c>
      <c r="H1710">
        <v>26</v>
      </c>
      <c r="I1710">
        <v>534</v>
      </c>
      <c r="J1710">
        <v>0</v>
      </c>
      <c r="K1710">
        <v>0</v>
      </c>
      <c r="L1710">
        <v>2487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431</v>
      </c>
      <c r="S1710">
        <v>151</v>
      </c>
      <c r="T1710">
        <v>1621</v>
      </c>
      <c r="U1710">
        <v>0</v>
      </c>
      <c r="V1710">
        <v>0</v>
      </c>
      <c r="W1710">
        <v>581</v>
      </c>
      <c r="X1710">
        <f>NHS_AE_2024_2025[[#This Row],[A&amp;E attendances Type 1]]+
NHS_AE_2024_2025[[#This Row],[A&amp;E attendances Type 2]]+
NHS_AE_2024_2025[[#This Row],[A&amp;E attendances Other A&amp;E Department]]</f>
        <v>6626</v>
      </c>
      <c r="Y1710">
        <f t="shared" si="52"/>
        <v>2487</v>
      </c>
      <c r="Z1710">
        <f t="shared" si="53"/>
        <v>2202</v>
      </c>
    </row>
    <row r="1711" spans="1:26" x14ac:dyDescent="0.2">
      <c r="A1711" t="s">
        <v>452</v>
      </c>
      <c r="B1711" t="s">
        <v>453</v>
      </c>
      <c r="C1711" t="s">
        <v>194</v>
      </c>
      <c r="D1711" t="s">
        <v>50</v>
      </c>
      <c r="E1711" t="s">
        <v>195</v>
      </c>
      <c r="F1711">
        <v>4996</v>
      </c>
      <c r="G1711">
        <v>0</v>
      </c>
      <c r="H1711">
        <v>298</v>
      </c>
      <c r="I1711">
        <v>307</v>
      </c>
      <c r="J1711">
        <v>0</v>
      </c>
      <c r="K1711">
        <v>19</v>
      </c>
      <c r="L1711">
        <v>658</v>
      </c>
      <c r="M1711">
        <v>0</v>
      </c>
      <c r="N1711">
        <v>1</v>
      </c>
      <c r="O1711">
        <v>40</v>
      </c>
      <c r="P1711">
        <v>0</v>
      </c>
      <c r="Q1711">
        <v>0</v>
      </c>
      <c r="R1711">
        <v>8</v>
      </c>
      <c r="S1711">
        <v>0</v>
      </c>
      <c r="T1711">
        <v>941</v>
      </c>
      <c r="U1711">
        <v>0</v>
      </c>
      <c r="V1711">
        <v>0</v>
      </c>
      <c r="W1711">
        <v>96</v>
      </c>
      <c r="X1711">
        <f>NHS_AE_2024_2025[[#This Row],[A&amp;E attendances Type 1]]+
NHS_AE_2024_2025[[#This Row],[A&amp;E attendances Type 2]]+
NHS_AE_2024_2025[[#This Row],[A&amp;E attendances Other A&amp;E Department]]</f>
        <v>5294</v>
      </c>
      <c r="Y1711">
        <f t="shared" si="52"/>
        <v>659</v>
      </c>
      <c r="Z1711">
        <f t="shared" si="53"/>
        <v>1037</v>
      </c>
    </row>
    <row r="1712" spans="1:26" x14ac:dyDescent="0.2">
      <c r="A1712" t="s">
        <v>452</v>
      </c>
      <c r="B1712" t="s">
        <v>453</v>
      </c>
      <c r="C1712" t="s">
        <v>242</v>
      </c>
      <c r="D1712" t="s">
        <v>70</v>
      </c>
      <c r="E1712" t="s">
        <v>243</v>
      </c>
      <c r="F1712">
        <v>8486</v>
      </c>
      <c r="G1712">
        <v>0</v>
      </c>
      <c r="H1712">
        <v>5838</v>
      </c>
      <c r="I1712">
        <v>634</v>
      </c>
      <c r="J1712">
        <v>0</v>
      </c>
      <c r="K1712">
        <v>125</v>
      </c>
      <c r="L1712">
        <v>3526</v>
      </c>
      <c r="M1712">
        <v>0</v>
      </c>
      <c r="N1712">
        <v>268</v>
      </c>
      <c r="O1712">
        <v>238</v>
      </c>
      <c r="P1712">
        <v>0</v>
      </c>
      <c r="Q1712">
        <v>0</v>
      </c>
      <c r="R1712">
        <v>495</v>
      </c>
      <c r="S1712">
        <v>0</v>
      </c>
      <c r="T1712">
        <v>2037</v>
      </c>
      <c r="U1712">
        <v>0</v>
      </c>
      <c r="V1712">
        <v>0</v>
      </c>
      <c r="W1712">
        <v>452</v>
      </c>
      <c r="X1712">
        <f>NHS_AE_2024_2025[[#This Row],[A&amp;E attendances Type 1]]+
NHS_AE_2024_2025[[#This Row],[A&amp;E attendances Type 2]]+
NHS_AE_2024_2025[[#This Row],[A&amp;E attendances Other A&amp;E Department]]</f>
        <v>14324</v>
      </c>
      <c r="Y1712">
        <f t="shared" si="52"/>
        <v>3794</v>
      </c>
      <c r="Z1712">
        <f t="shared" si="53"/>
        <v>2489</v>
      </c>
    </row>
    <row r="1713" spans="1:26" x14ac:dyDescent="0.2">
      <c r="A1713" t="s">
        <v>452</v>
      </c>
      <c r="B1713" t="s">
        <v>453</v>
      </c>
      <c r="C1713" t="s">
        <v>198</v>
      </c>
      <c r="D1713" t="s">
        <v>55</v>
      </c>
      <c r="E1713" t="s">
        <v>199</v>
      </c>
      <c r="F1713">
        <v>0</v>
      </c>
      <c r="G1713">
        <v>1305</v>
      </c>
      <c r="H1713">
        <v>0</v>
      </c>
      <c r="I1713">
        <v>0</v>
      </c>
      <c r="J1713">
        <v>130</v>
      </c>
      <c r="K1713">
        <v>0</v>
      </c>
      <c r="L1713">
        <v>0</v>
      </c>
      <c r="M1713">
        <v>164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130</v>
      </c>
      <c r="V1713">
        <v>0</v>
      </c>
      <c r="W1713">
        <v>17</v>
      </c>
      <c r="X1713">
        <f>NHS_AE_2024_2025[[#This Row],[A&amp;E attendances Type 1]]+
NHS_AE_2024_2025[[#This Row],[A&amp;E attendances Type 2]]+
NHS_AE_2024_2025[[#This Row],[A&amp;E attendances Other A&amp;E Department]]</f>
        <v>1305</v>
      </c>
      <c r="Y1713">
        <f t="shared" si="52"/>
        <v>164</v>
      </c>
      <c r="Z1713">
        <f t="shared" si="53"/>
        <v>147</v>
      </c>
    </row>
    <row r="1714" spans="1:26" x14ac:dyDescent="0.2">
      <c r="A1714" t="s">
        <v>452</v>
      </c>
      <c r="B1714" t="s">
        <v>453</v>
      </c>
      <c r="C1714" t="s">
        <v>404</v>
      </c>
      <c r="D1714" t="s">
        <v>26</v>
      </c>
      <c r="E1714" t="s">
        <v>405</v>
      </c>
      <c r="F1714">
        <v>12900</v>
      </c>
      <c r="G1714">
        <v>0</v>
      </c>
      <c r="H1714">
        <v>4350</v>
      </c>
      <c r="I1714">
        <v>1320</v>
      </c>
      <c r="J1714">
        <v>0</v>
      </c>
      <c r="K1714">
        <v>57</v>
      </c>
      <c r="L1714">
        <v>4755</v>
      </c>
      <c r="M1714">
        <v>0</v>
      </c>
      <c r="N1714">
        <v>26</v>
      </c>
      <c r="O1714">
        <v>411</v>
      </c>
      <c r="P1714">
        <v>0</v>
      </c>
      <c r="Q1714">
        <v>2</v>
      </c>
      <c r="R1714">
        <v>1233</v>
      </c>
      <c r="S1714">
        <v>46</v>
      </c>
      <c r="T1714">
        <v>4128</v>
      </c>
      <c r="U1714">
        <v>0</v>
      </c>
      <c r="V1714">
        <v>0</v>
      </c>
      <c r="W1714">
        <v>2264</v>
      </c>
      <c r="X1714">
        <f>NHS_AE_2024_2025[[#This Row],[A&amp;E attendances Type 1]]+
NHS_AE_2024_2025[[#This Row],[A&amp;E attendances Type 2]]+
NHS_AE_2024_2025[[#This Row],[A&amp;E attendances Other A&amp;E Department]]</f>
        <v>17250</v>
      </c>
      <c r="Y1714">
        <f t="shared" si="52"/>
        <v>4781</v>
      </c>
      <c r="Z1714">
        <f t="shared" si="53"/>
        <v>6392</v>
      </c>
    </row>
    <row r="1715" spans="1:26" x14ac:dyDescent="0.2">
      <c r="A1715" t="s">
        <v>452</v>
      </c>
      <c r="B1715" t="s">
        <v>453</v>
      </c>
      <c r="C1715" t="s">
        <v>368</v>
      </c>
      <c r="D1715" t="s">
        <v>50</v>
      </c>
      <c r="E1715" t="s">
        <v>369</v>
      </c>
      <c r="F1715">
        <v>9441</v>
      </c>
      <c r="G1715">
        <v>1200</v>
      </c>
      <c r="H1715">
        <v>7827</v>
      </c>
      <c r="I1715">
        <v>449</v>
      </c>
      <c r="J1715">
        <v>1</v>
      </c>
      <c r="K1715">
        <v>1247</v>
      </c>
      <c r="L1715">
        <v>4642</v>
      </c>
      <c r="M1715">
        <v>0</v>
      </c>
      <c r="N1715">
        <v>324</v>
      </c>
      <c r="O1715">
        <v>192</v>
      </c>
      <c r="P1715">
        <v>0</v>
      </c>
      <c r="Q1715">
        <v>19</v>
      </c>
      <c r="R1715">
        <v>1289</v>
      </c>
      <c r="S1715">
        <v>8</v>
      </c>
      <c r="T1715">
        <v>3925</v>
      </c>
      <c r="U1715">
        <v>0</v>
      </c>
      <c r="V1715">
        <v>0</v>
      </c>
      <c r="W1715">
        <v>2916</v>
      </c>
      <c r="X1715">
        <f>NHS_AE_2024_2025[[#This Row],[A&amp;E attendances Type 1]]+
NHS_AE_2024_2025[[#This Row],[A&amp;E attendances Type 2]]+
NHS_AE_2024_2025[[#This Row],[A&amp;E attendances Other A&amp;E Department]]</f>
        <v>18468</v>
      </c>
      <c r="Y1715">
        <f t="shared" si="52"/>
        <v>4966</v>
      </c>
      <c r="Z1715">
        <f t="shared" si="53"/>
        <v>6841</v>
      </c>
    </row>
    <row r="1716" spans="1:26" x14ac:dyDescent="0.2">
      <c r="A1716" t="s">
        <v>452</v>
      </c>
      <c r="B1716" t="s">
        <v>453</v>
      </c>
      <c r="C1716" t="s">
        <v>308</v>
      </c>
      <c r="D1716" t="s">
        <v>32</v>
      </c>
      <c r="E1716" t="s">
        <v>309</v>
      </c>
      <c r="F1716">
        <v>8612</v>
      </c>
      <c r="G1716">
        <v>0</v>
      </c>
      <c r="H1716">
        <v>448</v>
      </c>
      <c r="I1716">
        <v>9</v>
      </c>
      <c r="J1716">
        <v>0</v>
      </c>
      <c r="K1716">
        <v>0</v>
      </c>
      <c r="L1716">
        <v>2500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297</v>
      </c>
      <c r="S1716">
        <v>8</v>
      </c>
      <c r="T1716">
        <v>2267</v>
      </c>
      <c r="U1716">
        <v>0</v>
      </c>
      <c r="V1716">
        <v>0</v>
      </c>
      <c r="W1716">
        <v>727</v>
      </c>
      <c r="X1716">
        <f>NHS_AE_2024_2025[[#This Row],[A&amp;E attendances Type 1]]+
NHS_AE_2024_2025[[#This Row],[A&amp;E attendances Type 2]]+
NHS_AE_2024_2025[[#This Row],[A&amp;E attendances Other A&amp;E Department]]</f>
        <v>9060</v>
      </c>
      <c r="Y1716">
        <f t="shared" si="52"/>
        <v>2500</v>
      </c>
      <c r="Z1716">
        <f t="shared" si="53"/>
        <v>2994</v>
      </c>
    </row>
    <row r="1717" spans="1:26" x14ac:dyDescent="0.2">
      <c r="A1717" t="s">
        <v>452</v>
      </c>
      <c r="B1717" t="s">
        <v>453</v>
      </c>
      <c r="C1717" t="s">
        <v>200</v>
      </c>
      <c r="D1717" t="s">
        <v>32</v>
      </c>
      <c r="E1717" t="s">
        <v>201</v>
      </c>
      <c r="F1717">
        <v>14147</v>
      </c>
      <c r="G1717">
        <v>469</v>
      </c>
      <c r="H1717">
        <v>9736</v>
      </c>
      <c r="I1717">
        <v>674</v>
      </c>
      <c r="J1717">
        <v>0</v>
      </c>
      <c r="K1717">
        <v>520</v>
      </c>
      <c r="L1717">
        <v>6854</v>
      </c>
      <c r="M1717">
        <v>0</v>
      </c>
      <c r="N1717">
        <v>173</v>
      </c>
      <c r="O1717">
        <v>255</v>
      </c>
      <c r="P1717">
        <v>0</v>
      </c>
      <c r="Q1717">
        <v>10</v>
      </c>
      <c r="R1717">
        <v>1192</v>
      </c>
      <c r="S1717">
        <v>701</v>
      </c>
      <c r="T1717">
        <v>5701</v>
      </c>
      <c r="U1717">
        <v>0</v>
      </c>
      <c r="V1717">
        <v>0</v>
      </c>
      <c r="W1717">
        <v>3368</v>
      </c>
      <c r="X1717">
        <f>NHS_AE_2024_2025[[#This Row],[A&amp;E attendances Type 1]]+
NHS_AE_2024_2025[[#This Row],[A&amp;E attendances Type 2]]+
NHS_AE_2024_2025[[#This Row],[A&amp;E attendances Other A&amp;E Department]]</f>
        <v>24352</v>
      </c>
      <c r="Y1717">
        <f t="shared" si="52"/>
        <v>7027</v>
      </c>
      <c r="Z1717">
        <f t="shared" si="53"/>
        <v>9069</v>
      </c>
    </row>
    <row r="1718" spans="1:26" x14ac:dyDescent="0.2">
      <c r="A1718" t="s">
        <v>452</v>
      </c>
      <c r="B1718" t="s">
        <v>453</v>
      </c>
      <c r="C1718" t="s">
        <v>312</v>
      </c>
      <c r="D1718" t="s">
        <v>32</v>
      </c>
      <c r="E1718" t="s">
        <v>313</v>
      </c>
      <c r="F1718">
        <v>12422</v>
      </c>
      <c r="G1718">
        <v>1831</v>
      </c>
      <c r="H1718">
        <v>7754</v>
      </c>
      <c r="I1718">
        <v>39</v>
      </c>
      <c r="J1718">
        <v>0</v>
      </c>
      <c r="K1718">
        <v>137</v>
      </c>
      <c r="L1718">
        <v>5842</v>
      </c>
      <c r="M1718">
        <v>81</v>
      </c>
      <c r="N1718">
        <v>324</v>
      </c>
      <c r="O1718">
        <v>25</v>
      </c>
      <c r="P1718">
        <v>0</v>
      </c>
      <c r="Q1718">
        <v>0</v>
      </c>
      <c r="R1718">
        <v>246</v>
      </c>
      <c r="S1718">
        <v>59</v>
      </c>
      <c r="T1718">
        <v>3033</v>
      </c>
      <c r="U1718">
        <v>111</v>
      </c>
      <c r="V1718">
        <v>72</v>
      </c>
      <c r="W1718">
        <v>1751</v>
      </c>
      <c r="X1718">
        <f>NHS_AE_2024_2025[[#This Row],[A&amp;E attendances Type 1]]+
NHS_AE_2024_2025[[#This Row],[A&amp;E attendances Type 2]]+
NHS_AE_2024_2025[[#This Row],[A&amp;E attendances Other A&amp;E Department]]</f>
        <v>22007</v>
      </c>
      <c r="Y1718">
        <f t="shared" si="52"/>
        <v>6247</v>
      </c>
      <c r="Z1718">
        <f t="shared" si="53"/>
        <v>4967</v>
      </c>
    </row>
    <row r="1719" spans="1:26" x14ac:dyDescent="0.2">
      <c r="A1719" t="s">
        <v>452</v>
      </c>
      <c r="B1719" t="s">
        <v>453</v>
      </c>
      <c r="C1719" t="s">
        <v>206</v>
      </c>
      <c r="D1719" t="s">
        <v>32</v>
      </c>
      <c r="E1719" t="s">
        <v>207</v>
      </c>
      <c r="F1719">
        <v>35332</v>
      </c>
      <c r="G1719">
        <v>384</v>
      </c>
      <c r="H1719">
        <v>1693</v>
      </c>
      <c r="I1719">
        <v>32</v>
      </c>
      <c r="J1719">
        <v>0</v>
      </c>
      <c r="K1719">
        <v>274</v>
      </c>
      <c r="L1719">
        <v>15433</v>
      </c>
      <c r="M1719">
        <v>0</v>
      </c>
      <c r="N1719">
        <v>16</v>
      </c>
      <c r="O1719">
        <v>12</v>
      </c>
      <c r="P1719">
        <v>0</v>
      </c>
      <c r="Q1719">
        <v>3</v>
      </c>
      <c r="R1719">
        <v>2355</v>
      </c>
      <c r="S1719">
        <v>2190</v>
      </c>
      <c r="T1719">
        <v>10966</v>
      </c>
      <c r="U1719">
        <v>0</v>
      </c>
      <c r="V1719">
        <v>0</v>
      </c>
      <c r="W1719">
        <v>5888</v>
      </c>
      <c r="X1719">
        <f>NHS_AE_2024_2025[[#This Row],[A&amp;E attendances Type 1]]+
NHS_AE_2024_2025[[#This Row],[A&amp;E attendances Type 2]]+
NHS_AE_2024_2025[[#This Row],[A&amp;E attendances Other A&amp;E Department]]</f>
        <v>37409</v>
      </c>
      <c r="Y1719">
        <f t="shared" si="52"/>
        <v>15449</v>
      </c>
      <c r="Z1719">
        <f t="shared" si="53"/>
        <v>16854</v>
      </c>
    </row>
    <row r="1720" spans="1:26" x14ac:dyDescent="0.2">
      <c r="A1720" t="s">
        <v>452</v>
      </c>
      <c r="B1720" t="s">
        <v>453</v>
      </c>
      <c r="C1720" t="s">
        <v>334</v>
      </c>
      <c r="D1720" t="s">
        <v>26</v>
      </c>
      <c r="E1720" t="s">
        <v>335</v>
      </c>
      <c r="F1720">
        <v>13362</v>
      </c>
      <c r="G1720">
        <v>0</v>
      </c>
      <c r="H1720">
        <v>0</v>
      </c>
      <c r="I1720">
        <v>190</v>
      </c>
      <c r="J1720">
        <v>0</v>
      </c>
      <c r="K1720">
        <v>0</v>
      </c>
      <c r="L1720">
        <v>5555</v>
      </c>
      <c r="M1720">
        <v>0</v>
      </c>
      <c r="N1720">
        <v>0</v>
      </c>
      <c r="O1720">
        <v>67</v>
      </c>
      <c r="P1720">
        <v>0</v>
      </c>
      <c r="Q1720">
        <v>0</v>
      </c>
      <c r="R1720">
        <v>353</v>
      </c>
      <c r="S1720">
        <v>698</v>
      </c>
      <c r="T1720">
        <v>2733</v>
      </c>
      <c r="U1720">
        <v>0</v>
      </c>
      <c r="V1720">
        <v>0</v>
      </c>
      <c r="W1720">
        <v>1789</v>
      </c>
      <c r="X1720">
        <f>NHS_AE_2024_2025[[#This Row],[A&amp;E attendances Type 1]]+
NHS_AE_2024_2025[[#This Row],[A&amp;E attendances Type 2]]+
NHS_AE_2024_2025[[#This Row],[A&amp;E attendances Other A&amp;E Department]]</f>
        <v>13362</v>
      </c>
      <c r="Y1720">
        <f t="shared" si="52"/>
        <v>5555</v>
      </c>
      <c r="Z1720">
        <f t="shared" si="53"/>
        <v>4522</v>
      </c>
    </row>
    <row r="1721" spans="1:26" x14ac:dyDescent="0.2">
      <c r="A1721" t="s">
        <v>452</v>
      </c>
      <c r="B1721" t="s">
        <v>453</v>
      </c>
      <c r="C1721" t="s">
        <v>164</v>
      </c>
      <c r="D1721" t="s">
        <v>37</v>
      </c>
      <c r="E1721" t="s">
        <v>165</v>
      </c>
      <c r="F1721">
        <v>10800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3321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610</v>
      </c>
      <c r="S1721">
        <v>556</v>
      </c>
      <c r="T1721">
        <v>3119</v>
      </c>
      <c r="U1721">
        <v>0</v>
      </c>
      <c r="V1721">
        <v>0</v>
      </c>
      <c r="W1721">
        <v>556</v>
      </c>
      <c r="X1721">
        <f>NHS_AE_2024_2025[[#This Row],[A&amp;E attendances Type 1]]+
NHS_AE_2024_2025[[#This Row],[A&amp;E attendances Type 2]]+
NHS_AE_2024_2025[[#This Row],[A&amp;E attendances Other A&amp;E Department]]</f>
        <v>10800</v>
      </c>
      <c r="Y1721">
        <f t="shared" si="52"/>
        <v>3321</v>
      </c>
      <c r="Z1721">
        <f t="shared" si="53"/>
        <v>3675</v>
      </c>
    </row>
    <row r="1722" spans="1:26" x14ac:dyDescent="0.2">
      <c r="A1722" t="s">
        <v>452</v>
      </c>
      <c r="B1722" t="s">
        <v>453</v>
      </c>
      <c r="C1722" t="s">
        <v>350</v>
      </c>
      <c r="D1722" t="s">
        <v>55</v>
      </c>
      <c r="E1722" t="s">
        <v>351</v>
      </c>
      <c r="F1722">
        <v>7412</v>
      </c>
      <c r="G1722">
        <v>0</v>
      </c>
      <c r="H1722">
        <v>3505</v>
      </c>
      <c r="I1722">
        <v>276</v>
      </c>
      <c r="J1722">
        <v>0</v>
      </c>
      <c r="K1722">
        <v>99</v>
      </c>
      <c r="L1722">
        <v>3671</v>
      </c>
      <c r="M1722">
        <v>0</v>
      </c>
      <c r="N1722">
        <v>103</v>
      </c>
      <c r="O1722">
        <v>121</v>
      </c>
      <c r="P1722">
        <v>0</v>
      </c>
      <c r="Q1722">
        <v>6</v>
      </c>
      <c r="R1722">
        <v>747</v>
      </c>
      <c r="S1722">
        <v>736</v>
      </c>
      <c r="T1722">
        <v>1896</v>
      </c>
      <c r="U1722">
        <v>0</v>
      </c>
      <c r="V1722">
        <v>0</v>
      </c>
      <c r="W1722">
        <v>219</v>
      </c>
      <c r="X1722">
        <f>NHS_AE_2024_2025[[#This Row],[A&amp;E attendances Type 1]]+
NHS_AE_2024_2025[[#This Row],[A&amp;E attendances Type 2]]+
NHS_AE_2024_2025[[#This Row],[A&amp;E attendances Other A&amp;E Department]]</f>
        <v>10917</v>
      </c>
      <c r="Y1722">
        <f t="shared" si="52"/>
        <v>3774</v>
      </c>
      <c r="Z1722">
        <f t="shared" si="53"/>
        <v>2115</v>
      </c>
    </row>
    <row r="1723" spans="1:26" x14ac:dyDescent="0.2">
      <c r="A1723" t="s">
        <v>452</v>
      </c>
      <c r="B1723" t="s">
        <v>453</v>
      </c>
      <c r="C1723" t="s">
        <v>352</v>
      </c>
      <c r="D1723" t="s">
        <v>50</v>
      </c>
      <c r="E1723" t="s">
        <v>353</v>
      </c>
      <c r="F1723">
        <v>17925</v>
      </c>
      <c r="G1723">
        <v>122</v>
      </c>
      <c r="H1723">
        <v>6752</v>
      </c>
      <c r="I1723">
        <v>124</v>
      </c>
      <c r="J1723">
        <v>0</v>
      </c>
      <c r="K1723">
        <v>89</v>
      </c>
      <c r="L1723">
        <v>7104</v>
      </c>
      <c r="M1723">
        <v>0</v>
      </c>
      <c r="N1723">
        <v>521</v>
      </c>
      <c r="O1723">
        <v>16</v>
      </c>
      <c r="P1723">
        <v>0</v>
      </c>
      <c r="Q1723">
        <v>4</v>
      </c>
      <c r="R1723">
        <v>2278</v>
      </c>
      <c r="S1723">
        <v>242</v>
      </c>
      <c r="T1723">
        <v>3679</v>
      </c>
      <c r="U1723">
        <v>0</v>
      </c>
      <c r="V1723">
        <v>153</v>
      </c>
      <c r="W1723">
        <v>932</v>
      </c>
      <c r="X1723">
        <f>NHS_AE_2024_2025[[#This Row],[A&amp;E attendances Type 1]]+
NHS_AE_2024_2025[[#This Row],[A&amp;E attendances Type 2]]+
NHS_AE_2024_2025[[#This Row],[A&amp;E attendances Other A&amp;E Department]]</f>
        <v>24799</v>
      </c>
      <c r="Y1723">
        <f t="shared" si="52"/>
        <v>7625</v>
      </c>
      <c r="Z1723">
        <f t="shared" si="53"/>
        <v>4764</v>
      </c>
    </row>
    <row r="1724" spans="1:26" x14ac:dyDescent="0.2">
      <c r="A1724" t="s">
        <v>452</v>
      </c>
      <c r="B1724" t="s">
        <v>453</v>
      </c>
      <c r="C1724" t="s">
        <v>356</v>
      </c>
      <c r="D1724" t="s">
        <v>32</v>
      </c>
      <c r="E1724" t="s">
        <v>357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13</v>
      </c>
      <c r="W1724">
        <v>83</v>
      </c>
      <c r="X1724">
        <f>NHS_AE_2024_2025[[#This Row],[A&amp;E attendances Type 1]]+
NHS_AE_2024_2025[[#This Row],[A&amp;E attendances Type 2]]+
NHS_AE_2024_2025[[#This Row],[A&amp;E attendances Other A&amp;E Department]]</f>
        <v>0</v>
      </c>
      <c r="Y1724">
        <f t="shared" si="52"/>
        <v>0</v>
      </c>
      <c r="Z1724">
        <f t="shared" si="53"/>
        <v>96</v>
      </c>
    </row>
    <row r="1725" spans="1:26" x14ac:dyDescent="0.2">
      <c r="A1725" t="s">
        <v>452</v>
      </c>
      <c r="B1725" t="s">
        <v>453</v>
      </c>
      <c r="C1725" t="s">
        <v>360</v>
      </c>
      <c r="D1725" t="s">
        <v>50</v>
      </c>
      <c r="E1725" t="s">
        <v>361</v>
      </c>
      <c r="F1725">
        <v>0</v>
      </c>
      <c r="G1725">
        <v>0</v>
      </c>
      <c r="H1725">
        <v>2366</v>
      </c>
      <c r="I1725">
        <v>0</v>
      </c>
      <c r="J1725">
        <v>0</v>
      </c>
      <c r="K1725">
        <v>317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f>NHS_AE_2024_2025[[#This Row],[A&amp;E attendances Type 1]]+
NHS_AE_2024_2025[[#This Row],[A&amp;E attendances Type 2]]+
NHS_AE_2024_2025[[#This Row],[A&amp;E attendances Other A&amp;E Department]]</f>
        <v>2366</v>
      </c>
      <c r="Y1725">
        <f t="shared" si="52"/>
        <v>0</v>
      </c>
      <c r="Z1725">
        <f t="shared" si="53"/>
        <v>0</v>
      </c>
    </row>
    <row r="1726" spans="1:26" x14ac:dyDescent="0.2">
      <c r="A1726" t="s">
        <v>452</v>
      </c>
      <c r="B1726" t="s">
        <v>453</v>
      </c>
      <c r="C1726" t="s">
        <v>148</v>
      </c>
      <c r="D1726" t="s">
        <v>32</v>
      </c>
      <c r="E1726" t="s">
        <v>149</v>
      </c>
      <c r="F1726">
        <v>0</v>
      </c>
      <c r="G1726">
        <v>0</v>
      </c>
      <c r="H1726">
        <v>3581</v>
      </c>
      <c r="I1726">
        <v>0</v>
      </c>
      <c r="J1726">
        <v>0</v>
      </c>
      <c r="K1726">
        <v>3</v>
      </c>
      <c r="L1726">
        <v>0</v>
      </c>
      <c r="M1726">
        <v>0</v>
      </c>
      <c r="N1726">
        <v>4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f>NHS_AE_2024_2025[[#This Row],[A&amp;E attendances Type 1]]+
NHS_AE_2024_2025[[#This Row],[A&amp;E attendances Type 2]]+
NHS_AE_2024_2025[[#This Row],[A&amp;E attendances Other A&amp;E Department]]</f>
        <v>3581</v>
      </c>
      <c r="Y1726">
        <f t="shared" si="52"/>
        <v>4</v>
      </c>
      <c r="Z1726">
        <f t="shared" si="53"/>
        <v>0</v>
      </c>
    </row>
    <row r="1727" spans="1:26" x14ac:dyDescent="0.2">
      <c r="A1727" t="s">
        <v>452</v>
      </c>
      <c r="B1727" t="s">
        <v>453</v>
      </c>
      <c r="C1727" t="s">
        <v>224</v>
      </c>
      <c r="D1727" t="s">
        <v>29</v>
      </c>
      <c r="E1727" t="s">
        <v>225</v>
      </c>
      <c r="F1727">
        <v>24992</v>
      </c>
      <c r="G1727">
        <v>928</v>
      </c>
      <c r="H1727">
        <v>18284</v>
      </c>
      <c r="I1727">
        <v>0</v>
      </c>
      <c r="J1727">
        <v>0</v>
      </c>
      <c r="K1727">
        <v>0</v>
      </c>
      <c r="L1727">
        <v>12419</v>
      </c>
      <c r="M1727">
        <v>19</v>
      </c>
      <c r="N1727">
        <v>2130</v>
      </c>
      <c r="O1727">
        <v>0</v>
      </c>
      <c r="P1727">
        <v>0</v>
      </c>
      <c r="Q1727">
        <v>0</v>
      </c>
      <c r="R1727">
        <v>1200</v>
      </c>
      <c r="S1727">
        <v>1038</v>
      </c>
      <c r="T1727">
        <v>5141</v>
      </c>
      <c r="U1727">
        <v>0</v>
      </c>
      <c r="V1727">
        <v>0</v>
      </c>
      <c r="W1727">
        <v>1337</v>
      </c>
      <c r="X1727">
        <f>NHS_AE_2024_2025[[#This Row],[A&amp;E attendances Type 1]]+
NHS_AE_2024_2025[[#This Row],[A&amp;E attendances Type 2]]+
NHS_AE_2024_2025[[#This Row],[A&amp;E attendances Other A&amp;E Department]]</f>
        <v>44204</v>
      </c>
      <c r="Y1727">
        <f t="shared" si="52"/>
        <v>14568</v>
      </c>
      <c r="Z1727">
        <f t="shared" si="53"/>
        <v>6478</v>
      </c>
    </row>
    <row r="1728" spans="1:26" x14ac:dyDescent="0.2">
      <c r="A1728" t="s">
        <v>452</v>
      </c>
      <c r="B1728" t="s">
        <v>453</v>
      </c>
      <c r="C1728" t="s">
        <v>228</v>
      </c>
      <c r="D1728" t="s">
        <v>70</v>
      </c>
      <c r="E1728" t="s">
        <v>229</v>
      </c>
      <c r="F1728">
        <v>31119</v>
      </c>
      <c r="G1728">
        <v>0</v>
      </c>
      <c r="H1728">
        <v>6039</v>
      </c>
      <c r="I1728">
        <v>540</v>
      </c>
      <c r="J1728">
        <v>0</v>
      </c>
      <c r="K1728">
        <v>159</v>
      </c>
      <c r="L1728">
        <v>8919</v>
      </c>
      <c r="M1728">
        <v>0</v>
      </c>
      <c r="N1728">
        <v>159</v>
      </c>
      <c r="O1728">
        <v>94</v>
      </c>
      <c r="P1728">
        <v>0</v>
      </c>
      <c r="Q1728">
        <v>1</v>
      </c>
      <c r="R1728">
        <v>2929</v>
      </c>
      <c r="S1728">
        <v>11</v>
      </c>
      <c r="T1728">
        <v>9443</v>
      </c>
      <c r="U1728">
        <v>0</v>
      </c>
      <c r="V1728">
        <v>249</v>
      </c>
      <c r="W1728">
        <v>1307</v>
      </c>
      <c r="X1728">
        <f>NHS_AE_2024_2025[[#This Row],[A&amp;E attendances Type 1]]+
NHS_AE_2024_2025[[#This Row],[A&amp;E attendances Type 2]]+
NHS_AE_2024_2025[[#This Row],[A&amp;E attendances Other A&amp;E Department]]</f>
        <v>37158</v>
      </c>
      <c r="Y1728">
        <f t="shared" si="52"/>
        <v>9078</v>
      </c>
      <c r="Z1728">
        <f t="shared" si="53"/>
        <v>10999</v>
      </c>
    </row>
    <row r="1729" spans="1:26" x14ac:dyDescent="0.2">
      <c r="A1729" t="s">
        <v>452</v>
      </c>
      <c r="B1729" t="s">
        <v>453</v>
      </c>
      <c r="C1729" t="s">
        <v>400</v>
      </c>
      <c r="D1729" t="s">
        <v>50</v>
      </c>
      <c r="E1729" t="s">
        <v>401</v>
      </c>
      <c r="F1729">
        <v>5183</v>
      </c>
      <c r="G1729">
        <v>0</v>
      </c>
      <c r="H1729">
        <v>1006</v>
      </c>
      <c r="I1729">
        <v>315</v>
      </c>
      <c r="J1729">
        <v>0</v>
      </c>
      <c r="K1729">
        <v>32</v>
      </c>
      <c r="L1729">
        <v>1769</v>
      </c>
      <c r="M1729">
        <v>0</v>
      </c>
      <c r="N1729">
        <v>0</v>
      </c>
      <c r="O1729">
        <v>81</v>
      </c>
      <c r="P1729">
        <v>0</v>
      </c>
      <c r="Q1729">
        <v>0</v>
      </c>
      <c r="R1729">
        <v>301</v>
      </c>
      <c r="S1729">
        <v>55</v>
      </c>
      <c r="T1729">
        <v>1156</v>
      </c>
      <c r="U1729">
        <v>0</v>
      </c>
      <c r="V1729">
        <v>0</v>
      </c>
      <c r="W1729">
        <v>285</v>
      </c>
      <c r="X1729">
        <f>NHS_AE_2024_2025[[#This Row],[A&amp;E attendances Type 1]]+
NHS_AE_2024_2025[[#This Row],[A&amp;E attendances Type 2]]+
NHS_AE_2024_2025[[#This Row],[A&amp;E attendances Other A&amp;E Department]]</f>
        <v>6189</v>
      </c>
      <c r="Y1729">
        <f t="shared" si="52"/>
        <v>1769</v>
      </c>
      <c r="Z1729">
        <f t="shared" si="53"/>
        <v>1441</v>
      </c>
    </row>
    <row r="1730" spans="1:26" x14ac:dyDescent="0.2">
      <c r="A1730" t="s">
        <v>452</v>
      </c>
      <c r="B1730" t="s">
        <v>453</v>
      </c>
      <c r="C1730" t="s">
        <v>296</v>
      </c>
      <c r="D1730" t="s">
        <v>70</v>
      </c>
      <c r="E1730" t="s">
        <v>297</v>
      </c>
      <c r="F1730">
        <v>15434</v>
      </c>
      <c r="G1730">
        <v>0</v>
      </c>
      <c r="H1730">
        <v>12919</v>
      </c>
      <c r="I1730">
        <v>866</v>
      </c>
      <c r="J1730">
        <v>0</v>
      </c>
      <c r="K1730">
        <v>280</v>
      </c>
      <c r="L1730">
        <v>6867</v>
      </c>
      <c r="M1730">
        <v>0</v>
      </c>
      <c r="N1730">
        <v>214</v>
      </c>
      <c r="O1730">
        <v>0</v>
      </c>
      <c r="P1730">
        <v>0</v>
      </c>
      <c r="Q1730">
        <v>0</v>
      </c>
      <c r="R1730">
        <v>1251</v>
      </c>
      <c r="S1730">
        <v>483</v>
      </c>
      <c r="T1730">
        <v>6354</v>
      </c>
      <c r="U1730">
        <v>0</v>
      </c>
      <c r="V1730">
        <v>363</v>
      </c>
      <c r="W1730">
        <v>1025</v>
      </c>
      <c r="X1730">
        <f>NHS_AE_2024_2025[[#This Row],[A&amp;E attendances Type 1]]+
NHS_AE_2024_2025[[#This Row],[A&amp;E attendances Type 2]]+
NHS_AE_2024_2025[[#This Row],[A&amp;E attendances Other A&amp;E Department]]</f>
        <v>28353</v>
      </c>
      <c r="Y1730">
        <f t="shared" ref="Y1730:Y1793" si="54">L1730+M1730+N1730</f>
        <v>7081</v>
      </c>
      <c r="Z1730">
        <f t="shared" ref="Z1730:Z1793" si="55">T1730+U1730+V1730+W1730</f>
        <v>7742</v>
      </c>
    </row>
    <row r="1731" spans="1:26" x14ac:dyDescent="0.2">
      <c r="A1731" t="s">
        <v>452</v>
      </c>
      <c r="B1731" t="s">
        <v>453</v>
      </c>
      <c r="C1731" t="s">
        <v>366</v>
      </c>
      <c r="D1731" t="s">
        <v>29</v>
      </c>
      <c r="E1731" t="s">
        <v>367</v>
      </c>
      <c r="F1731">
        <v>13446</v>
      </c>
      <c r="G1731">
        <v>2462</v>
      </c>
      <c r="H1731">
        <v>14302</v>
      </c>
      <c r="I1731">
        <v>0</v>
      </c>
      <c r="J1731">
        <v>0</v>
      </c>
      <c r="K1731">
        <v>0</v>
      </c>
      <c r="L1731">
        <v>5652</v>
      </c>
      <c r="M1731">
        <v>413</v>
      </c>
      <c r="N1731">
        <v>182</v>
      </c>
      <c r="O1731">
        <v>0</v>
      </c>
      <c r="P1731">
        <v>0</v>
      </c>
      <c r="Q1731">
        <v>0</v>
      </c>
      <c r="R1731">
        <v>715</v>
      </c>
      <c r="S1731">
        <v>734</v>
      </c>
      <c r="T1731">
        <v>8145</v>
      </c>
      <c r="U1731">
        <v>0</v>
      </c>
      <c r="V1731">
        <v>0</v>
      </c>
      <c r="W1731">
        <v>427</v>
      </c>
      <c r="X1731">
        <f>NHS_AE_2024_2025[[#This Row],[A&amp;E attendances Type 1]]+
NHS_AE_2024_2025[[#This Row],[A&amp;E attendances Type 2]]+
NHS_AE_2024_2025[[#This Row],[A&amp;E attendances Other A&amp;E Department]]</f>
        <v>30210</v>
      </c>
      <c r="Y1731">
        <f t="shared" si="54"/>
        <v>6247</v>
      </c>
      <c r="Z1731">
        <f t="shared" si="55"/>
        <v>8572</v>
      </c>
    </row>
    <row r="1732" spans="1:26" x14ac:dyDescent="0.2">
      <c r="A1732" t="s">
        <v>452</v>
      </c>
      <c r="B1732" t="s">
        <v>453</v>
      </c>
      <c r="C1732" t="s">
        <v>298</v>
      </c>
      <c r="D1732" t="s">
        <v>32</v>
      </c>
      <c r="E1732" t="s">
        <v>299</v>
      </c>
      <c r="F1732">
        <v>7487</v>
      </c>
      <c r="G1732">
        <v>0</v>
      </c>
      <c r="H1732">
        <v>1592</v>
      </c>
      <c r="I1732">
        <v>239</v>
      </c>
      <c r="J1732">
        <v>0</v>
      </c>
      <c r="K1732">
        <v>111</v>
      </c>
      <c r="L1732">
        <v>2988</v>
      </c>
      <c r="M1732">
        <v>0</v>
      </c>
      <c r="N1732">
        <v>221</v>
      </c>
      <c r="O1732">
        <v>60</v>
      </c>
      <c r="P1732">
        <v>0</v>
      </c>
      <c r="Q1732">
        <v>9</v>
      </c>
      <c r="R1732">
        <v>905</v>
      </c>
      <c r="S1732">
        <v>147</v>
      </c>
      <c r="T1732">
        <v>2750</v>
      </c>
      <c r="U1732">
        <v>0</v>
      </c>
      <c r="V1732">
        <v>216</v>
      </c>
      <c r="W1732">
        <v>593</v>
      </c>
      <c r="X1732">
        <f>NHS_AE_2024_2025[[#This Row],[A&amp;E attendances Type 1]]+
NHS_AE_2024_2025[[#This Row],[A&amp;E attendances Type 2]]+
NHS_AE_2024_2025[[#This Row],[A&amp;E attendances Other A&amp;E Department]]</f>
        <v>9079</v>
      </c>
      <c r="Y1732">
        <f t="shared" si="54"/>
        <v>3209</v>
      </c>
      <c r="Z1732">
        <f t="shared" si="55"/>
        <v>3559</v>
      </c>
    </row>
    <row r="1733" spans="1:26" x14ac:dyDescent="0.2">
      <c r="A1733" t="s">
        <v>452</v>
      </c>
      <c r="B1733" t="s">
        <v>453</v>
      </c>
      <c r="C1733" t="s">
        <v>246</v>
      </c>
      <c r="D1733" t="s">
        <v>70</v>
      </c>
      <c r="E1733" t="s">
        <v>247</v>
      </c>
      <c r="F1733">
        <v>10313</v>
      </c>
      <c r="G1733">
        <v>0</v>
      </c>
      <c r="H1733">
        <v>6303</v>
      </c>
      <c r="I1733">
        <v>862</v>
      </c>
      <c r="J1733">
        <v>0</v>
      </c>
      <c r="K1733">
        <v>587</v>
      </c>
      <c r="L1733">
        <v>5245</v>
      </c>
      <c r="M1733">
        <v>0</v>
      </c>
      <c r="N1733">
        <v>135</v>
      </c>
      <c r="O1733">
        <v>373</v>
      </c>
      <c r="P1733">
        <v>0</v>
      </c>
      <c r="Q1733">
        <v>26</v>
      </c>
      <c r="R1733">
        <v>545</v>
      </c>
      <c r="S1733">
        <v>641</v>
      </c>
      <c r="T1733">
        <v>2763</v>
      </c>
      <c r="U1733">
        <v>0</v>
      </c>
      <c r="V1733">
        <v>23</v>
      </c>
      <c r="W1733">
        <v>440</v>
      </c>
      <c r="X1733">
        <f>NHS_AE_2024_2025[[#This Row],[A&amp;E attendances Type 1]]+
NHS_AE_2024_2025[[#This Row],[A&amp;E attendances Type 2]]+
NHS_AE_2024_2025[[#This Row],[A&amp;E attendances Other A&amp;E Department]]</f>
        <v>16616</v>
      </c>
      <c r="Y1733">
        <f t="shared" si="54"/>
        <v>5380</v>
      </c>
      <c r="Z1733">
        <f t="shared" si="55"/>
        <v>3226</v>
      </c>
    </row>
    <row r="1734" spans="1:26" x14ac:dyDescent="0.2">
      <c r="A1734" t="s">
        <v>452</v>
      </c>
      <c r="B1734" t="s">
        <v>453</v>
      </c>
      <c r="C1734" t="s">
        <v>300</v>
      </c>
      <c r="D1734" t="s">
        <v>37</v>
      </c>
      <c r="E1734" t="s">
        <v>301</v>
      </c>
      <c r="F1734">
        <v>12453</v>
      </c>
      <c r="G1734">
        <v>1251</v>
      </c>
      <c r="H1734">
        <v>0</v>
      </c>
      <c r="I1734">
        <v>158</v>
      </c>
      <c r="J1734">
        <v>0</v>
      </c>
      <c r="K1734">
        <v>0</v>
      </c>
      <c r="L1734">
        <v>3830</v>
      </c>
      <c r="M1734">
        <v>97</v>
      </c>
      <c r="N1734">
        <v>0</v>
      </c>
      <c r="O1734">
        <v>50</v>
      </c>
      <c r="P1734">
        <v>0</v>
      </c>
      <c r="Q1734">
        <v>0</v>
      </c>
      <c r="R1734">
        <v>251</v>
      </c>
      <c r="S1734">
        <v>11</v>
      </c>
      <c r="T1734">
        <v>4059</v>
      </c>
      <c r="U1734">
        <v>13</v>
      </c>
      <c r="V1734">
        <v>0</v>
      </c>
      <c r="W1734">
        <v>1562</v>
      </c>
      <c r="X1734">
        <f>NHS_AE_2024_2025[[#This Row],[A&amp;E attendances Type 1]]+
NHS_AE_2024_2025[[#This Row],[A&amp;E attendances Type 2]]+
NHS_AE_2024_2025[[#This Row],[A&amp;E attendances Other A&amp;E Department]]</f>
        <v>13704</v>
      </c>
      <c r="Y1734">
        <f t="shared" si="54"/>
        <v>3927</v>
      </c>
      <c r="Z1734">
        <f t="shared" si="55"/>
        <v>5634</v>
      </c>
    </row>
    <row r="1735" spans="1:26" x14ac:dyDescent="0.2">
      <c r="A1735" t="s">
        <v>452</v>
      </c>
      <c r="B1735" t="s">
        <v>453</v>
      </c>
      <c r="C1735" t="s">
        <v>302</v>
      </c>
      <c r="D1735" t="s">
        <v>29</v>
      </c>
      <c r="E1735" t="s">
        <v>303</v>
      </c>
      <c r="F1735">
        <v>11226</v>
      </c>
      <c r="G1735">
        <v>765</v>
      </c>
      <c r="H1735">
        <v>6841</v>
      </c>
      <c r="I1735">
        <v>0</v>
      </c>
      <c r="J1735">
        <v>0</v>
      </c>
      <c r="K1735">
        <v>0</v>
      </c>
      <c r="L1735">
        <v>4645</v>
      </c>
      <c r="M1735">
        <v>6</v>
      </c>
      <c r="N1735">
        <v>367</v>
      </c>
      <c r="O1735">
        <v>0</v>
      </c>
      <c r="P1735">
        <v>0</v>
      </c>
      <c r="Q1735">
        <v>0</v>
      </c>
      <c r="R1735">
        <v>156</v>
      </c>
      <c r="S1735">
        <v>39</v>
      </c>
      <c r="T1735">
        <v>2152</v>
      </c>
      <c r="U1735">
        <v>0</v>
      </c>
      <c r="V1735">
        <v>0</v>
      </c>
      <c r="W1735">
        <v>249</v>
      </c>
      <c r="X1735">
        <f>NHS_AE_2024_2025[[#This Row],[A&amp;E attendances Type 1]]+
NHS_AE_2024_2025[[#This Row],[A&amp;E attendances Type 2]]+
NHS_AE_2024_2025[[#This Row],[A&amp;E attendances Other A&amp;E Department]]</f>
        <v>18832</v>
      </c>
      <c r="Y1735">
        <f t="shared" si="54"/>
        <v>5018</v>
      </c>
      <c r="Z1735">
        <f t="shared" si="55"/>
        <v>2401</v>
      </c>
    </row>
    <row r="1736" spans="1:26" x14ac:dyDescent="0.2">
      <c r="A1736" t="s">
        <v>452</v>
      </c>
      <c r="B1736" t="s">
        <v>453</v>
      </c>
      <c r="C1736" t="s">
        <v>250</v>
      </c>
      <c r="D1736" t="s">
        <v>32</v>
      </c>
      <c r="E1736" t="s">
        <v>251</v>
      </c>
      <c r="F1736">
        <v>11680</v>
      </c>
      <c r="G1736">
        <v>0</v>
      </c>
      <c r="H1736">
        <v>5736</v>
      </c>
      <c r="I1736">
        <v>15</v>
      </c>
      <c r="J1736">
        <v>0</v>
      </c>
      <c r="K1736">
        <v>129</v>
      </c>
      <c r="L1736">
        <v>4398</v>
      </c>
      <c r="M1736">
        <v>0</v>
      </c>
      <c r="N1736">
        <v>275</v>
      </c>
      <c r="O1736">
        <v>5</v>
      </c>
      <c r="P1736">
        <v>0</v>
      </c>
      <c r="Q1736">
        <v>1</v>
      </c>
      <c r="R1736">
        <v>635</v>
      </c>
      <c r="S1736">
        <v>77</v>
      </c>
      <c r="T1736">
        <v>3841</v>
      </c>
      <c r="U1736">
        <v>0</v>
      </c>
      <c r="V1736">
        <v>0</v>
      </c>
      <c r="W1736">
        <v>401</v>
      </c>
      <c r="X1736">
        <f>NHS_AE_2024_2025[[#This Row],[A&amp;E attendances Type 1]]+
NHS_AE_2024_2025[[#This Row],[A&amp;E attendances Type 2]]+
NHS_AE_2024_2025[[#This Row],[A&amp;E attendances Other A&amp;E Department]]</f>
        <v>17416</v>
      </c>
      <c r="Y1736">
        <f t="shared" si="54"/>
        <v>4673</v>
      </c>
      <c r="Z1736">
        <f t="shared" si="55"/>
        <v>4242</v>
      </c>
    </row>
    <row r="1737" spans="1:26" x14ac:dyDescent="0.2">
      <c r="A1737" t="s">
        <v>452</v>
      </c>
      <c r="B1737" t="s">
        <v>453</v>
      </c>
      <c r="C1737" t="s">
        <v>386</v>
      </c>
      <c r="D1737" t="s">
        <v>32</v>
      </c>
      <c r="E1737" t="s">
        <v>387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32</v>
      </c>
      <c r="X1737">
        <f>NHS_AE_2024_2025[[#This Row],[A&amp;E attendances Type 1]]+
NHS_AE_2024_2025[[#This Row],[A&amp;E attendances Type 2]]+
NHS_AE_2024_2025[[#This Row],[A&amp;E attendances Other A&amp;E Department]]</f>
        <v>0</v>
      </c>
      <c r="Y1737">
        <f t="shared" si="54"/>
        <v>0</v>
      </c>
      <c r="Z1737">
        <f t="shared" si="55"/>
        <v>32</v>
      </c>
    </row>
    <row r="1738" spans="1:26" x14ac:dyDescent="0.2">
      <c r="A1738" t="s">
        <v>452</v>
      </c>
      <c r="B1738" t="s">
        <v>453</v>
      </c>
      <c r="C1738" t="s">
        <v>316</v>
      </c>
      <c r="D1738" t="s">
        <v>70</v>
      </c>
      <c r="E1738" t="s">
        <v>317</v>
      </c>
      <c r="F1738">
        <v>12332</v>
      </c>
      <c r="G1738">
        <v>0</v>
      </c>
      <c r="H1738">
        <v>9275</v>
      </c>
      <c r="I1738">
        <v>427</v>
      </c>
      <c r="J1738">
        <v>0</v>
      </c>
      <c r="K1738">
        <v>0</v>
      </c>
      <c r="L1738">
        <v>4157</v>
      </c>
      <c r="M1738">
        <v>0</v>
      </c>
      <c r="N1738">
        <v>0</v>
      </c>
      <c r="O1738">
        <v>93</v>
      </c>
      <c r="P1738">
        <v>0</v>
      </c>
      <c r="Q1738">
        <v>0</v>
      </c>
      <c r="R1738">
        <v>787</v>
      </c>
      <c r="S1738">
        <v>117</v>
      </c>
      <c r="T1738">
        <v>2726</v>
      </c>
      <c r="U1738">
        <v>0</v>
      </c>
      <c r="V1738">
        <v>0</v>
      </c>
      <c r="W1738">
        <v>1655</v>
      </c>
      <c r="X1738">
        <f>NHS_AE_2024_2025[[#This Row],[A&amp;E attendances Type 1]]+
NHS_AE_2024_2025[[#This Row],[A&amp;E attendances Type 2]]+
NHS_AE_2024_2025[[#This Row],[A&amp;E attendances Other A&amp;E Department]]</f>
        <v>21607</v>
      </c>
      <c r="Y1738">
        <f t="shared" si="54"/>
        <v>4157</v>
      </c>
      <c r="Z1738">
        <f t="shared" si="55"/>
        <v>4381</v>
      </c>
    </row>
    <row r="1739" spans="1:26" x14ac:dyDescent="0.2">
      <c r="A1739" t="s">
        <v>452</v>
      </c>
      <c r="B1739" t="s">
        <v>453</v>
      </c>
      <c r="C1739" t="s">
        <v>318</v>
      </c>
      <c r="D1739" t="s">
        <v>55</v>
      </c>
      <c r="E1739" t="s">
        <v>319</v>
      </c>
      <c r="F1739">
        <v>8711</v>
      </c>
      <c r="G1739">
        <v>0</v>
      </c>
      <c r="H1739">
        <v>2777</v>
      </c>
      <c r="I1739">
        <v>451</v>
      </c>
      <c r="J1739">
        <v>0</v>
      </c>
      <c r="K1739">
        <v>245</v>
      </c>
      <c r="L1739">
        <v>4396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624</v>
      </c>
      <c r="S1739">
        <v>26</v>
      </c>
      <c r="T1739">
        <v>2595</v>
      </c>
      <c r="U1739">
        <v>0</v>
      </c>
      <c r="V1739">
        <v>0</v>
      </c>
      <c r="W1739">
        <v>651</v>
      </c>
      <c r="X1739">
        <f>NHS_AE_2024_2025[[#This Row],[A&amp;E attendances Type 1]]+
NHS_AE_2024_2025[[#This Row],[A&amp;E attendances Type 2]]+
NHS_AE_2024_2025[[#This Row],[A&amp;E attendances Other A&amp;E Department]]</f>
        <v>11488</v>
      </c>
      <c r="Y1739">
        <f t="shared" si="54"/>
        <v>4396</v>
      </c>
      <c r="Z1739">
        <f t="shared" si="55"/>
        <v>3246</v>
      </c>
    </row>
    <row r="1740" spans="1:26" x14ac:dyDescent="0.2">
      <c r="A1740" t="s">
        <v>452</v>
      </c>
      <c r="B1740" t="s">
        <v>453</v>
      </c>
      <c r="C1740" t="s">
        <v>252</v>
      </c>
      <c r="D1740" t="s">
        <v>37</v>
      </c>
      <c r="E1740" t="s">
        <v>253</v>
      </c>
      <c r="F1740">
        <v>13010</v>
      </c>
      <c r="G1740">
        <v>158</v>
      </c>
      <c r="H1740">
        <v>538</v>
      </c>
      <c r="I1740">
        <v>0</v>
      </c>
      <c r="J1740">
        <v>0</v>
      </c>
      <c r="K1740">
        <v>174</v>
      </c>
      <c r="L1740">
        <v>4999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660</v>
      </c>
      <c r="S1740">
        <v>34</v>
      </c>
      <c r="T1740">
        <v>4384</v>
      </c>
      <c r="U1740">
        <v>9</v>
      </c>
      <c r="V1740">
        <v>0</v>
      </c>
      <c r="W1740">
        <v>1002</v>
      </c>
      <c r="X1740">
        <f>NHS_AE_2024_2025[[#This Row],[A&amp;E attendances Type 1]]+
NHS_AE_2024_2025[[#This Row],[A&amp;E attendances Type 2]]+
NHS_AE_2024_2025[[#This Row],[A&amp;E attendances Other A&amp;E Department]]</f>
        <v>13706</v>
      </c>
      <c r="Y1740">
        <f t="shared" si="54"/>
        <v>4999</v>
      </c>
      <c r="Z1740">
        <f t="shared" si="55"/>
        <v>5395</v>
      </c>
    </row>
    <row r="1741" spans="1:26" x14ac:dyDescent="0.2">
      <c r="A1741" t="s">
        <v>452</v>
      </c>
      <c r="B1741" t="s">
        <v>453</v>
      </c>
      <c r="C1741" t="s">
        <v>324</v>
      </c>
      <c r="D1741" t="s">
        <v>37</v>
      </c>
      <c r="E1741" t="s">
        <v>325</v>
      </c>
      <c r="F1741">
        <v>9403</v>
      </c>
      <c r="G1741">
        <v>0</v>
      </c>
      <c r="H1741">
        <v>7329</v>
      </c>
      <c r="I1741">
        <v>370</v>
      </c>
      <c r="J1741">
        <v>0</v>
      </c>
      <c r="K1741">
        <v>1133</v>
      </c>
      <c r="L1741">
        <v>2810</v>
      </c>
      <c r="M1741">
        <v>0</v>
      </c>
      <c r="N1741">
        <v>1076</v>
      </c>
      <c r="O1741">
        <v>59</v>
      </c>
      <c r="P1741">
        <v>0</v>
      </c>
      <c r="Q1741">
        <v>0</v>
      </c>
      <c r="R1741">
        <v>442</v>
      </c>
      <c r="S1741">
        <v>588</v>
      </c>
      <c r="T1741">
        <v>2404</v>
      </c>
      <c r="U1741">
        <v>0</v>
      </c>
      <c r="V1741">
        <v>0</v>
      </c>
      <c r="W1741">
        <v>1048</v>
      </c>
      <c r="X1741">
        <f>NHS_AE_2024_2025[[#This Row],[A&amp;E attendances Type 1]]+
NHS_AE_2024_2025[[#This Row],[A&amp;E attendances Type 2]]+
NHS_AE_2024_2025[[#This Row],[A&amp;E attendances Other A&amp;E Department]]</f>
        <v>16732</v>
      </c>
      <c r="Y1741">
        <f t="shared" si="54"/>
        <v>3886</v>
      </c>
      <c r="Z1741">
        <f t="shared" si="55"/>
        <v>3452</v>
      </c>
    </row>
    <row r="1742" spans="1:26" x14ac:dyDescent="0.2">
      <c r="A1742" t="s">
        <v>452</v>
      </c>
      <c r="B1742" t="s">
        <v>453</v>
      </c>
      <c r="C1742" t="s">
        <v>326</v>
      </c>
      <c r="D1742" t="s">
        <v>29</v>
      </c>
      <c r="E1742" t="s">
        <v>327</v>
      </c>
      <c r="F1742">
        <v>20387</v>
      </c>
      <c r="G1742">
        <v>0</v>
      </c>
      <c r="H1742">
        <v>6574</v>
      </c>
      <c r="I1742">
        <v>874</v>
      </c>
      <c r="J1742">
        <v>0</v>
      </c>
      <c r="K1742">
        <v>0</v>
      </c>
      <c r="L1742">
        <v>5146</v>
      </c>
      <c r="M1742">
        <v>0</v>
      </c>
      <c r="N1742">
        <v>232</v>
      </c>
      <c r="O1742">
        <v>0</v>
      </c>
      <c r="P1742">
        <v>0</v>
      </c>
      <c r="Q1742">
        <v>0</v>
      </c>
      <c r="R1742">
        <v>778</v>
      </c>
      <c r="S1742">
        <v>61</v>
      </c>
      <c r="T1742">
        <v>2744</v>
      </c>
      <c r="U1742">
        <v>0</v>
      </c>
      <c r="V1742">
        <v>0</v>
      </c>
      <c r="W1742">
        <v>327</v>
      </c>
      <c r="X1742">
        <f>NHS_AE_2024_2025[[#This Row],[A&amp;E attendances Type 1]]+
NHS_AE_2024_2025[[#This Row],[A&amp;E attendances Type 2]]+
NHS_AE_2024_2025[[#This Row],[A&amp;E attendances Other A&amp;E Department]]</f>
        <v>26961</v>
      </c>
      <c r="Y1742">
        <f t="shared" si="54"/>
        <v>5378</v>
      </c>
      <c r="Z1742">
        <f t="shared" si="55"/>
        <v>3071</v>
      </c>
    </row>
    <row r="1743" spans="1:26" x14ac:dyDescent="0.2">
      <c r="A1743" t="s">
        <v>452</v>
      </c>
      <c r="B1743" t="s">
        <v>453</v>
      </c>
      <c r="C1743" t="s">
        <v>330</v>
      </c>
      <c r="D1743" t="s">
        <v>50</v>
      </c>
      <c r="E1743" t="s">
        <v>331</v>
      </c>
      <c r="F1743">
        <v>18663</v>
      </c>
      <c r="G1743">
        <v>733</v>
      </c>
      <c r="H1743">
        <v>12607</v>
      </c>
      <c r="I1743">
        <v>39</v>
      </c>
      <c r="J1743">
        <v>0</v>
      </c>
      <c r="K1743">
        <v>39</v>
      </c>
      <c r="L1743">
        <v>7850</v>
      </c>
      <c r="M1743">
        <v>0</v>
      </c>
      <c r="N1743">
        <v>83</v>
      </c>
      <c r="O1743">
        <v>12</v>
      </c>
      <c r="P1743">
        <v>0</v>
      </c>
      <c r="Q1743">
        <v>0</v>
      </c>
      <c r="R1743">
        <v>1908</v>
      </c>
      <c r="S1743">
        <v>302</v>
      </c>
      <c r="T1743">
        <v>3900</v>
      </c>
      <c r="U1743">
        <v>0</v>
      </c>
      <c r="V1743">
        <v>0</v>
      </c>
      <c r="W1743">
        <v>1220</v>
      </c>
      <c r="X1743">
        <f>NHS_AE_2024_2025[[#This Row],[A&amp;E attendances Type 1]]+
NHS_AE_2024_2025[[#This Row],[A&amp;E attendances Type 2]]+
NHS_AE_2024_2025[[#This Row],[A&amp;E attendances Other A&amp;E Department]]</f>
        <v>32003</v>
      </c>
      <c r="Y1743">
        <f t="shared" si="54"/>
        <v>7933</v>
      </c>
      <c r="Z1743">
        <f t="shared" si="55"/>
        <v>5120</v>
      </c>
    </row>
    <row r="1744" spans="1:26" x14ac:dyDescent="0.2">
      <c r="A1744" t="s">
        <v>452</v>
      </c>
      <c r="B1744" t="s">
        <v>453</v>
      </c>
      <c r="C1744" t="s">
        <v>332</v>
      </c>
      <c r="D1744" t="s">
        <v>55</v>
      </c>
      <c r="E1744" t="s">
        <v>333</v>
      </c>
      <c r="F1744">
        <v>7563</v>
      </c>
      <c r="G1744">
        <v>0</v>
      </c>
      <c r="H1744">
        <v>5820</v>
      </c>
      <c r="I1744">
        <v>0</v>
      </c>
      <c r="J1744">
        <v>0</v>
      </c>
      <c r="K1744">
        <v>0</v>
      </c>
      <c r="L1744">
        <v>3690</v>
      </c>
      <c r="M1744">
        <v>0</v>
      </c>
      <c r="N1744">
        <v>52</v>
      </c>
      <c r="O1744">
        <v>0</v>
      </c>
      <c r="P1744">
        <v>0</v>
      </c>
      <c r="Q1744">
        <v>0</v>
      </c>
      <c r="R1744">
        <v>1154</v>
      </c>
      <c r="S1744">
        <v>442</v>
      </c>
      <c r="T1744">
        <v>2196</v>
      </c>
      <c r="U1744">
        <v>0</v>
      </c>
      <c r="V1744">
        <v>0</v>
      </c>
      <c r="W1744">
        <v>900</v>
      </c>
      <c r="X1744">
        <f>NHS_AE_2024_2025[[#This Row],[A&amp;E attendances Type 1]]+
NHS_AE_2024_2025[[#This Row],[A&amp;E attendances Type 2]]+
NHS_AE_2024_2025[[#This Row],[A&amp;E attendances Other A&amp;E Department]]</f>
        <v>13383</v>
      </c>
      <c r="Y1744">
        <f t="shared" si="54"/>
        <v>3742</v>
      </c>
      <c r="Z1744">
        <f t="shared" si="55"/>
        <v>3096</v>
      </c>
    </row>
    <row r="1745" spans="1:26" x14ac:dyDescent="0.2">
      <c r="A1745" t="s">
        <v>452</v>
      </c>
      <c r="B1745" t="s">
        <v>453</v>
      </c>
      <c r="C1745" t="s">
        <v>336</v>
      </c>
      <c r="D1745" t="s">
        <v>50</v>
      </c>
      <c r="E1745" t="s">
        <v>337</v>
      </c>
      <c r="F1745">
        <v>10015</v>
      </c>
      <c r="G1745">
        <v>0</v>
      </c>
      <c r="H1745">
        <v>13369</v>
      </c>
      <c r="I1745">
        <v>0</v>
      </c>
      <c r="J1745">
        <v>0</v>
      </c>
      <c r="K1745">
        <v>0</v>
      </c>
      <c r="L1745">
        <v>3029</v>
      </c>
      <c r="M1745">
        <v>0</v>
      </c>
      <c r="N1745">
        <v>10</v>
      </c>
      <c r="O1745">
        <v>0</v>
      </c>
      <c r="P1745">
        <v>0</v>
      </c>
      <c r="Q1745">
        <v>0</v>
      </c>
      <c r="R1745">
        <v>61</v>
      </c>
      <c r="S1745">
        <v>1</v>
      </c>
      <c r="T1745">
        <v>4785</v>
      </c>
      <c r="U1745">
        <v>0</v>
      </c>
      <c r="V1745">
        <v>63</v>
      </c>
      <c r="W1745">
        <v>1519</v>
      </c>
      <c r="X1745">
        <f>NHS_AE_2024_2025[[#This Row],[A&amp;E attendances Type 1]]+
NHS_AE_2024_2025[[#This Row],[A&amp;E attendances Type 2]]+
NHS_AE_2024_2025[[#This Row],[A&amp;E attendances Other A&amp;E Department]]</f>
        <v>23384</v>
      </c>
      <c r="Y1745">
        <f t="shared" si="54"/>
        <v>3039</v>
      </c>
      <c r="Z1745">
        <f t="shared" si="55"/>
        <v>6367</v>
      </c>
    </row>
    <row r="1746" spans="1:26" x14ac:dyDescent="0.2">
      <c r="A1746" t="s">
        <v>452</v>
      </c>
      <c r="B1746" t="s">
        <v>453</v>
      </c>
      <c r="C1746" t="s">
        <v>376</v>
      </c>
      <c r="D1746" t="s">
        <v>55</v>
      </c>
      <c r="E1746" t="s">
        <v>377</v>
      </c>
      <c r="F1746">
        <v>9793</v>
      </c>
      <c r="G1746">
        <v>0</v>
      </c>
      <c r="H1746">
        <v>3566</v>
      </c>
      <c r="I1746">
        <v>289</v>
      </c>
      <c r="J1746">
        <v>0</v>
      </c>
      <c r="K1746">
        <v>676</v>
      </c>
      <c r="L1746">
        <v>2973</v>
      </c>
      <c r="M1746">
        <v>0</v>
      </c>
      <c r="N1746">
        <v>101</v>
      </c>
      <c r="O1746">
        <v>33</v>
      </c>
      <c r="P1746">
        <v>0</v>
      </c>
      <c r="Q1746">
        <v>60</v>
      </c>
      <c r="R1746">
        <v>658</v>
      </c>
      <c r="S1746">
        <v>410</v>
      </c>
      <c r="T1746">
        <v>3084</v>
      </c>
      <c r="U1746">
        <v>0</v>
      </c>
      <c r="V1746">
        <v>15</v>
      </c>
      <c r="W1746">
        <v>997</v>
      </c>
      <c r="X1746">
        <f>NHS_AE_2024_2025[[#This Row],[A&amp;E attendances Type 1]]+
NHS_AE_2024_2025[[#This Row],[A&amp;E attendances Type 2]]+
NHS_AE_2024_2025[[#This Row],[A&amp;E attendances Other A&amp;E Department]]</f>
        <v>13359</v>
      </c>
      <c r="Y1746">
        <f t="shared" si="54"/>
        <v>3074</v>
      </c>
      <c r="Z1746">
        <f t="shared" si="55"/>
        <v>4096</v>
      </c>
    </row>
    <row r="1747" spans="1:26" x14ac:dyDescent="0.2">
      <c r="A1747" t="s">
        <v>452</v>
      </c>
      <c r="B1747" t="s">
        <v>453</v>
      </c>
      <c r="C1747" t="s">
        <v>210</v>
      </c>
      <c r="D1747" t="s">
        <v>26</v>
      </c>
      <c r="E1747" t="s">
        <v>211</v>
      </c>
      <c r="F1747">
        <v>9493</v>
      </c>
      <c r="G1747">
        <v>0</v>
      </c>
      <c r="H1747">
        <v>0</v>
      </c>
      <c r="I1747">
        <v>13</v>
      </c>
      <c r="J1747">
        <v>0</v>
      </c>
      <c r="K1747">
        <v>0</v>
      </c>
      <c r="L1747">
        <v>3625</v>
      </c>
      <c r="M1747">
        <v>0</v>
      </c>
      <c r="N1747">
        <v>0</v>
      </c>
      <c r="O1747">
        <v>3</v>
      </c>
      <c r="P1747">
        <v>0</v>
      </c>
      <c r="Q1747">
        <v>0</v>
      </c>
      <c r="R1747">
        <v>694</v>
      </c>
      <c r="S1747">
        <v>217</v>
      </c>
      <c r="T1747">
        <v>2862</v>
      </c>
      <c r="U1747">
        <v>0</v>
      </c>
      <c r="V1747">
        <v>0</v>
      </c>
      <c r="W1747">
        <v>2006</v>
      </c>
      <c r="X1747">
        <f>NHS_AE_2024_2025[[#This Row],[A&amp;E attendances Type 1]]+
NHS_AE_2024_2025[[#This Row],[A&amp;E attendances Type 2]]+
NHS_AE_2024_2025[[#This Row],[A&amp;E attendances Other A&amp;E Department]]</f>
        <v>9493</v>
      </c>
      <c r="Y1747">
        <f t="shared" si="54"/>
        <v>3625</v>
      </c>
      <c r="Z1747">
        <f t="shared" si="55"/>
        <v>4868</v>
      </c>
    </row>
    <row r="1748" spans="1:26" x14ac:dyDescent="0.2">
      <c r="A1748" t="s">
        <v>452</v>
      </c>
      <c r="B1748" t="s">
        <v>453</v>
      </c>
      <c r="C1748" t="s">
        <v>342</v>
      </c>
      <c r="D1748" t="s">
        <v>37</v>
      </c>
      <c r="E1748" t="s">
        <v>343</v>
      </c>
      <c r="F1748">
        <v>13011</v>
      </c>
      <c r="G1748">
        <v>0</v>
      </c>
      <c r="H1748">
        <v>13265</v>
      </c>
      <c r="I1748">
        <v>0</v>
      </c>
      <c r="J1748">
        <v>0</v>
      </c>
      <c r="K1748">
        <v>0</v>
      </c>
      <c r="L1748">
        <v>6083</v>
      </c>
      <c r="M1748">
        <v>0</v>
      </c>
      <c r="N1748">
        <v>236</v>
      </c>
      <c r="O1748">
        <v>0</v>
      </c>
      <c r="P1748">
        <v>0</v>
      </c>
      <c r="Q1748">
        <v>0</v>
      </c>
      <c r="R1748">
        <v>592</v>
      </c>
      <c r="S1748">
        <v>1227</v>
      </c>
      <c r="T1748">
        <v>3716</v>
      </c>
      <c r="U1748">
        <v>0</v>
      </c>
      <c r="V1748">
        <v>569</v>
      </c>
      <c r="W1748">
        <v>1008</v>
      </c>
      <c r="X1748">
        <f>NHS_AE_2024_2025[[#This Row],[A&amp;E attendances Type 1]]+
NHS_AE_2024_2025[[#This Row],[A&amp;E attendances Type 2]]+
NHS_AE_2024_2025[[#This Row],[A&amp;E attendances Other A&amp;E Department]]</f>
        <v>26276</v>
      </c>
      <c r="Y1748">
        <f t="shared" si="54"/>
        <v>6319</v>
      </c>
      <c r="Z1748">
        <f t="shared" si="55"/>
        <v>5293</v>
      </c>
    </row>
    <row r="1749" spans="1:26" x14ac:dyDescent="0.2">
      <c r="A1749" t="s">
        <v>452</v>
      </c>
      <c r="B1749" t="s">
        <v>453</v>
      </c>
      <c r="C1749" t="s">
        <v>344</v>
      </c>
      <c r="D1749" t="s">
        <v>32</v>
      </c>
      <c r="E1749" t="s">
        <v>345</v>
      </c>
      <c r="F1749">
        <v>10453</v>
      </c>
      <c r="G1749">
        <v>0</v>
      </c>
      <c r="H1749">
        <v>10933</v>
      </c>
      <c r="I1749">
        <v>5</v>
      </c>
      <c r="J1749">
        <v>0</v>
      </c>
      <c r="K1749">
        <v>0</v>
      </c>
      <c r="L1749">
        <v>7110</v>
      </c>
      <c r="M1749">
        <v>0</v>
      </c>
      <c r="N1749">
        <v>1282</v>
      </c>
      <c r="O1749">
        <v>4</v>
      </c>
      <c r="P1749">
        <v>0</v>
      </c>
      <c r="Q1749">
        <v>0</v>
      </c>
      <c r="R1749">
        <v>1128</v>
      </c>
      <c r="S1749">
        <v>1103</v>
      </c>
      <c r="T1749">
        <v>4164</v>
      </c>
      <c r="U1749">
        <v>0</v>
      </c>
      <c r="V1749">
        <v>0</v>
      </c>
      <c r="W1749">
        <v>1260</v>
      </c>
      <c r="X1749">
        <f>NHS_AE_2024_2025[[#This Row],[A&amp;E attendances Type 1]]+
NHS_AE_2024_2025[[#This Row],[A&amp;E attendances Type 2]]+
NHS_AE_2024_2025[[#This Row],[A&amp;E attendances Other A&amp;E Department]]</f>
        <v>21386</v>
      </c>
      <c r="Y1749">
        <f t="shared" si="54"/>
        <v>8392</v>
      </c>
      <c r="Z1749">
        <f t="shared" si="55"/>
        <v>5424</v>
      </c>
    </row>
    <row r="1750" spans="1:26" x14ac:dyDescent="0.2">
      <c r="A1750" t="s">
        <v>452</v>
      </c>
      <c r="B1750" t="s">
        <v>453</v>
      </c>
      <c r="C1750" t="s">
        <v>172</v>
      </c>
      <c r="D1750" t="s">
        <v>37</v>
      </c>
      <c r="E1750" t="s">
        <v>173</v>
      </c>
      <c r="F1750">
        <v>10590</v>
      </c>
      <c r="G1750">
        <v>0</v>
      </c>
      <c r="H1750">
        <v>2450</v>
      </c>
      <c r="I1750">
        <v>873</v>
      </c>
      <c r="J1750">
        <v>0</v>
      </c>
      <c r="K1750">
        <v>1239</v>
      </c>
      <c r="L1750">
        <v>3211</v>
      </c>
      <c r="M1750">
        <v>0</v>
      </c>
      <c r="N1750">
        <v>31</v>
      </c>
      <c r="O1750">
        <v>0</v>
      </c>
      <c r="P1750">
        <v>0</v>
      </c>
      <c r="Q1750">
        <v>0</v>
      </c>
      <c r="R1750">
        <v>277</v>
      </c>
      <c r="S1750">
        <v>4</v>
      </c>
      <c r="T1750">
        <v>3486</v>
      </c>
      <c r="U1750">
        <v>0</v>
      </c>
      <c r="V1750">
        <v>0</v>
      </c>
      <c r="W1750">
        <v>599</v>
      </c>
      <c r="X1750">
        <f>NHS_AE_2024_2025[[#This Row],[A&amp;E attendances Type 1]]+
NHS_AE_2024_2025[[#This Row],[A&amp;E attendances Type 2]]+
NHS_AE_2024_2025[[#This Row],[A&amp;E attendances Other A&amp;E Department]]</f>
        <v>13040</v>
      </c>
      <c r="Y1750">
        <f t="shared" si="54"/>
        <v>3242</v>
      </c>
      <c r="Z1750">
        <f t="shared" si="55"/>
        <v>4085</v>
      </c>
    </row>
    <row r="1751" spans="1:26" x14ac:dyDescent="0.2">
      <c r="A1751" t="s">
        <v>452</v>
      </c>
      <c r="B1751" t="s">
        <v>453</v>
      </c>
      <c r="C1751" t="s">
        <v>214</v>
      </c>
      <c r="D1751" t="s">
        <v>55</v>
      </c>
      <c r="E1751" t="s">
        <v>215</v>
      </c>
      <c r="F1751">
        <v>12522</v>
      </c>
      <c r="G1751">
        <v>0</v>
      </c>
      <c r="H1751">
        <v>3654</v>
      </c>
      <c r="I1751">
        <v>291</v>
      </c>
      <c r="J1751">
        <v>0</v>
      </c>
      <c r="K1751">
        <v>111</v>
      </c>
      <c r="L1751">
        <v>4977</v>
      </c>
      <c r="M1751">
        <v>0</v>
      </c>
      <c r="N1751">
        <v>226</v>
      </c>
      <c r="O1751">
        <v>80</v>
      </c>
      <c r="P1751">
        <v>0</v>
      </c>
      <c r="Q1751">
        <v>5</v>
      </c>
      <c r="R1751">
        <v>1071</v>
      </c>
      <c r="S1751">
        <v>411</v>
      </c>
      <c r="T1751">
        <v>3095</v>
      </c>
      <c r="U1751">
        <v>0</v>
      </c>
      <c r="V1751">
        <v>159</v>
      </c>
      <c r="W1751">
        <v>1228</v>
      </c>
      <c r="X1751">
        <f>NHS_AE_2024_2025[[#This Row],[A&amp;E attendances Type 1]]+
NHS_AE_2024_2025[[#This Row],[A&amp;E attendances Type 2]]+
NHS_AE_2024_2025[[#This Row],[A&amp;E attendances Other A&amp;E Department]]</f>
        <v>16176</v>
      </c>
      <c r="Y1751">
        <f t="shared" si="54"/>
        <v>5203</v>
      </c>
      <c r="Z1751">
        <f t="shared" si="55"/>
        <v>4482</v>
      </c>
    </row>
    <row r="1752" spans="1:26" x14ac:dyDescent="0.2">
      <c r="A1752" t="s">
        <v>452</v>
      </c>
      <c r="B1752" t="s">
        <v>453</v>
      </c>
      <c r="C1752" t="s">
        <v>354</v>
      </c>
      <c r="D1752" t="s">
        <v>50</v>
      </c>
      <c r="E1752" t="s">
        <v>355</v>
      </c>
      <c r="F1752">
        <v>13555</v>
      </c>
      <c r="G1752">
        <v>0</v>
      </c>
      <c r="H1752">
        <v>4752</v>
      </c>
      <c r="I1752">
        <v>0</v>
      </c>
      <c r="J1752">
        <v>0</v>
      </c>
      <c r="K1752">
        <v>7343</v>
      </c>
      <c r="L1752">
        <v>5985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2245</v>
      </c>
      <c r="S1752">
        <v>25</v>
      </c>
      <c r="T1752">
        <v>4445</v>
      </c>
      <c r="U1752">
        <v>0</v>
      </c>
      <c r="V1752">
        <v>0</v>
      </c>
      <c r="W1752">
        <v>788</v>
      </c>
      <c r="X1752">
        <f>NHS_AE_2024_2025[[#This Row],[A&amp;E attendances Type 1]]+
NHS_AE_2024_2025[[#This Row],[A&amp;E attendances Type 2]]+
NHS_AE_2024_2025[[#This Row],[A&amp;E attendances Other A&amp;E Department]]</f>
        <v>18307</v>
      </c>
      <c r="Y1752">
        <f t="shared" si="54"/>
        <v>5985</v>
      </c>
      <c r="Z1752">
        <f t="shared" si="55"/>
        <v>5233</v>
      </c>
    </row>
    <row r="1753" spans="1:26" x14ac:dyDescent="0.2">
      <c r="A1753" t="s">
        <v>452</v>
      </c>
      <c r="B1753" t="s">
        <v>453</v>
      </c>
      <c r="C1753" t="s">
        <v>178</v>
      </c>
      <c r="D1753" t="s">
        <v>55</v>
      </c>
      <c r="E1753" t="s">
        <v>179</v>
      </c>
      <c r="F1753">
        <v>0</v>
      </c>
      <c r="G1753">
        <v>0</v>
      </c>
      <c r="H1753">
        <v>3732</v>
      </c>
      <c r="I1753">
        <v>0</v>
      </c>
      <c r="J1753">
        <v>0</v>
      </c>
      <c r="K1753">
        <v>194</v>
      </c>
      <c r="L1753">
        <v>0</v>
      </c>
      <c r="M1753">
        <v>0</v>
      </c>
      <c r="N1753">
        <v>89</v>
      </c>
      <c r="O1753">
        <v>0</v>
      </c>
      <c r="P1753">
        <v>0</v>
      </c>
      <c r="Q1753">
        <v>7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f>NHS_AE_2024_2025[[#This Row],[A&amp;E attendances Type 1]]+
NHS_AE_2024_2025[[#This Row],[A&amp;E attendances Type 2]]+
NHS_AE_2024_2025[[#This Row],[A&amp;E attendances Other A&amp;E Department]]</f>
        <v>3732</v>
      </c>
      <c r="Y1753">
        <f t="shared" si="54"/>
        <v>89</v>
      </c>
      <c r="Z1753">
        <f t="shared" si="55"/>
        <v>0</v>
      </c>
    </row>
    <row r="1754" spans="1:26" x14ac:dyDescent="0.2">
      <c r="A1754" t="s">
        <v>452</v>
      </c>
      <c r="B1754" t="s">
        <v>453</v>
      </c>
      <c r="C1754" t="s">
        <v>182</v>
      </c>
      <c r="D1754" t="s">
        <v>29</v>
      </c>
      <c r="E1754" t="s">
        <v>183</v>
      </c>
      <c r="F1754">
        <v>0</v>
      </c>
      <c r="G1754">
        <v>0</v>
      </c>
      <c r="H1754">
        <v>11774</v>
      </c>
      <c r="I1754">
        <v>0</v>
      </c>
      <c r="J1754">
        <v>0</v>
      </c>
      <c r="K1754">
        <v>450</v>
      </c>
      <c r="L1754">
        <v>0</v>
      </c>
      <c r="M1754">
        <v>0</v>
      </c>
      <c r="N1754">
        <v>354</v>
      </c>
      <c r="O1754">
        <v>0</v>
      </c>
      <c r="P1754">
        <v>0</v>
      </c>
      <c r="Q1754">
        <v>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f>NHS_AE_2024_2025[[#This Row],[A&amp;E attendances Type 1]]+
NHS_AE_2024_2025[[#This Row],[A&amp;E attendances Type 2]]+
NHS_AE_2024_2025[[#This Row],[A&amp;E attendances Other A&amp;E Department]]</f>
        <v>11774</v>
      </c>
      <c r="Y1754">
        <f t="shared" si="54"/>
        <v>354</v>
      </c>
      <c r="Z1754">
        <f t="shared" si="55"/>
        <v>0</v>
      </c>
    </row>
    <row r="1755" spans="1:26" x14ac:dyDescent="0.2">
      <c r="A1755" t="s">
        <v>452</v>
      </c>
      <c r="B1755" t="s">
        <v>453</v>
      </c>
      <c r="C1755" t="s">
        <v>362</v>
      </c>
      <c r="D1755" t="s">
        <v>26</v>
      </c>
      <c r="E1755" t="s">
        <v>363</v>
      </c>
      <c r="F1755">
        <v>9080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3633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703</v>
      </c>
      <c r="S1755">
        <v>4</v>
      </c>
      <c r="T1755">
        <v>2574</v>
      </c>
      <c r="U1755">
        <v>0</v>
      </c>
      <c r="V1755">
        <v>13</v>
      </c>
      <c r="W1755">
        <v>1692</v>
      </c>
      <c r="X1755">
        <f>NHS_AE_2024_2025[[#This Row],[A&amp;E attendances Type 1]]+
NHS_AE_2024_2025[[#This Row],[A&amp;E attendances Type 2]]+
NHS_AE_2024_2025[[#This Row],[A&amp;E attendances Other A&amp;E Department]]</f>
        <v>9080</v>
      </c>
      <c r="Y1755">
        <f t="shared" si="54"/>
        <v>3633</v>
      </c>
      <c r="Z1755">
        <f t="shared" si="55"/>
        <v>4279</v>
      </c>
    </row>
    <row r="1756" spans="1:26" x14ac:dyDescent="0.2">
      <c r="A1756" t="s">
        <v>452</v>
      </c>
      <c r="B1756" t="s">
        <v>453</v>
      </c>
      <c r="C1756" t="s">
        <v>122</v>
      </c>
      <c r="D1756" t="s">
        <v>50</v>
      </c>
      <c r="E1756" t="s">
        <v>123</v>
      </c>
      <c r="F1756">
        <v>8970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3245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548</v>
      </c>
      <c r="S1756">
        <v>1</v>
      </c>
      <c r="T1756">
        <v>3195</v>
      </c>
      <c r="U1756">
        <v>0</v>
      </c>
      <c r="V1756">
        <v>0</v>
      </c>
      <c r="W1756">
        <v>469</v>
      </c>
      <c r="X1756">
        <f>NHS_AE_2024_2025[[#This Row],[A&amp;E attendances Type 1]]+
NHS_AE_2024_2025[[#This Row],[A&amp;E attendances Type 2]]+
NHS_AE_2024_2025[[#This Row],[A&amp;E attendances Other A&amp;E Department]]</f>
        <v>8970</v>
      </c>
      <c r="Y1756">
        <f t="shared" si="54"/>
        <v>3245</v>
      </c>
      <c r="Z1756">
        <f t="shared" si="55"/>
        <v>3664</v>
      </c>
    </row>
    <row r="1757" spans="1:26" x14ac:dyDescent="0.2">
      <c r="A1757" t="s">
        <v>452</v>
      </c>
      <c r="B1757" t="s">
        <v>453</v>
      </c>
      <c r="C1757" t="s">
        <v>382</v>
      </c>
      <c r="D1757" t="s">
        <v>26</v>
      </c>
      <c r="E1757" t="s">
        <v>383</v>
      </c>
      <c r="F1757">
        <v>13492</v>
      </c>
      <c r="G1757">
        <v>0</v>
      </c>
      <c r="H1757">
        <v>10411</v>
      </c>
      <c r="I1757">
        <v>0</v>
      </c>
      <c r="J1757">
        <v>0</v>
      </c>
      <c r="K1757">
        <v>1</v>
      </c>
      <c r="L1757">
        <v>5057</v>
      </c>
      <c r="M1757">
        <v>0</v>
      </c>
      <c r="N1757">
        <v>282</v>
      </c>
      <c r="O1757">
        <v>0</v>
      </c>
      <c r="P1757">
        <v>0</v>
      </c>
      <c r="Q1757">
        <v>0</v>
      </c>
      <c r="R1757">
        <v>333</v>
      </c>
      <c r="S1757">
        <v>5</v>
      </c>
      <c r="T1757">
        <v>3273</v>
      </c>
      <c r="U1757">
        <v>0</v>
      </c>
      <c r="V1757">
        <v>0</v>
      </c>
      <c r="W1757">
        <v>2154</v>
      </c>
      <c r="X1757">
        <f>NHS_AE_2024_2025[[#This Row],[A&amp;E attendances Type 1]]+
NHS_AE_2024_2025[[#This Row],[A&amp;E attendances Type 2]]+
NHS_AE_2024_2025[[#This Row],[A&amp;E attendances Other A&amp;E Department]]</f>
        <v>23903</v>
      </c>
      <c r="Y1757">
        <f t="shared" si="54"/>
        <v>5339</v>
      </c>
      <c r="Z1757">
        <f t="shared" si="55"/>
        <v>5427</v>
      </c>
    </row>
    <row r="1758" spans="1:26" x14ac:dyDescent="0.2">
      <c r="A1758" t="s">
        <v>452</v>
      </c>
      <c r="B1758" t="s">
        <v>453</v>
      </c>
      <c r="C1758" t="s">
        <v>420</v>
      </c>
      <c r="D1758" t="s">
        <v>37</v>
      </c>
      <c r="E1758" t="s">
        <v>421</v>
      </c>
      <c r="F1758">
        <v>10464</v>
      </c>
      <c r="G1758">
        <v>808</v>
      </c>
      <c r="H1758">
        <v>3301</v>
      </c>
      <c r="I1758">
        <v>1342</v>
      </c>
      <c r="J1758">
        <v>0</v>
      </c>
      <c r="K1758">
        <v>760</v>
      </c>
      <c r="L1758">
        <v>5141</v>
      </c>
      <c r="M1758">
        <v>8</v>
      </c>
      <c r="N1758">
        <v>87</v>
      </c>
      <c r="O1758">
        <v>744</v>
      </c>
      <c r="P1758">
        <v>0</v>
      </c>
      <c r="Q1758">
        <v>18</v>
      </c>
      <c r="R1758">
        <v>1669</v>
      </c>
      <c r="S1758">
        <v>10</v>
      </c>
      <c r="T1758">
        <v>3715</v>
      </c>
      <c r="U1758">
        <v>0</v>
      </c>
      <c r="V1758">
        <v>0</v>
      </c>
      <c r="W1758">
        <v>2597</v>
      </c>
      <c r="X1758">
        <f>NHS_AE_2024_2025[[#This Row],[A&amp;E attendances Type 1]]+
NHS_AE_2024_2025[[#This Row],[A&amp;E attendances Type 2]]+
NHS_AE_2024_2025[[#This Row],[A&amp;E attendances Other A&amp;E Department]]</f>
        <v>14573</v>
      </c>
      <c r="Y1758">
        <f t="shared" si="54"/>
        <v>5236</v>
      </c>
      <c r="Z1758">
        <f t="shared" si="55"/>
        <v>6312</v>
      </c>
    </row>
    <row r="1759" spans="1:26" x14ac:dyDescent="0.2">
      <c r="A1759" t="s">
        <v>452</v>
      </c>
      <c r="B1759" t="s">
        <v>453</v>
      </c>
      <c r="C1759" t="s">
        <v>306</v>
      </c>
      <c r="D1759" t="s">
        <v>29</v>
      </c>
      <c r="E1759" t="s">
        <v>307</v>
      </c>
      <c r="F1759">
        <v>9193</v>
      </c>
      <c r="G1759">
        <v>0</v>
      </c>
      <c r="H1759">
        <v>3338</v>
      </c>
      <c r="I1759">
        <v>1029</v>
      </c>
      <c r="J1759">
        <v>0</v>
      </c>
      <c r="K1759">
        <v>0</v>
      </c>
      <c r="L1759">
        <v>2992</v>
      </c>
      <c r="M1759">
        <v>0</v>
      </c>
      <c r="N1759">
        <v>0</v>
      </c>
      <c r="O1759">
        <v>149</v>
      </c>
      <c r="P1759">
        <v>0</v>
      </c>
      <c r="Q1759">
        <v>0</v>
      </c>
      <c r="R1759">
        <v>496</v>
      </c>
      <c r="S1759">
        <v>775</v>
      </c>
      <c r="T1759">
        <v>2570</v>
      </c>
      <c r="U1759">
        <v>0</v>
      </c>
      <c r="V1759">
        <v>0</v>
      </c>
      <c r="W1759">
        <v>880</v>
      </c>
      <c r="X1759">
        <f>NHS_AE_2024_2025[[#This Row],[A&amp;E attendances Type 1]]+
NHS_AE_2024_2025[[#This Row],[A&amp;E attendances Type 2]]+
NHS_AE_2024_2025[[#This Row],[A&amp;E attendances Other A&amp;E Department]]</f>
        <v>12531</v>
      </c>
      <c r="Y1759">
        <f t="shared" si="54"/>
        <v>2992</v>
      </c>
      <c r="Z1759">
        <f t="shared" si="55"/>
        <v>3450</v>
      </c>
    </row>
    <row r="1760" spans="1:26" x14ac:dyDescent="0.2">
      <c r="A1760" t="s">
        <v>452</v>
      </c>
      <c r="B1760" t="s">
        <v>453</v>
      </c>
      <c r="C1760" t="s">
        <v>408</v>
      </c>
      <c r="D1760" t="s">
        <v>50</v>
      </c>
      <c r="E1760" t="s">
        <v>409</v>
      </c>
      <c r="F1760">
        <v>9065</v>
      </c>
      <c r="G1760">
        <v>0</v>
      </c>
      <c r="H1760">
        <v>6793</v>
      </c>
      <c r="I1760">
        <v>0</v>
      </c>
      <c r="J1760">
        <v>0</v>
      </c>
      <c r="K1760">
        <v>453</v>
      </c>
      <c r="L1760">
        <v>4729</v>
      </c>
      <c r="M1760">
        <v>0</v>
      </c>
      <c r="N1760">
        <v>100</v>
      </c>
      <c r="O1760">
        <v>0</v>
      </c>
      <c r="P1760">
        <v>0</v>
      </c>
      <c r="Q1760">
        <v>4</v>
      </c>
      <c r="R1760">
        <v>611</v>
      </c>
      <c r="S1760">
        <v>899</v>
      </c>
      <c r="T1760">
        <v>5108</v>
      </c>
      <c r="U1760">
        <v>0</v>
      </c>
      <c r="V1760">
        <v>0</v>
      </c>
      <c r="W1760">
        <v>404</v>
      </c>
      <c r="X1760">
        <f>NHS_AE_2024_2025[[#This Row],[A&amp;E attendances Type 1]]+
NHS_AE_2024_2025[[#This Row],[A&amp;E attendances Type 2]]+
NHS_AE_2024_2025[[#This Row],[A&amp;E attendances Other A&amp;E Department]]</f>
        <v>15858</v>
      </c>
      <c r="Y1760">
        <f t="shared" si="54"/>
        <v>4829</v>
      </c>
      <c r="Z1760">
        <f t="shared" si="55"/>
        <v>5512</v>
      </c>
    </row>
    <row r="1761" spans="1:26" x14ac:dyDescent="0.2">
      <c r="A1761" t="s">
        <v>452</v>
      </c>
      <c r="B1761" t="s">
        <v>453</v>
      </c>
      <c r="C1761" t="s">
        <v>372</v>
      </c>
      <c r="D1761" t="s">
        <v>29</v>
      </c>
      <c r="E1761" t="s">
        <v>373</v>
      </c>
      <c r="F1761">
        <v>9522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2934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256</v>
      </c>
      <c r="S1761">
        <v>369</v>
      </c>
      <c r="T1761">
        <v>1117</v>
      </c>
      <c r="U1761">
        <v>0</v>
      </c>
      <c r="V1761">
        <v>0</v>
      </c>
      <c r="W1761">
        <v>38</v>
      </c>
      <c r="X1761">
        <f>NHS_AE_2024_2025[[#This Row],[A&amp;E attendances Type 1]]+
NHS_AE_2024_2025[[#This Row],[A&amp;E attendances Type 2]]+
NHS_AE_2024_2025[[#This Row],[A&amp;E attendances Other A&amp;E Department]]</f>
        <v>9522</v>
      </c>
      <c r="Y1761">
        <f t="shared" si="54"/>
        <v>2934</v>
      </c>
      <c r="Z1761">
        <f t="shared" si="55"/>
        <v>1155</v>
      </c>
    </row>
    <row r="1762" spans="1:26" x14ac:dyDescent="0.2">
      <c r="A1762" t="s">
        <v>452</v>
      </c>
      <c r="B1762" t="s">
        <v>453</v>
      </c>
      <c r="C1762" t="s">
        <v>260</v>
      </c>
      <c r="D1762" t="s">
        <v>37</v>
      </c>
      <c r="E1762" t="s">
        <v>261</v>
      </c>
      <c r="F1762">
        <v>10511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3663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736</v>
      </c>
      <c r="S1762">
        <v>203</v>
      </c>
      <c r="T1762">
        <v>3201</v>
      </c>
      <c r="U1762">
        <v>0</v>
      </c>
      <c r="V1762">
        <v>0</v>
      </c>
      <c r="W1762">
        <v>588</v>
      </c>
      <c r="X1762">
        <f>NHS_AE_2024_2025[[#This Row],[A&amp;E attendances Type 1]]+
NHS_AE_2024_2025[[#This Row],[A&amp;E attendances Type 2]]+
NHS_AE_2024_2025[[#This Row],[A&amp;E attendances Other A&amp;E Department]]</f>
        <v>10511</v>
      </c>
      <c r="Y1762">
        <f t="shared" si="54"/>
        <v>3663</v>
      </c>
      <c r="Z1762">
        <f t="shared" si="55"/>
        <v>3789</v>
      </c>
    </row>
    <row r="1763" spans="1:26" x14ac:dyDescent="0.2">
      <c r="A1763" t="s">
        <v>452</v>
      </c>
      <c r="B1763" t="s">
        <v>453</v>
      </c>
      <c r="C1763" t="s">
        <v>338</v>
      </c>
      <c r="D1763" t="s">
        <v>50</v>
      </c>
      <c r="E1763" t="s">
        <v>339</v>
      </c>
      <c r="F1763">
        <v>8252</v>
      </c>
      <c r="G1763">
        <v>0</v>
      </c>
      <c r="H1763">
        <v>9365</v>
      </c>
      <c r="I1763">
        <v>0</v>
      </c>
      <c r="J1763">
        <v>0</v>
      </c>
      <c r="K1763">
        <v>1636</v>
      </c>
      <c r="L1763">
        <v>4250</v>
      </c>
      <c r="M1763">
        <v>0</v>
      </c>
      <c r="N1763">
        <v>739</v>
      </c>
      <c r="O1763">
        <v>0</v>
      </c>
      <c r="P1763">
        <v>0</v>
      </c>
      <c r="Q1763">
        <v>116</v>
      </c>
      <c r="R1763">
        <v>406</v>
      </c>
      <c r="S1763">
        <v>25</v>
      </c>
      <c r="T1763">
        <v>2757</v>
      </c>
      <c r="U1763">
        <v>0</v>
      </c>
      <c r="V1763">
        <v>114</v>
      </c>
      <c r="W1763">
        <v>2313</v>
      </c>
      <c r="X1763">
        <f>NHS_AE_2024_2025[[#This Row],[A&amp;E attendances Type 1]]+
NHS_AE_2024_2025[[#This Row],[A&amp;E attendances Type 2]]+
NHS_AE_2024_2025[[#This Row],[A&amp;E attendances Other A&amp;E Department]]</f>
        <v>17617</v>
      </c>
      <c r="Y1763">
        <f t="shared" si="54"/>
        <v>4989</v>
      </c>
      <c r="Z1763">
        <f t="shared" si="55"/>
        <v>5184</v>
      </c>
    </row>
    <row r="1764" spans="1:26" x14ac:dyDescent="0.2">
      <c r="A1764" t="s">
        <v>452</v>
      </c>
      <c r="B1764" t="s">
        <v>453</v>
      </c>
      <c r="C1764" t="s">
        <v>340</v>
      </c>
      <c r="D1764" t="s">
        <v>29</v>
      </c>
      <c r="E1764" t="s">
        <v>341</v>
      </c>
      <c r="F1764">
        <v>11500</v>
      </c>
      <c r="G1764">
        <v>305</v>
      </c>
      <c r="H1764">
        <v>1698</v>
      </c>
      <c r="I1764">
        <v>393</v>
      </c>
      <c r="J1764">
        <v>0</v>
      </c>
      <c r="K1764">
        <v>29</v>
      </c>
      <c r="L1764">
        <v>2967</v>
      </c>
      <c r="M1764">
        <v>1</v>
      </c>
      <c r="N1764">
        <v>123</v>
      </c>
      <c r="O1764">
        <v>40</v>
      </c>
      <c r="P1764">
        <v>0</v>
      </c>
      <c r="Q1764">
        <v>0</v>
      </c>
      <c r="R1764">
        <v>245</v>
      </c>
      <c r="S1764">
        <v>661</v>
      </c>
      <c r="T1764">
        <v>1845</v>
      </c>
      <c r="U1764">
        <v>4</v>
      </c>
      <c r="V1764">
        <v>0</v>
      </c>
      <c r="W1764">
        <v>126</v>
      </c>
      <c r="X1764">
        <f>NHS_AE_2024_2025[[#This Row],[A&amp;E attendances Type 1]]+
NHS_AE_2024_2025[[#This Row],[A&amp;E attendances Type 2]]+
NHS_AE_2024_2025[[#This Row],[A&amp;E attendances Other A&amp;E Department]]</f>
        <v>13503</v>
      </c>
      <c r="Y1764">
        <f t="shared" si="54"/>
        <v>3091</v>
      </c>
      <c r="Z1764">
        <f t="shared" si="55"/>
        <v>1975</v>
      </c>
    </row>
    <row r="1765" spans="1:26" x14ac:dyDescent="0.2">
      <c r="A1765" t="s">
        <v>452</v>
      </c>
      <c r="B1765" t="s">
        <v>453</v>
      </c>
      <c r="C1765" t="s">
        <v>266</v>
      </c>
      <c r="D1765" t="s">
        <v>32</v>
      </c>
      <c r="E1765" t="s">
        <v>267</v>
      </c>
      <c r="F1765">
        <v>23188</v>
      </c>
      <c r="G1765">
        <v>2043</v>
      </c>
      <c r="H1765">
        <v>0</v>
      </c>
      <c r="I1765">
        <v>0</v>
      </c>
      <c r="J1765">
        <v>0</v>
      </c>
      <c r="K1765">
        <v>0</v>
      </c>
      <c r="L1765">
        <v>9700</v>
      </c>
      <c r="M1765">
        <v>67</v>
      </c>
      <c r="N1765">
        <v>0</v>
      </c>
      <c r="O1765">
        <v>0</v>
      </c>
      <c r="P1765">
        <v>0</v>
      </c>
      <c r="Q1765">
        <v>0</v>
      </c>
      <c r="R1765">
        <v>1545</v>
      </c>
      <c r="S1765">
        <v>520</v>
      </c>
      <c r="T1765">
        <v>6356</v>
      </c>
      <c r="U1765">
        <v>4</v>
      </c>
      <c r="V1765">
        <v>0</v>
      </c>
      <c r="W1765">
        <v>3505</v>
      </c>
      <c r="X1765">
        <f>NHS_AE_2024_2025[[#This Row],[A&amp;E attendances Type 1]]+
NHS_AE_2024_2025[[#This Row],[A&amp;E attendances Type 2]]+
NHS_AE_2024_2025[[#This Row],[A&amp;E attendances Other A&amp;E Department]]</f>
        <v>25231</v>
      </c>
      <c r="Y1765">
        <f t="shared" si="54"/>
        <v>9767</v>
      </c>
      <c r="Z1765">
        <f t="shared" si="55"/>
        <v>9865</v>
      </c>
    </row>
    <row r="1766" spans="1:26" x14ac:dyDescent="0.2">
      <c r="A1766" t="s">
        <v>452</v>
      </c>
      <c r="B1766" t="s">
        <v>453</v>
      </c>
      <c r="C1766" t="s">
        <v>346</v>
      </c>
      <c r="D1766" t="s">
        <v>70</v>
      </c>
      <c r="E1766" t="s">
        <v>347</v>
      </c>
      <c r="F1766">
        <v>9531</v>
      </c>
      <c r="G1766">
        <v>0</v>
      </c>
      <c r="H1766">
        <v>7420</v>
      </c>
      <c r="I1766">
        <v>7</v>
      </c>
      <c r="J1766">
        <v>0</v>
      </c>
      <c r="K1766">
        <v>271</v>
      </c>
      <c r="L1766">
        <v>5255</v>
      </c>
      <c r="M1766">
        <v>0</v>
      </c>
      <c r="N1766">
        <v>183</v>
      </c>
      <c r="O1766">
        <v>7</v>
      </c>
      <c r="P1766">
        <v>0</v>
      </c>
      <c r="Q1766">
        <v>5</v>
      </c>
      <c r="R1766">
        <v>255</v>
      </c>
      <c r="S1766">
        <v>69</v>
      </c>
      <c r="T1766">
        <v>3333</v>
      </c>
      <c r="U1766">
        <v>0</v>
      </c>
      <c r="V1766">
        <v>83</v>
      </c>
      <c r="W1766">
        <v>260</v>
      </c>
      <c r="X1766">
        <f>NHS_AE_2024_2025[[#This Row],[A&amp;E attendances Type 1]]+
NHS_AE_2024_2025[[#This Row],[A&amp;E attendances Type 2]]+
NHS_AE_2024_2025[[#This Row],[A&amp;E attendances Other A&amp;E Department]]</f>
        <v>16951</v>
      </c>
      <c r="Y1766">
        <f t="shared" si="54"/>
        <v>5438</v>
      </c>
      <c r="Z1766">
        <f t="shared" si="55"/>
        <v>3676</v>
      </c>
    </row>
    <row r="1767" spans="1:26" x14ac:dyDescent="0.2">
      <c r="A1767" t="s">
        <v>452</v>
      </c>
      <c r="B1767" t="s">
        <v>453</v>
      </c>
      <c r="C1767" t="s">
        <v>348</v>
      </c>
      <c r="D1767" t="s">
        <v>55</v>
      </c>
      <c r="E1767" t="s">
        <v>349</v>
      </c>
      <c r="F1767">
        <v>8148</v>
      </c>
      <c r="G1767">
        <v>0</v>
      </c>
      <c r="H1767">
        <v>1029</v>
      </c>
      <c r="I1767">
        <v>553</v>
      </c>
      <c r="J1767">
        <v>0</v>
      </c>
      <c r="K1767">
        <v>190</v>
      </c>
      <c r="L1767">
        <v>3538</v>
      </c>
      <c r="M1767">
        <v>0</v>
      </c>
      <c r="N1767">
        <v>21</v>
      </c>
      <c r="O1767">
        <v>218</v>
      </c>
      <c r="P1767">
        <v>0</v>
      </c>
      <c r="Q1767">
        <v>3</v>
      </c>
      <c r="R1767">
        <v>862</v>
      </c>
      <c r="S1767">
        <v>325</v>
      </c>
      <c r="T1767">
        <v>2504</v>
      </c>
      <c r="U1767">
        <v>0</v>
      </c>
      <c r="V1767">
        <v>113</v>
      </c>
      <c r="W1767">
        <v>832</v>
      </c>
      <c r="X1767">
        <f>NHS_AE_2024_2025[[#This Row],[A&amp;E attendances Type 1]]+
NHS_AE_2024_2025[[#This Row],[A&amp;E attendances Type 2]]+
NHS_AE_2024_2025[[#This Row],[A&amp;E attendances Other A&amp;E Department]]</f>
        <v>9177</v>
      </c>
      <c r="Y1767">
        <f t="shared" si="54"/>
        <v>3559</v>
      </c>
      <c r="Z1767">
        <f t="shared" si="55"/>
        <v>3449</v>
      </c>
    </row>
    <row r="1768" spans="1:26" x14ac:dyDescent="0.2">
      <c r="A1768" t="s">
        <v>452</v>
      </c>
      <c r="B1768" t="s">
        <v>453</v>
      </c>
      <c r="C1768" t="s">
        <v>378</v>
      </c>
      <c r="D1768" t="s">
        <v>37</v>
      </c>
      <c r="E1768" t="s">
        <v>379</v>
      </c>
      <c r="F1768">
        <v>0</v>
      </c>
      <c r="G1768">
        <v>0</v>
      </c>
      <c r="H1768">
        <v>1587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12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47</v>
      </c>
      <c r="W1768">
        <v>0</v>
      </c>
      <c r="X1768">
        <f>NHS_AE_2024_2025[[#This Row],[A&amp;E attendances Type 1]]+
NHS_AE_2024_2025[[#This Row],[A&amp;E attendances Type 2]]+
NHS_AE_2024_2025[[#This Row],[A&amp;E attendances Other A&amp;E Department]]</f>
        <v>1587</v>
      </c>
      <c r="Y1768">
        <f t="shared" si="54"/>
        <v>12</v>
      </c>
      <c r="Z1768">
        <f t="shared" si="55"/>
        <v>47</v>
      </c>
    </row>
    <row r="1769" spans="1:26" x14ac:dyDescent="0.2">
      <c r="A1769" t="s">
        <v>452</v>
      </c>
      <c r="B1769" t="s">
        <v>453</v>
      </c>
      <c r="C1769" t="s">
        <v>358</v>
      </c>
      <c r="D1769" t="s">
        <v>29</v>
      </c>
      <c r="E1769" t="s">
        <v>359</v>
      </c>
      <c r="F1769">
        <v>12378</v>
      </c>
      <c r="G1769">
        <v>3980</v>
      </c>
      <c r="H1769">
        <v>7689</v>
      </c>
      <c r="I1769">
        <v>0</v>
      </c>
      <c r="J1769">
        <v>0</v>
      </c>
      <c r="K1769">
        <v>384</v>
      </c>
      <c r="L1769">
        <v>5203</v>
      </c>
      <c r="M1769">
        <v>39</v>
      </c>
      <c r="N1769">
        <v>609</v>
      </c>
      <c r="O1769">
        <v>0</v>
      </c>
      <c r="P1769">
        <v>0</v>
      </c>
      <c r="Q1769">
        <v>0</v>
      </c>
      <c r="R1769">
        <v>652</v>
      </c>
      <c r="S1769">
        <v>108</v>
      </c>
      <c r="T1769">
        <v>4236</v>
      </c>
      <c r="U1769">
        <v>0</v>
      </c>
      <c r="V1769">
        <v>0</v>
      </c>
      <c r="W1769">
        <v>1229</v>
      </c>
      <c r="X1769">
        <f>NHS_AE_2024_2025[[#This Row],[A&amp;E attendances Type 1]]+
NHS_AE_2024_2025[[#This Row],[A&amp;E attendances Type 2]]+
NHS_AE_2024_2025[[#This Row],[A&amp;E attendances Other A&amp;E Department]]</f>
        <v>24047</v>
      </c>
      <c r="Y1769">
        <f t="shared" si="54"/>
        <v>5851</v>
      </c>
      <c r="Z1769">
        <f t="shared" si="55"/>
        <v>5465</v>
      </c>
    </row>
    <row r="1770" spans="1:26" x14ac:dyDescent="0.2">
      <c r="A1770" t="s">
        <v>452</v>
      </c>
      <c r="B1770" t="s">
        <v>453</v>
      </c>
      <c r="C1770" t="s">
        <v>276</v>
      </c>
      <c r="D1770" t="s">
        <v>37</v>
      </c>
      <c r="E1770" t="s">
        <v>277</v>
      </c>
      <c r="F1770">
        <v>22985</v>
      </c>
      <c r="G1770">
        <v>1519</v>
      </c>
      <c r="H1770">
        <v>5669</v>
      </c>
      <c r="I1770">
        <v>1438</v>
      </c>
      <c r="J1770">
        <v>0</v>
      </c>
      <c r="K1770">
        <v>1305</v>
      </c>
      <c r="L1770">
        <v>10431</v>
      </c>
      <c r="M1770">
        <v>78</v>
      </c>
      <c r="N1770">
        <v>769</v>
      </c>
      <c r="O1770">
        <v>494</v>
      </c>
      <c r="P1770">
        <v>0</v>
      </c>
      <c r="Q1770">
        <v>47</v>
      </c>
      <c r="R1770">
        <v>1533</v>
      </c>
      <c r="S1770">
        <v>1316</v>
      </c>
      <c r="T1770">
        <v>8179</v>
      </c>
      <c r="U1770">
        <v>34</v>
      </c>
      <c r="V1770">
        <v>48</v>
      </c>
      <c r="W1770">
        <v>1554</v>
      </c>
      <c r="X1770">
        <f>NHS_AE_2024_2025[[#This Row],[A&amp;E attendances Type 1]]+
NHS_AE_2024_2025[[#This Row],[A&amp;E attendances Type 2]]+
NHS_AE_2024_2025[[#This Row],[A&amp;E attendances Other A&amp;E Department]]</f>
        <v>30173</v>
      </c>
      <c r="Y1770">
        <f t="shared" si="54"/>
        <v>11278</v>
      </c>
      <c r="Z1770">
        <f t="shared" si="55"/>
        <v>9815</v>
      </c>
    </row>
    <row r="1771" spans="1:26" x14ac:dyDescent="0.2">
      <c r="A1771" t="s">
        <v>452</v>
      </c>
      <c r="B1771" t="s">
        <v>453</v>
      </c>
      <c r="C1771" t="s">
        <v>396</v>
      </c>
      <c r="D1771" t="s">
        <v>29</v>
      </c>
      <c r="E1771" t="s">
        <v>397</v>
      </c>
      <c r="F1771">
        <v>6043</v>
      </c>
      <c r="G1771">
        <v>0</v>
      </c>
      <c r="H1771">
        <v>7063</v>
      </c>
      <c r="I1771">
        <v>0</v>
      </c>
      <c r="J1771">
        <v>0</v>
      </c>
      <c r="K1771">
        <v>0</v>
      </c>
      <c r="L1771">
        <v>3077</v>
      </c>
      <c r="M1771">
        <v>0</v>
      </c>
      <c r="N1771">
        <v>89</v>
      </c>
      <c r="O1771">
        <v>0</v>
      </c>
      <c r="P1771">
        <v>0</v>
      </c>
      <c r="Q1771">
        <v>0</v>
      </c>
      <c r="R1771">
        <v>366</v>
      </c>
      <c r="S1771">
        <v>13</v>
      </c>
      <c r="T1771">
        <v>2836</v>
      </c>
      <c r="U1771">
        <v>0</v>
      </c>
      <c r="V1771">
        <v>0</v>
      </c>
      <c r="W1771">
        <v>194</v>
      </c>
      <c r="X1771">
        <f>NHS_AE_2024_2025[[#This Row],[A&amp;E attendances Type 1]]+
NHS_AE_2024_2025[[#This Row],[A&amp;E attendances Type 2]]+
NHS_AE_2024_2025[[#This Row],[A&amp;E attendances Other A&amp;E Department]]</f>
        <v>13106</v>
      </c>
      <c r="Y1771">
        <f t="shared" si="54"/>
        <v>3166</v>
      </c>
      <c r="Z1771">
        <f t="shared" si="55"/>
        <v>3030</v>
      </c>
    </row>
    <row r="1772" spans="1:26" x14ac:dyDescent="0.2">
      <c r="A1772" t="s">
        <v>452</v>
      </c>
      <c r="B1772" t="s">
        <v>453</v>
      </c>
      <c r="C1772" t="s">
        <v>244</v>
      </c>
      <c r="D1772" t="s">
        <v>70</v>
      </c>
      <c r="E1772" t="s">
        <v>245</v>
      </c>
      <c r="F1772">
        <v>13386</v>
      </c>
      <c r="G1772">
        <v>0</v>
      </c>
      <c r="H1772">
        <v>4879</v>
      </c>
      <c r="I1772">
        <v>859</v>
      </c>
      <c r="J1772">
        <v>0</v>
      </c>
      <c r="K1772">
        <v>773</v>
      </c>
      <c r="L1772">
        <v>5999</v>
      </c>
      <c r="M1772">
        <v>0</v>
      </c>
      <c r="N1772">
        <v>577</v>
      </c>
      <c r="O1772">
        <v>250</v>
      </c>
      <c r="P1772">
        <v>0</v>
      </c>
      <c r="Q1772">
        <v>70</v>
      </c>
      <c r="R1772">
        <v>479</v>
      </c>
      <c r="S1772">
        <v>778</v>
      </c>
      <c r="T1772">
        <v>3568</v>
      </c>
      <c r="U1772">
        <v>0</v>
      </c>
      <c r="V1772">
        <v>123</v>
      </c>
      <c r="W1772">
        <v>1620</v>
      </c>
      <c r="X1772">
        <f>NHS_AE_2024_2025[[#This Row],[A&amp;E attendances Type 1]]+
NHS_AE_2024_2025[[#This Row],[A&amp;E attendances Type 2]]+
NHS_AE_2024_2025[[#This Row],[A&amp;E attendances Other A&amp;E Department]]</f>
        <v>18265</v>
      </c>
      <c r="Y1772">
        <f t="shared" si="54"/>
        <v>6576</v>
      </c>
      <c r="Z1772">
        <f t="shared" si="55"/>
        <v>5311</v>
      </c>
    </row>
    <row r="1773" spans="1:26" x14ac:dyDescent="0.2">
      <c r="A1773" t="s">
        <v>452</v>
      </c>
      <c r="B1773" t="s">
        <v>453</v>
      </c>
      <c r="C1773" t="s">
        <v>304</v>
      </c>
      <c r="D1773" t="s">
        <v>29</v>
      </c>
      <c r="E1773" t="s">
        <v>305</v>
      </c>
      <c r="F1773">
        <v>13703</v>
      </c>
      <c r="G1773">
        <v>0</v>
      </c>
      <c r="H1773">
        <v>5400</v>
      </c>
      <c r="I1773">
        <v>7</v>
      </c>
      <c r="J1773">
        <v>0</v>
      </c>
      <c r="K1773">
        <v>0</v>
      </c>
      <c r="L1773">
        <v>5027</v>
      </c>
      <c r="M1773">
        <v>0</v>
      </c>
      <c r="N1773">
        <v>0</v>
      </c>
      <c r="O1773">
        <v>4</v>
      </c>
      <c r="P1773">
        <v>0</v>
      </c>
      <c r="Q1773">
        <v>0</v>
      </c>
      <c r="R1773">
        <v>426</v>
      </c>
      <c r="S1773">
        <v>607</v>
      </c>
      <c r="T1773">
        <v>1430</v>
      </c>
      <c r="U1773">
        <v>0</v>
      </c>
      <c r="V1773">
        <v>0</v>
      </c>
      <c r="W1773">
        <v>105</v>
      </c>
      <c r="X1773">
        <f>NHS_AE_2024_2025[[#This Row],[A&amp;E attendances Type 1]]+
NHS_AE_2024_2025[[#This Row],[A&amp;E attendances Type 2]]+
NHS_AE_2024_2025[[#This Row],[A&amp;E attendances Other A&amp;E Department]]</f>
        <v>19103</v>
      </c>
      <c r="Y1773">
        <f t="shared" si="54"/>
        <v>5027</v>
      </c>
      <c r="Z1773">
        <f t="shared" si="55"/>
        <v>1535</v>
      </c>
    </row>
    <row r="1774" spans="1:26" x14ac:dyDescent="0.2">
      <c r="A1774" t="s">
        <v>452</v>
      </c>
      <c r="B1774" t="s">
        <v>453</v>
      </c>
      <c r="C1774" t="s">
        <v>230</v>
      </c>
      <c r="D1774" t="s">
        <v>29</v>
      </c>
      <c r="E1774" t="s">
        <v>231</v>
      </c>
      <c r="F1774">
        <v>18941</v>
      </c>
      <c r="G1774">
        <v>0</v>
      </c>
      <c r="H1774">
        <v>8925</v>
      </c>
      <c r="I1774">
        <v>0</v>
      </c>
      <c r="J1774">
        <v>0</v>
      </c>
      <c r="K1774">
        <v>0</v>
      </c>
      <c r="L1774">
        <v>8118</v>
      </c>
      <c r="M1774">
        <v>0</v>
      </c>
      <c r="N1774">
        <v>310</v>
      </c>
      <c r="O1774">
        <v>0</v>
      </c>
      <c r="P1774">
        <v>0</v>
      </c>
      <c r="Q1774">
        <v>0</v>
      </c>
      <c r="R1774">
        <v>1125</v>
      </c>
      <c r="S1774">
        <v>929</v>
      </c>
      <c r="T1774">
        <v>4017</v>
      </c>
      <c r="U1774">
        <v>0</v>
      </c>
      <c r="V1774">
        <v>0</v>
      </c>
      <c r="W1774">
        <v>551</v>
      </c>
      <c r="X1774">
        <f>NHS_AE_2024_2025[[#This Row],[A&amp;E attendances Type 1]]+
NHS_AE_2024_2025[[#This Row],[A&amp;E attendances Type 2]]+
NHS_AE_2024_2025[[#This Row],[A&amp;E attendances Other A&amp;E Department]]</f>
        <v>27866</v>
      </c>
      <c r="Y1774">
        <f t="shared" si="54"/>
        <v>8428</v>
      </c>
      <c r="Z1774">
        <f t="shared" si="55"/>
        <v>4568</v>
      </c>
    </row>
    <row r="1775" spans="1:26" x14ac:dyDescent="0.2">
      <c r="A1775" t="s">
        <v>452</v>
      </c>
      <c r="B1775" t="s">
        <v>453</v>
      </c>
      <c r="C1775" t="s">
        <v>314</v>
      </c>
      <c r="D1775" t="s">
        <v>32</v>
      </c>
      <c r="E1775" t="s">
        <v>315</v>
      </c>
      <c r="F1775">
        <v>6977</v>
      </c>
      <c r="G1775">
        <v>0</v>
      </c>
      <c r="H1775">
        <v>1936</v>
      </c>
      <c r="I1775">
        <v>0</v>
      </c>
      <c r="J1775">
        <v>0</v>
      </c>
      <c r="K1775">
        <v>0</v>
      </c>
      <c r="L1775">
        <v>2175</v>
      </c>
      <c r="M1775">
        <v>0</v>
      </c>
      <c r="N1775">
        <v>25</v>
      </c>
      <c r="O1775">
        <v>0</v>
      </c>
      <c r="P1775">
        <v>0</v>
      </c>
      <c r="Q1775">
        <v>0</v>
      </c>
      <c r="R1775">
        <v>684</v>
      </c>
      <c r="S1775">
        <v>116</v>
      </c>
      <c r="T1775">
        <v>1082</v>
      </c>
      <c r="U1775">
        <v>0</v>
      </c>
      <c r="V1775">
        <v>0</v>
      </c>
      <c r="W1775">
        <v>40</v>
      </c>
      <c r="X1775">
        <f>NHS_AE_2024_2025[[#This Row],[A&amp;E attendances Type 1]]+
NHS_AE_2024_2025[[#This Row],[A&amp;E attendances Type 2]]+
NHS_AE_2024_2025[[#This Row],[A&amp;E attendances Other A&amp;E Department]]</f>
        <v>8913</v>
      </c>
      <c r="Y1775">
        <f t="shared" si="54"/>
        <v>2200</v>
      </c>
      <c r="Z1775">
        <f t="shared" si="55"/>
        <v>1122</v>
      </c>
    </row>
    <row r="1776" spans="1:26" x14ac:dyDescent="0.2">
      <c r="A1776" t="s">
        <v>452</v>
      </c>
      <c r="B1776" t="s">
        <v>453</v>
      </c>
      <c r="C1776" t="s">
        <v>290</v>
      </c>
      <c r="D1776" t="s">
        <v>29</v>
      </c>
      <c r="E1776" t="s">
        <v>291</v>
      </c>
      <c r="F1776">
        <v>8269</v>
      </c>
      <c r="G1776">
        <v>563</v>
      </c>
      <c r="H1776">
        <v>8180</v>
      </c>
      <c r="I1776">
        <v>86</v>
      </c>
      <c r="J1776">
        <v>1</v>
      </c>
      <c r="K1776">
        <v>111</v>
      </c>
      <c r="L1776">
        <v>4924</v>
      </c>
      <c r="M1776">
        <v>3</v>
      </c>
      <c r="N1776">
        <v>1239</v>
      </c>
      <c r="O1776">
        <v>42</v>
      </c>
      <c r="P1776">
        <v>0</v>
      </c>
      <c r="Q1776">
        <v>10</v>
      </c>
      <c r="R1776">
        <v>235</v>
      </c>
      <c r="S1776">
        <v>884</v>
      </c>
      <c r="T1776">
        <v>1590</v>
      </c>
      <c r="U1776">
        <v>0</v>
      </c>
      <c r="V1776">
        <v>0</v>
      </c>
      <c r="W1776">
        <v>147</v>
      </c>
      <c r="X1776">
        <f>NHS_AE_2024_2025[[#This Row],[A&amp;E attendances Type 1]]+
NHS_AE_2024_2025[[#This Row],[A&amp;E attendances Type 2]]+
NHS_AE_2024_2025[[#This Row],[A&amp;E attendances Other A&amp;E Department]]</f>
        <v>17012</v>
      </c>
      <c r="Y1776">
        <f t="shared" si="54"/>
        <v>6166</v>
      </c>
      <c r="Z1776">
        <f t="shared" si="55"/>
        <v>1737</v>
      </c>
    </row>
    <row r="1777" spans="1:26" x14ac:dyDescent="0.2">
      <c r="A1777" t="s">
        <v>452</v>
      </c>
      <c r="B1777" t="s">
        <v>453</v>
      </c>
      <c r="C1777" t="s">
        <v>380</v>
      </c>
      <c r="D1777" t="s">
        <v>55</v>
      </c>
      <c r="E1777" t="s">
        <v>381</v>
      </c>
      <c r="F1777">
        <v>18018</v>
      </c>
      <c r="G1777">
        <v>0</v>
      </c>
      <c r="H1777">
        <v>7916</v>
      </c>
      <c r="I1777">
        <v>431</v>
      </c>
      <c r="J1777">
        <v>0</v>
      </c>
      <c r="K1777">
        <v>0</v>
      </c>
      <c r="L1777">
        <v>7995</v>
      </c>
      <c r="M1777">
        <v>0</v>
      </c>
      <c r="N1777">
        <v>316</v>
      </c>
      <c r="O1777">
        <v>66</v>
      </c>
      <c r="P1777">
        <v>0</v>
      </c>
      <c r="Q1777">
        <v>0</v>
      </c>
      <c r="R1777">
        <v>581</v>
      </c>
      <c r="S1777">
        <v>382</v>
      </c>
      <c r="T1777">
        <v>7463</v>
      </c>
      <c r="U1777">
        <v>0</v>
      </c>
      <c r="V1777">
        <v>0</v>
      </c>
      <c r="W1777">
        <v>663</v>
      </c>
      <c r="X1777">
        <f>NHS_AE_2024_2025[[#This Row],[A&amp;E attendances Type 1]]+
NHS_AE_2024_2025[[#This Row],[A&amp;E attendances Type 2]]+
NHS_AE_2024_2025[[#This Row],[A&amp;E attendances Other A&amp;E Department]]</f>
        <v>25934</v>
      </c>
      <c r="Y1777">
        <f t="shared" si="54"/>
        <v>8311</v>
      </c>
      <c r="Z1777">
        <f t="shared" si="55"/>
        <v>8126</v>
      </c>
    </row>
    <row r="1778" spans="1:26" x14ac:dyDescent="0.2">
      <c r="A1778" t="s">
        <v>452</v>
      </c>
      <c r="B1778" t="s">
        <v>453</v>
      </c>
      <c r="C1778" t="s">
        <v>418</v>
      </c>
      <c r="D1778" t="s">
        <v>55</v>
      </c>
      <c r="E1778" t="s">
        <v>419</v>
      </c>
      <c r="F1778">
        <v>26332</v>
      </c>
      <c r="G1778">
        <v>0</v>
      </c>
      <c r="H1778">
        <v>9477</v>
      </c>
      <c r="I1778">
        <v>0</v>
      </c>
      <c r="J1778">
        <v>0</v>
      </c>
      <c r="K1778">
        <v>0</v>
      </c>
      <c r="L1778">
        <v>11839</v>
      </c>
      <c r="M1778">
        <v>0</v>
      </c>
      <c r="N1778">
        <v>295</v>
      </c>
      <c r="O1778">
        <v>0</v>
      </c>
      <c r="P1778">
        <v>0</v>
      </c>
      <c r="Q1778">
        <v>0</v>
      </c>
      <c r="R1778">
        <v>1185</v>
      </c>
      <c r="S1778">
        <v>901</v>
      </c>
      <c r="T1778">
        <v>7248</v>
      </c>
      <c r="U1778">
        <v>0</v>
      </c>
      <c r="V1778">
        <v>415</v>
      </c>
      <c r="W1778">
        <v>1724</v>
      </c>
      <c r="X1778">
        <f>NHS_AE_2024_2025[[#This Row],[A&amp;E attendances Type 1]]+
NHS_AE_2024_2025[[#This Row],[A&amp;E attendances Type 2]]+
NHS_AE_2024_2025[[#This Row],[A&amp;E attendances Other A&amp;E Department]]</f>
        <v>35809</v>
      </c>
      <c r="Y1778">
        <f t="shared" si="54"/>
        <v>12134</v>
      </c>
      <c r="Z1778">
        <f t="shared" si="55"/>
        <v>9387</v>
      </c>
    </row>
    <row r="1779" spans="1:26" x14ac:dyDescent="0.2">
      <c r="A1779" t="s">
        <v>452</v>
      </c>
      <c r="B1779" t="s">
        <v>453</v>
      </c>
      <c r="C1779" t="s">
        <v>390</v>
      </c>
      <c r="D1779" t="s">
        <v>26</v>
      </c>
      <c r="E1779" t="s">
        <v>391</v>
      </c>
      <c r="F1779">
        <v>5587</v>
      </c>
      <c r="G1779">
        <v>0</v>
      </c>
      <c r="H1779">
        <v>6010</v>
      </c>
      <c r="I1779">
        <v>0</v>
      </c>
      <c r="J1779">
        <v>0</v>
      </c>
      <c r="K1779">
        <v>243</v>
      </c>
      <c r="L1779">
        <v>2430</v>
      </c>
      <c r="M1779">
        <v>0</v>
      </c>
      <c r="N1779">
        <v>490</v>
      </c>
      <c r="O1779">
        <v>0</v>
      </c>
      <c r="P1779">
        <v>0</v>
      </c>
      <c r="Q1779">
        <v>7</v>
      </c>
      <c r="R1779">
        <v>539</v>
      </c>
      <c r="S1779">
        <v>112</v>
      </c>
      <c r="T1779">
        <v>2486</v>
      </c>
      <c r="U1779">
        <v>0</v>
      </c>
      <c r="V1779">
        <v>0</v>
      </c>
      <c r="W1779">
        <v>1458</v>
      </c>
      <c r="X1779">
        <f>NHS_AE_2024_2025[[#This Row],[A&amp;E attendances Type 1]]+
NHS_AE_2024_2025[[#This Row],[A&amp;E attendances Type 2]]+
NHS_AE_2024_2025[[#This Row],[A&amp;E attendances Other A&amp;E Department]]</f>
        <v>11597</v>
      </c>
      <c r="Y1779">
        <f t="shared" si="54"/>
        <v>2920</v>
      </c>
      <c r="Z1779">
        <f t="shared" si="55"/>
        <v>3944</v>
      </c>
    </row>
    <row r="1780" spans="1:26" x14ac:dyDescent="0.2">
      <c r="A1780" t="s">
        <v>452</v>
      </c>
      <c r="B1780" t="s">
        <v>453</v>
      </c>
      <c r="C1780" t="s">
        <v>424</v>
      </c>
      <c r="D1780" t="s">
        <v>37</v>
      </c>
      <c r="E1780" t="s">
        <v>425</v>
      </c>
      <c r="F1780">
        <v>12430</v>
      </c>
      <c r="G1780">
        <v>1868</v>
      </c>
      <c r="H1780">
        <v>2321</v>
      </c>
      <c r="I1780">
        <v>1480</v>
      </c>
      <c r="J1780">
        <v>0</v>
      </c>
      <c r="K1780">
        <v>108</v>
      </c>
      <c r="L1780">
        <v>4159</v>
      </c>
      <c r="M1780">
        <v>0</v>
      </c>
      <c r="N1780">
        <v>2</v>
      </c>
      <c r="O1780">
        <v>412</v>
      </c>
      <c r="P1780">
        <v>0</v>
      </c>
      <c r="Q1780">
        <v>0</v>
      </c>
      <c r="R1780">
        <v>687</v>
      </c>
      <c r="S1780">
        <v>1</v>
      </c>
      <c r="T1780">
        <v>4356</v>
      </c>
      <c r="U1780">
        <v>132</v>
      </c>
      <c r="V1780">
        <v>16</v>
      </c>
      <c r="W1780">
        <v>4727</v>
      </c>
      <c r="X1780">
        <f>NHS_AE_2024_2025[[#This Row],[A&amp;E attendances Type 1]]+
NHS_AE_2024_2025[[#This Row],[A&amp;E attendances Type 2]]+
NHS_AE_2024_2025[[#This Row],[A&amp;E attendances Other A&amp;E Department]]</f>
        <v>16619</v>
      </c>
      <c r="Y1780">
        <f t="shared" si="54"/>
        <v>4161</v>
      </c>
      <c r="Z1780">
        <f t="shared" si="55"/>
        <v>9231</v>
      </c>
    </row>
    <row r="1781" spans="1:26" x14ac:dyDescent="0.2">
      <c r="A1781" t="s">
        <v>452</v>
      </c>
      <c r="B1781" t="s">
        <v>453</v>
      </c>
      <c r="C1781" t="s">
        <v>398</v>
      </c>
      <c r="D1781" t="s">
        <v>55</v>
      </c>
      <c r="E1781" t="s">
        <v>399</v>
      </c>
      <c r="F1781">
        <v>8354</v>
      </c>
      <c r="G1781">
        <v>0</v>
      </c>
      <c r="H1781">
        <v>2941</v>
      </c>
      <c r="I1781">
        <v>144</v>
      </c>
      <c r="J1781">
        <v>0</v>
      </c>
      <c r="K1781">
        <v>207</v>
      </c>
      <c r="L1781">
        <v>4717</v>
      </c>
      <c r="M1781">
        <v>0</v>
      </c>
      <c r="N1781">
        <v>43</v>
      </c>
      <c r="O1781">
        <v>54</v>
      </c>
      <c r="P1781">
        <v>0</v>
      </c>
      <c r="Q1781">
        <v>4</v>
      </c>
      <c r="R1781">
        <v>754</v>
      </c>
      <c r="S1781">
        <v>556</v>
      </c>
      <c r="T1781">
        <v>2199</v>
      </c>
      <c r="U1781">
        <v>0</v>
      </c>
      <c r="V1781">
        <v>0</v>
      </c>
      <c r="W1781">
        <v>1749</v>
      </c>
      <c r="X1781">
        <f>NHS_AE_2024_2025[[#This Row],[A&amp;E attendances Type 1]]+
NHS_AE_2024_2025[[#This Row],[A&amp;E attendances Type 2]]+
NHS_AE_2024_2025[[#This Row],[A&amp;E attendances Other A&amp;E Department]]</f>
        <v>11295</v>
      </c>
      <c r="Y1781">
        <f t="shared" si="54"/>
        <v>4760</v>
      </c>
      <c r="Z1781">
        <f t="shared" si="55"/>
        <v>3948</v>
      </c>
    </row>
    <row r="1782" spans="1:26" x14ac:dyDescent="0.2">
      <c r="A1782" t="s">
        <v>452</v>
      </c>
      <c r="B1782" t="s">
        <v>453</v>
      </c>
      <c r="C1782" t="s">
        <v>370</v>
      </c>
      <c r="D1782" t="s">
        <v>29</v>
      </c>
      <c r="E1782" t="s">
        <v>371</v>
      </c>
      <c r="F1782">
        <v>14039</v>
      </c>
      <c r="G1782">
        <v>0</v>
      </c>
      <c r="H1782">
        <v>12558</v>
      </c>
      <c r="I1782">
        <v>27</v>
      </c>
      <c r="J1782">
        <v>0</v>
      </c>
      <c r="K1782">
        <v>0</v>
      </c>
      <c r="L1782">
        <v>7326</v>
      </c>
      <c r="M1782">
        <v>0</v>
      </c>
      <c r="N1782">
        <v>2153</v>
      </c>
      <c r="O1782">
        <v>9</v>
      </c>
      <c r="P1782">
        <v>0</v>
      </c>
      <c r="Q1782">
        <v>0</v>
      </c>
      <c r="R1782">
        <v>1149</v>
      </c>
      <c r="S1782">
        <v>602</v>
      </c>
      <c r="T1782">
        <v>3997</v>
      </c>
      <c r="U1782">
        <v>0</v>
      </c>
      <c r="V1782">
        <v>0</v>
      </c>
      <c r="W1782">
        <v>1474</v>
      </c>
      <c r="X1782">
        <f>NHS_AE_2024_2025[[#This Row],[A&amp;E attendances Type 1]]+
NHS_AE_2024_2025[[#This Row],[A&amp;E attendances Type 2]]+
NHS_AE_2024_2025[[#This Row],[A&amp;E attendances Other A&amp;E Department]]</f>
        <v>26597</v>
      </c>
      <c r="Y1782">
        <f t="shared" si="54"/>
        <v>9479</v>
      </c>
      <c r="Z1782">
        <f t="shared" si="55"/>
        <v>5471</v>
      </c>
    </row>
    <row r="1783" spans="1:26" x14ac:dyDescent="0.2">
      <c r="A1783" t="s">
        <v>452</v>
      </c>
      <c r="B1783" t="s">
        <v>453</v>
      </c>
      <c r="C1783" t="s">
        <v>364</v>
      </c>
      <c r="D1783" t="s">
        <v>37</v>
      </c>
      <c r="E1783" t="s">
        <v>365</v>
      </c>
      <c r="F1783">
        <v>0</v>
      </c>
      <c r="G1783">
        <v>0</v>
      </c>
      <c r="H1783">
        <v>13042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241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f>NHS_AE_2024_2025[[#This Row],[A&amp;E attendances Type 1]]+
NHS_AE_2024_2025[[#This Row],[A&amp;E attendances Type 2]]+
NHS_AE_2024_2025[[#This Row],[A&amp;E attendances Other A&amp;E Department]]</f>
        <v>13042</v>
      </c>
      <c r="Y1783">
        <f t="shared" si="54"/>
        <v>241</v>
      </c>
      <c r="Z1783">
        <f t="shared" si="55"/>
        <v>0</v>
      </c>
    </row>
    <row r="1784" spans="1:26" x14ac:dyDescent="0.2">
      <c r="A1784" t="s">
        <v>452</v>
      </c>
      <c r="B1784" t="s">
        <v>453</v>
      </c>
      <c r="C1784" t="s">
        <v>416</v>
      </c>
      <c r="D1784" t="s">
        <v>70</v>
      </c>
      <c r="E1784" t="s">
        <v>417</v>
      </c>
      <c r="F1784">
        <v>7960</v>
      </c>
      <c r="G1784">
        <v>0</v>
      </c>
      <c r="H1784">
        <v>727</v>
      </c>
      <c r="I1784">
        <v>67</v>
      </c>
      <c r="J1784">
        <v>0</v>
      </c>
      <c r="K1784">
        <v>0</v>
      </c>
      <c r="L1784">
        <v>2827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554</v>
      </c>
      <c r="S1784">
        <v>387</v>
      </c>
      <c r="T1784">
        <v>2121</v>
      </c>
      <c r="U1784">
        <v>0</v>
      </c>
      <c r="V1784">
        <v>0</v>
      </c>
      <c r="W1784">
        <v>558</v>
      </c>
      <c r="X1784">
        <f>NHS_AE_2024_2025[[#This Row],[A&amp;E attendances Type 1]]+
NHS_AE_2024_2025[[#This Row],[A&amp;E attendances Type 2]]+
NHS_AE_2024_2025[[#This Row],[A&amp;E attendances Other A&amp;E Department]]</f>
        <v>8687</v>
      </c>
      <c r="Y1784">
        <f t="shared" si="54"/>
        <v>2827</v>
      </c>
      <c r="Z1784">
        <f t="shared" si="55"/>
        <v>2679</v>
      </c>
    </row>
    <row r="1785" spans="1:26" x14ac:dyDescent="0.2">
      <c r="A1785" t="s">
        <v>452</v>
      </c>
      <c r="B1785" t="s">
        <v>453</v>
      </c>
      <c r="C1785" t="s">
        <v>388</v>
      </c>
      <c r="D1785" t="s">
        <v>55</v>
      </c>
      <c r="E1785" t="s">
        <v>389</v>
      </c>
      <c r="F1785">
        <v>8039</v>
      </c>
      <c r="G1785">
        <v>0</v>
      </c>
      <c r="H1785">
        <v>3717</v>
      </c>
      <c r="I1785">
        <v>114</v>
      </c>
      <c r="J1785">
        <v>0</v>
      </c>
      <c r="K1785">
        <v>107</v>
      </c>
      <c r="L1785">
        <v>4234</v>
      </c>
      <c r="M1785">
        <v>0</v>
      </c>
      <c r="N1785">
        <v>349</v>
      </c>
      <c r="O1785">
        <v>56</v>
      </c>
      <c r="P1785">
        <v>0</v>
      </c>
      <c r="Q1785">
        <v>7</v>
      </c>
      <c r="R1785">
        <v>628</v>
      </c>
      <c r="S1785">
        <v>590</v>
      </c>
      <c r="T1785">
        <v>2375</v>
      </c>
      <c r="U1785">
        <v>0</v>
      </c>
      <c r="V1785">
        <v>46</v>
      </c>
      <c r="W1785">
        <v>779</v>
      </c>
      <c r="X1785">
        <f>NHS_AE_2024_2025[[#This Row],[A&amp;E attendances Type 1]]+
NHS_AE_2024_2025[[#This Row],[A&amp;E attendances Type 2]]+
NHS_AE_2024_2025[[#This Row],[A&amp;E attendances Other A&amp;E Department]]</f>
        <v>11756</v>
      </c>
      <c r="Y1785">
        <f t="shared" si="54"/>
        <v>4583</v>
      </c>
      <c r="Z1785">
        <f t="shared" si="55"/>
        <v>3200</v>
      </c>
    </row>
    <row r="1786" spans="1:26" x14ac:dyDescent="0.2">
      <c r="A1786" t="s">
        <v>452</v>
      </c>
      <c r="B1786" t="s">
        <v>453</v>
      </c>
      <c r="C1786" t="s">
        <v>156</v>
      </c>
      <c r="D1786" t="s">
        <v>29</v>
      </c>
      <c r="E1786" t="s">
        <v>157</v>
      </c>
      <c r="F1786">
        <v>16286</v>
      </c>
      <c r="G1786">
        <v>0</v>
      </c>
      <c r="H1786">
        <v>9357</v>
      </c>
      <c r="I1786">
        <v>93</v>
      </c>
      <c r="J1786">
        <v>0</v>
      </c>
      <c r="K1786">
        <v>1319</v>
      </c>
      <c r="L1786">
        <v>6961</v>
      </c>
      <c r="M1786">
        <v>0</v>
      </c>
      <c r="N1786">
        <v>964</v>
      </c>
      <c r="O1786">
        <v>23</v>
      </c>
      <c r="P1786">
        <v>0</v>
      </c>
      <c r="Q1786">
        <v>53</v>
      </c>
      <c r="R1786">
        <v>1714</v>
      </c>
      <c r="S1786">
        <v>840</v>
      </c>
      <c r="T1786">
        <v>2513</v>
      </c>
      <c r="U1786">
        <v>0</v>
      </c>
      <c r="V1786">
        <v>0</v>
      </c>
      <c r="W1786">
        <v>496</v>
      </c>
      <c r="X1786">
        <f>NHS_AE_2024_2025[[#This Row],[A&amp;E attendances Type 1]]+
NHS_AE_2024_2025[[#This Row],[A&amp;E attendances Type 2]]+
NHS_AE_2024_2025[[#This Row],[A&amp;E attendances Other A&amp;E Department]]</f>
        <v>25643</v>
      </c>
      <c r="Y1786">
        <f t="shared" si="54"/>
        <v>7925</v>
      </c>
      <c r="Z1786">
        <f t="shared" si="55"/>
        <v>3009</v>
      </c>
    </row>
    <row r="1787" spans="1:26" x14ac:dyDescent="0.2">
      <c r="A1787" t="s">
        <v>452</v>
      </c>
      <c r="B1787" t="s">
        <v>453</v>
      </c>
      <c r="C1787" t="s">
        <v>322</v>
      </c>
      <c r="D1787" t="s">
        <v>50</v>
      </c>
      <c r="E1787" t="s">
        <v>323</v>
      </c>
      <c r="F1787">
        <v>14013</v>
      </c>
      <c r="G1787">
        <v>0</v>
      </c>
      <c r="H1787">
        <v>4077</v>
      </c>
      <c r="I1787">
        <v>0</v>
      </c>
      <c r="J1787">
        <v>0</v>
      </c>
      <c r="K1787">
        <v>0</v>
      </c>
      <c r="L1787">
        <v>4958</v>
      </c>
      <c r="M1787">
        <v>0</v>
      </c>
      <c r="N1787">
        <v>2</v>
      </c>
      <c r="O1787">
        <v>0</v>
      </c>
      <c r="P1787">
        <v>0</v>
      </c>
      <c r="Q1787">
        <v>0</v>
      </c>
      <c r="R1787">
        <v>989</v>
      </c>
      <c r="S1787">
        <v>201</v>
      </c>
      <c r="T1787">
        <v>3841</v>
      </c>
      <c r="U1787">
        <v>0</v>
      </c>
      <c r="V1787">
        <v>390</v>
      </c>
      <c r="W1787">
        <v>1237</v>
      </c>
      <c r="X1787">
        <f>NHS_AE_2024_2025[[#This Row],[A&amp;E attendances Type 1]]+
NHS_AE_2024_2025[[#This Row],[A&amp;E attendances Type 2]]+
NHS_AE_2024_2025[[#This Row],[A&amp;E attendances Other A&amp;E Department]]</f>
        <v>18090</v>
      </c>
      <c r="Y1787">
        <f t="shared" si="54"/>
        <v>4960</v>
      </c>
      <c r="Z1787">
        <f t="shared" si="55"/>
        <v>5468</v>
      </c>
    </row>
    <row r="1788" spans="1:26" x14ac:dyDescent="0.2">
      <c r="A1788" t="s">
        <v>452</v>
      </c>
      <c r="B1788" t="s">
        <v>453</v>
      </c>
      <c r="C1788" t="s">
        <v>270</v>
      </c>
      <c r="D1788" t="s">
        <v>32</v>
      </c>
      <c r="E1788" t="s">
        <v>271</v>
      </c>
      <c r="F1788">
        <v>15997</v>
      </c>
      <c r="G1788">
        <v>984</v>
      </c>
      <c r="H1788">
        <v>9467</v>
      </c>
      <c r="I1788">
        <v>1219</v>
      </c>
      <c r="J1788">
        <v>0</v>
      </c>
      <c r="K1788">
        <v>0</v>
      </c>
      <c r="L1788">
        <v>7637</v>
      </c>
      <c r="M1788">
        <v>92</v>
      </c>
      <c r="N1788">
        <v>333</v>
      </c>
      <c r="O1788">
        <v>270</v>
      </c>
      <c r="P1788">
        <v>0</v>
      </c>
      <c r="Q1788">
        <v>0</v>
      </c>
      <c r="R1788">
        <v>1659</v>
      </c>
      <c r="S1788">
        <v>343</v>
      </c>
      <c r="T1788">
        <v>2854</v>
      </c>
      <c r="U1788">
        <v>0</v>
      </c>
      <c r="V1788">
        <v>0</v>
      </c>
      <c r="W1788">
        <v>411</v>
      </c>
      <c r="X1788">
        <f>NHS_AE_2024_2025[[#This Row],[A&amp;E attendances Type 1]]+
NHS_AE_2024_2025[[#This Row],[A&amp;E attendances Type 2]]+
NHS_AE_2024_2025[[#This Row],[A&amp;E attendances Other A&amp;E Department]]</f>
        <v>26448</v>
      </c>
      <c r="Y1788">
        <f t="shared" si="54"/>
        <v>8062</v>
      </c>
      <c r="Z1788">
        <f t="shared" si="55"/>
        <v>3265</v>
      </c>
    </row>
    <row r="1789" spans="1:26" x14ac:dyDescent="0.2">
      <c r="A1789" t="s">
        <v>452</v>
      </c>
      <c r="B1789" t="s">
        <v>431</v>
      </c>
      <c r="C1789" t="s">
        <v>431</v>
      </c>
      <c r="D1789" t="s">
        <v>431</v>
      </c>
      <c r="E1789" t="s">
        <v>431</v>
      </c>
      <c r="F1789">
        <v>1439178</v>
      </c>
      <c r="G1789">
        <v>50602</v>
      </c>
      <c r="H1789">
        <v>841230</v>
      </c>
      <c r="I1789">
        <v>33543</v>
      </c>
      <c r="J1789">
        <v>644</v>
      </c>
      <c r="K1789">
        <v>51095</v>
      </c>
      <c r="L1789">
        <v>584646</v>
      </c>
      <c r="M1789">
        <v>2024</v>
      </c>
      <c r="N1789">
        <v>32615</v>
      </c>
      <c r="O1789">
        <v>9149</v>
      </c>
      <c r="P1789">
        <v>13</v>
      </c>
      <c r="Q1789">
        <v>738</v>
      </c>
      <c r="R1789">
        <v>96215</v>
      </c>
      <c r="S1789">
        <v>42555</v>
      </c>
      <c r="T1789">
        <v>414156</v>
      </c>
      <c r="U1789">
        <v>1490</v>
      </c>
      <c r="V1789">
        <v>4558</v>
      </c>
      <c r="W1789">
        <v>144489</v>
      </c>
      <c r="X1789">
        <f>NHS_AE_2024_2025[[#This Row],[A&amp;E attendances Type 1]]+
NHS_AE_2024_2025[[#This Row],[A&amp;E attendances Type 2]]+
NHS_AE_2024_2025[[#This Row],[A&amp;E attendances Other A&amp;E Department]]</f>
        <v>2331010</v>
      </c>
      <c r="Y1789">
        <f t="shared" si="54"/>
        <v>619285</v>
      </c>
      <c r="Z1789">
        <f t="shared" si="55"/>
        <v>564693</v>
      </c>
    </row>
    <row r="1790" spans="1:26" x14ac:dyDescent="0.2">
      <c r="A1790" t="s">
        <v>454</v>
      </c>
      <c r="B1790" t="s">
        <v>455</v>
      </c>
      <c r="C1790" t="s">
        <v>222</v>
      </c>
      <c r="D1790" t="s">
        <v>32</v>
      </c>
      <c r="E1790" t="s">
        <v>223</v>
      </c>
      <c r="F1790">
        <v>0</v>
      </c>
      <c r="G1790">
        <v>0</v>
      </c>
      <c r="H1790">
        <v>4350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f>NHS_AE_2024_2025[[#This Row],[A&amp;E attendances Type 1]]+
NHS_AE_2024_2025[[#This Row],[A&amp;E attendances Type 2]]+
NHS_AE_2024_2025[[#This Row],[A&amp;E attendances Other A&amp;E Department]]</f>
        <v>4350</v>
      </c>
      <c r="Y1790">
        <f t="shared" si="54"/>
        <v>0</v>
      </c>
      <c r="Z1790">
        <f t="shared" si="55"/>
        <v>0</v>
      </c>
    </row>
    <row r="1791" spans="1:26" x14ac:dyDescent="0.2">
      <c r="A1791" t="s">
        <v>454</v>
      </c>
      <c r="B1791" t="s">
        <v>455</v>
      </c>
      <c r="C1791" t="s">
        <v>49</v>
      </c>
      <c r="D1791" t="s">
        <v>50</v>
      </c>
      <c r="E1791" t="s">
        <v>51</v>
      </c>
      <c r="F1791">
        <v>15295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5422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1160</v>
      </c>
      <c r="S1791">
        <v>16</v>
      </c>
      <c r="T1791">
        <v>3104</v>
      </c>
      <c r="U1791">
        <v>0</v>
      </c>
      <c r="V1791">
        <v>0</v>
      </c>
      <c r="W1791">
        <v>316</v>
      </c>
      <c r="X1791">
        <f>NHS_AE_2024_2025[[#This Row],[A&amp;E attendances Type 1]]+
NHS_AE_2024_2025[[#This Row],[A&amp;E attendances Type 2]]+
NHS_AE_2024_2025[[#This Row],[A&amp;E attendances Other A&amp;E Department]]</f>
        <v>15295</v>
      </c>
      <c r="Y1791">
        <f t="shared" si="54"/>
        <v>5422</v>
      </c>
      <c r="Z1791">
        <f t="shared" si="55"/>
        <v>3420</v>
      </c>
    </row>
    <row r="1792" spans="1:26" x14ac:dyDescent="0.2">
      <c r="A1792" t="s">
        <v>454</v>
      </c>
      <c r="B1792" t="s">
        <v>455</v>
      </c>
      <c r="C1792" t="s">
        <v>25</v>
      </c>
      <c r="D1792" t="s">
        <v>26</v>
      </c>
      <c r="E1792" t="s">
        <v>27</v>
      </c>
      <c r="F1792">
        <v>0</v>
      </c>
      <c r="G1792">
        <v>0</v>
      </c>
      <c r="H1792">
        <v>516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f>NHS_AE_2024_2025[[#This Row],[A&amp;E attendances Type 1]]+
NHS_AE_2024_2025[[#This Row],[A&amp;E attendances Type 2]]+
NHS_AE_2024_2025[[#This Row],[A&amp;E attendances Other A&amp;E Department]]</f>
        <v>516</v>
      </c>
      <c r="Y1792">
        <f t="shared" si="54"/>
        <v>0</v>
      </c>
      <c r="Z1792">
        <f t="shared" si="55"/>
        <v>0</v>
      </c>
    </row>
    <row r="1793" spans="1:26" x14ac:dyDescent="0.2">
      <c r="A1793" t="s">
        <v>454</v>
      </c>
      <c r="B1793" t="s">
        <v>455</v>
      </c>
      <c r="C1793" t="s">
        <v>36</v>
      </c>
      <c r="D1793" t="s">
        <v>37</v>
      </c>
      <c r="E1793" t="s">
        <v>38</v>
      </c>
      <c r="F1793">
        <v>0</v>
      </c>
      <c r="G1793">
        <v>0</v>
      </c>
      <c r="H1793">
        <v>2593</v>
      </c>
      <c r="I1793">
        <v>0</v>
      </c>
      <c r="J1793">
        <v>0</v>
      </c>
      <c r="K1793">
        <v>12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f>NHS_AE_2024_2025[[#This Row],[A&amp;E attendances Type 1]]+
NHS_AE_2024_2025[[#This Row],[A&amp;E attendances Type 2]]+
NHS_AE_2024_2025[[#This Row],[A&amp;E attendances Other A&amp;E Department]]</f>
        <v>2593</v>
      </c>
      <c r="Y1793">
        <f t="shared" si="54"/>
        <v>1</v>
      </c>
      <c r="Z1793">
        <f t="shared" si="55"/>
        <v>0</v>
      </c>
    </row>
    <row r="1794" spans="1:26" x14ac:dyDescent="0.2">
      <c r="A1794" t="s">
        <v>454</v>
      </c>
      <c r="B1794" t="s">
        <v>455</v>
      </c>
      <c r="C1794" t="s">
        <v>94</v>
      </c>
      <c r="D1794" t="s">
        <v>32</v>
      </c>
      <c r="E1794" t="s">
        <v>95</v>
      </c>
      <c r="F1794">
        <v>0</v>
      </c>
      <c r="G1794">
        <v>0</v>
      </c>
      <c r="H1794">
        <v>303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f>NHS_AE_2024_2025[[#This Row],[A&amp;E attendances Type 1]]+
NHS_AE_2024_2025[[#This Row],[A&amp;E attendances Type 2]]+
NHS_AE_2024_2025[[#This Row],[A&amp;E attendances Other A&amp;E Department]]</f>
        <v>303</v>
      </c>
      <c r="Y1794">
        <f t="shared" ref="Y1794:Y1857" si="56">L1794+M1794+N1794</f>
        <v>0</v>
      </c>
      <c r="Z1794">
        <f t="shared" ref="Z1794:Z1857" si="57">T1794+U1794+V1794+W1794</f>
        <v>0</v>
      </c>
    </row>
    <row r="1795" spans="1:26" x14ac:dyDescent="0.2">
      <c r="A1795" t="s">
        <v>454</v>
      </c>
      <c r="B1795" t="s">
        <v>455</v>
      </c>
      <c r="C1795" t="s">
        <v>39</v>
      </c>
      <c r="D1795" t="s">
        <v>26</v>
      </c>
      <c r="E1795" t="s">
        <v>40</v>
      </c>
      <c r="F1795">
        <v>0</v>
      </c>
      <c r="G1795">
        <v>0</v>
      </c>
      <c r="H1795">
        <v>73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f>NHS_AE_2024_2025[[#This Row],[A&amp;E attendances Type 1]]+
NHS_AE_2024_2025[[#This Row],[A&amp;E attendances Type 2]]+
NHS_AE_2024_2025[[#This Row],[A&amp;E attendances Other A&amp;E Department]]</f>
        <v>73</v>
      </c>
      <c r="Y1795">
        <f t="shared" si="56"/>
        <v>0</v>
      </c>
      <c r="Z1795">
        <f t="shared" si="57"/>
        <v>0</v>
      </c>
    </row>
    <row r="1796" spans="1:26" x14ac:dyDescent="0.2">
      <c r="A1796" t="s">
        <v>454</v>
      </c>
      <c r="B1796" t="s">
        <v>455</v>
      </c>
      <c r="C1796" t="s">
        <v>72</v>
      </c>
      <c r="D1796" t="s">
        <v>55</v>
      </c>
      <c r="E1796" t="s">
        <v>73</v>
      </c>
      <c r="F1796">
        <v>0</v>
      </c>
      <c r="G1796">
        <v>0</v>
      </c>
      <c r="H1796">
        <v>1704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15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f>NHS_AE_2024_2025[[#This Row],[A&amp;E attendances Type 1]]+
NHS_AE_2024_2025[[#This Row],[A&amp;E attendances Type 2]]+
NHS_AE_2024_2025[[#This Row],[A&amp;E attendances Other A&amp;E Department]]</f>
        <v>1704</v>
      </c>
      <c r="Y1796">
        <f t="shared" si="56"/>
        <v>15</v>
      </c>
      <c r="Z1796">
        <f t="shared" si="57"/>
        <v>0</v>
      </c>
    </row>
    <row r="1797" spans="1:26" x14ac:dyDescent="0.2">
      <c r="A1797" t="s">
        <v>454</v>
      </c>
      <c r="B1797" t="s">
        <v>455</v>
      </c>
      <c r="C1797" t="s">
        <v>74</v>
      </c>
      <c r="D1797" t="s">
        <v>26</v>
      </c>
      <c r="E1797" t="s">
        <v>75</v>
      </c>
      <c r="F1797">
        <v>0</v>
      </c>
      <c r="G1797">
        <v>0</v>
      </c>
      <c r="H1797">
        <v>932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5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f>NHS_AE_2024_2025[[#This Row],[A&amp;E attendances Type 1]]+
NHS_AE_2024_2025[[#This Row],[A&amp;E attendances Type 2]]+
NHS_AE_2024_2025[[#This Row],[A&amp;E attendances Other A&amp;E Department]]</f>
        <v>932</v>
      </c>
      <c r="Y1797">
        <f t="shared" si="56"/>
        <v>5</v>
      </c>
      <c r="Z1797">
        <f t="shared" si="57"/>
        <v>0</v>
      </c>
    </row>
    <row r="1798" spans="1:26" x14ac:dyDescent="0.2">
      <c r="A1798" t="s">
        <v>454</v>
      </c>
      <c r="B1798" t="s">
        <v>455</v>
      </c>
      <c r="C1798" t="s">
        <v>146</v>
      </c>
      <c r="D1798" t="s">
        <v>32</v>
      </c>
      <c r="E1798" t="s">
        <v>147</v>
      </c>
      <c r="F1798">
        <v>0</v>
      </c>
      <c r="G1798">
        <v>0</v>
      </c>
      <c r="H1798">
        <v>5559</v>
      </c>
      <c r="I1798">
        <v>0</v>
      </c>
      <c r="J1798">
        <v>0</v>
      </c>
      <c r="K1798">
        <v>271</v>
      </c>
      <c r="L1798">
        <v>0</v>
      </c>
      <c r="M1798">
        <v>0</v>
      </c>
      <c r="N1798">
        <v>358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f>NHS_AE_2024_2025[[#This Row],[A&amp;E attendances Type 1]]+
NHS_AE_2024_2025[[#This Row],[A&amp;E attendances Type 2]]+
NHS_AE_2024_2025[[#This Row],[A&amp;E attendances Other A&amp;E Department]]</f>
        <v>5559</v>
      </c>
      <c r="Y1798">
        <f t="shared" si="56"/>
        <v>358</v>
      </c>
      <c r="Z1798">
        <f t="shared" si="57"/>
        <v>0</v>
      </c>
    </row>
    <row r="1799" spans="1:26" x14ac:dyDescent="0.2">
      <c r="A1799" t="s">
        <v>454</v>
      </c>
      <c r="B1799" t="s">
        <v>455</v>
      </c>
      <c r="C1799" t="s">
        <v>78</v>
      </c>
      <c r="D1799" t="s">
        <v>37</v>
      </c>
      <c r="E1799" t="s">
        <v>79</v>
      </c>
      <c r="F1799">
        <v>0</v>
      </c>
      <c r="G1799">
        <v>0</v>
      </c>
      <c r="H1799">
        <v>2243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17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f>NHS_AE_2024_2025[[#This Row],[A&amp;E attendances Type 1]]+
NHS_AE_2024_2025[[#This Row],[A&amp;E attendances Type 2]]+
NHS_AE_2024_2025[[#This Row],[A&amp;E attendances Other A&amp;E Department]]</f>
        <v>2243</v>
      </c>
      <c r="Y1799">
        <f t="shared" si="56"/>
        <v>17</v>
      </c>
      <c r="Z1799">
        <f t="shared" si="57"/>
        <v>0</v>
      </c>
    </row>
    <row r="1800" spans="1:26" x14ac:dyDescent="0.2">
      <c r="A1800" t="s">
        <v>454</v>
      </c>
      <c r="B1800" t="s">
        <v>455</v>
      </c>
      <c r="C1800" t="s">
        <v>80</v>
      </c>
      <c r="D1800" t="s">
        <v>37</v>
      </c>
      <c r="E1800" t="s">
        <v>81</v>
      </c>
      <c r="F1800">
        <v>0</v>
      </c>
      <c r="G1800">
        <v>0</v>
      </c>
      <c r="H1800">
        <v>2435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25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f>NHS_AE_2024_2025[[#This Row],[A&amp;E attendances Type 1]]+
NHS_AE_2024_2025[[#This Row],[A&amp;E attendances Type 2]]+
NHS_AE_2024_2025[[#This Row],[A&amp;E attendances Other A&amp;E Department]]</f>
        <v>2435</v>
      </c>
      <c r="Y1800">
        <f t="shared" si="56"/>
        <v>25</v>
      </c>
      <c r="Z1800">
        <f t="shared" si="57"/>
        <v>0</v>
      </c>
    </row>
    <row r="1801" spans="1:26" x14ac:dyDescent="0.2">
      <c r="A1801" t="s">
        <v>454</v>
      </c>
      <c r="B1801" t="s">
        <v>455</v>
      </c>
      <c r="C1801" t="s">
        <v>28</v>
      </c>
      <c r="D1801" t="s">
        <v>29</v>
      </c>
      <c r="E1801" t="s">
        <v>30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42</v>
      </c>
      <c r="X1801">
        <f>NHS_AE_2024_2025[[#This Row],[A&amp;E attendances Type 1]]+
NHS_AE_2024_2025[[#This Row],[A&amp;E attendances Type 2]]+
NHS_AE_2024_2025[[#This Row],[A&amp;E attendances Other A&amp;E Department]]</f>
        <v>0</v>
      </c>
      <c r="Y1801">
        <f t="shared" si="56"/>
        <v>0</v>
      </c>
      <c r="Z1801">
        <f t="shared" si="57"/>
        <v>42</v>
      </c>
    </row>
    <row r="1802" spans="1:26" x14ac:dyDescent="0.2">
      <c r="A1802" t="s">
        <v>454</v>
      </c>
      <c r="B1802" t="s">
        <v>455</v>
      </c>
      <c r="C1802" t="s">
        <v>310</v>
      </c>
      <c r="D1802" t="s">
        <v>26</v>
      </c>
      <c r="E1802" t="s">
        <v>311</v>
      </c>
      <c r="F1802">
        <v>9116</v>
      </c>
      <c r="G1802">
        <v>151</v>
      </c>
      <c r="H1802">
        <v>4749</v>
      </c>
      <c r="I1802">
        <v>0</v>
      </c>
      <c r="J1802">
        <v>0</v>
      </c>
      <c r="K1802">
        <v>0</v>
      </c>
      <c r="L1802">
        <v>4665</v>
      </c>
      <c r="M1802">
        <v>0</v>
      </c>
      <c r="N1802">
        <v>93</v>
      </c>
      <c r="O1802">
        <v>0</v>
      </c>
      <c r="P1802">
        <v>0</v>
      </c>
      <c r="Q1802">
        <v>0</v>
      </c>
      <c r="R1802">
        <v>567</v>
      </c>
      <c r="S1802">
        <v>604</v>
      </c>
      <c r="T1802">
        <v>2876</v>
      </c>
      <c r="U1802">
        <v>0</v>
      </c>
      <c r="V1802">
        <v>0</v>
      </c>
      <c r="W1802">
        <v>1468</v>
      </c>
      <c r="X1802">
        <f>NHS_AE_2024_2025[[#This Row],[A&amp;E attendances Type 1]]+
NHS_AE_2024_2025[[#This Row],[A&amp;E attendances Type 2]]+
NHS_AE_2024_2025[[#This Row],[A&amp;E attendances Other A&amp;E Department]]</f>
        <v>14016</v>
      </c>
      <c r="Y1802">
        <f t="shared" si="56"/>
        <v>4758</v>
      </c>
      <c r="Z1802">
        <f t="shared" si="57"/>
        <v>4344</v>
      </c>
    </row>
    <row r="1803" spans="1:26" x14ac:dyDescent="0.2">
      <c r="A1803" t="s">
        <v>454</v>
      </c>
      <c r="B1803" t="s">
        <v>455</v>
      </c>
      <c r="C1803" t="s">
        <v>124</v>
      </c>
      <c r="D1803" t="s">
        <v>37</v>
      </c>
      <c r="E1803" t="s">
        <v>434</v>
      </c>
      <c r="F1803">
        <v>0</v>
      </c>
      <c r="G1803">
        <v>0</v>
      </c>
      <c r="H1803">
        <v>2822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40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133</v>
      </c>
      <c r="X1803">
        <f>NHS_AE_2024_2025[[#This Row],[A&amp;E attendances Type 1]]+
NHS_AE_2024_2025[[#This Row],[A&amp;E attendances Type 2]]+
NHS_AE_2024_2025[[#This Row],[A&amp;E attendances Other A&amp;E Department]]</f>
        <v>2822</v>
      </c>
      <c r="Y1803">
        <f t="shared" si="56"/>
        <v>40</v>
      </c>
      <c r="Z1803">
        <f t="shared" si="57"/>
        <v>133</v>
      </c>
    </row>
    <row r="1804" spans="1:26" x14ac:dyDescent="0.2">
      <c r="A1804" t="s">
        <v>454</v>
      </c>
      <c r="B1804" t="s">
        <v>455</v>
      </c>
      <c r="C1804" t="s">
        <v>174</v>
      </c>
      <c r="D1804" t="s">
        <v>50</v>
      </c>
      <c r="E1804" t="s">
        <v>175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121</v>
      </c>
      <c r="X1804">
        <f>NHS_AE_2024_2025[[#This Row],[A&amp;E attendances Type 1]]+
NHS_AE_2024_2025[[#This Row],[A&amp;E attendances Type 2]]+
NHS_AE_2024_2025[[#This Row],[A&amp;E attendances Other A&amp;E Department]]</f>
        <v>0</v>
      </c>
      <c r="Y1804">
        <f t="shared" si="56"/>
        <v>0</v>
      </c>
      <c r="Z1804">
        <f t="shared" si="57"/>
        <v>121</v>
      </c>
    </row>
    <row r="1805" spans="1:26" x14ac:dyDescent="0.2">
      <c r="A1805" t="s">
        <v>454</v>
      </c>
      <c r="B1805" t="s">
        <v>455</v>
      </c>
      <c r="C1805" t="s">
        <v>180</v>
      </c>
      <c r="D1805" t="s">
        <v>26</v>
      </c>
      <c r="E1805" t="s">
        <v>181</v>
      </c>
      <c r="F1805">
        <v>0</v>
      </c>
      <c r="G1805">
        <v>0</v>
      </c>
      <c r="H1805">
        <v>1581</v>
      </c>
      <c r="I1805">
        <v>0</v>
      </c>
      <c r="J1805">
        <v>0</v>
      </c>
      <c r="K1805">
        <v>17</v>
      </c>
      <c r="L1805">
        <v>0</v>
      </c>
      <c r="M1805">
        <v>0</v>
      </c>
      <c r="N1805">
        <v>95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f>NHS_AE_2024_2025[[#This Row],[A&amp;E attendances Type 1]]+
NHS_AE_2024_2025[[#This Row],[A&amp;E attendances Type 2]]+
NHS_AE_2024_2025[[#This Row],[A&amp;E attendances Other A&amp;E Department]]</f>
        <v>1581</v>
      </c>
      <c r="Y1805">
        <f t="shared" si="56"/>
        <v>95</v>
      </c>
      <c r="Z1805">
        <f t="shared" si="57"/>
        <v>0</v>
      </c>
    </row>
    <row r="1806" spans="1:26" x14ac:dyDescent="0.2">
      <c r="A1806" t="s">
        <v>454</v>
      </c>
      <c r="B1806" t="s">
        <v>455</v>
      </c>
      <c r="C1806" t="s">
        <v>61</v>
      </c>
      <c r="D1806" t="s">
        <v>55</v>
      </c>
      <c r="E1806" t="s">
        <v>62</v>
      </c>
      <c r="F1806">
        <v>0</v>
      </c>
      <c r="G1806">
        <v>0</v>
      </c>
      <c r="H1806">
        <v>1654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f>NHS_AE_2024_2025[[#This Row],[A&amp;E attendances Type 1]]+
NHS_AE_2024_2025[[#This Row],[A&amp;E attendances Type 2]]+
NHS_AE_2024_2025[[#This Row],[A&amp;E attendances Other A&amp;E Department]]</f>
        <v>1654</v>
      </c>
      <c r="Y1806">
        <f t="shared" si="56"/>
        <v>0</v>
      </c>
      <c r="Z1806">
        <f t="shared" si="57"/>
        <v>0</v>
      </c>
    </row>
    <row r="1807" spans="1:26" x14ac:dyDescent="0.2">
      <c r="A1807" t="s">
        <v>454</v>
      </c>
      <c r="B1807" t="s">
        <v>455</v>
      </c>
      <c r="C1807" t="s">
        <v>63</v>
      </c>
      <c r="D1807" t="s">
        <v>32</v>
      </c>
      <c r="E1807" t="s">
        <v>64</v>
      </c>
      <c r="F1807">
        <v>0</v>
      </c>
      <c r="G1807">
        <v>0</v>
      </c>
      <c r="H1807">
        <v>7178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f>NHS_AE_2024_2025[[#This Row],[A&amp;E attendances Type 1]]+
NHS_AE_2024_2025[[#This Row],[A&amp;E attendances Type 2]]+
NHS_AE_2024_2025[[#This Row],[A&amp;E attendances Other A&amp;E Department]]</f>
        <v>7178</v>
      </c>
      <c r="Y1807">
        <f t="shared" si="56"/>
        <v>0</v>
      </c>
      <c r="Z1807">
        <f t="shared" si="57"/>
        <v>0</v>
      </c>
    </row>
    <row r="1808" spans="1:26" x14ac:dyDescent="0.2">
      <c r="A1808" t="s">
        <v>454</v>
      </c>
      <c r="B1808" t="s">
        <v>455</v>
      </c>
      <c r="C1808" t="s">
        <v>108</v>
      </c>
      <c r="D1808" t="s">
        <v>37</v>
      </c>
      <c r="E1808" t="s">
        <v>109</v>
      </c>
      <c r="F1808">
        <v>0</v>
      </c>
      <c r="G1808">
        <v>0</v>
      </c>
      <c r="H1808">
        <v>1973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f>NHS_AE_2024_2025[[#This Row],[A&amp;E attendances Type 1]]+
NHS_AE_2024_2025[[#This Row],[A&amp;E attendances Type 2]]+
NHS_AE_2024_2025[[#This Row],[A&amp;E attendances Other A&amp;E Department]]</f>
        <v>1973</v>
      </c>
      <c r="Y1808">
        <f t="shared" si="56"/>
        <v>0</v>
      </c>
      <c r="Z1808">
        <f t="shared" si="57"/>
        <v>0</v>
      </c>
    </row>
    <row r="1809" spans="1:26" x14ac:dyDescent="0.2">
      <c r="A1809" t="s">
        <v>454</v>
      </c>
      <c r="B1809" t="s">
        <v>455</v>
      </c>
      <c r="C1809" t="s">
        <v>41</v>
      </c>
      <c r="D1809" t="s">
        <v>32</v>
      </c>
      <c r="E1809" t="s">
        <v>42</v>
      </c>
      <c r="F1809">
        <v>0</v>
      </c>
      <c r="G1809">
        <v>0</v>
      </c>
      <c r="H1809">
        <v>3160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f>NHS_AE_2024_2025[[#This Row],[A&amp;E attendances Type 1]]+
NHS_AE_2024_2025[[#This Row],[A&amp;E attendances Type 2]]+
NHS_AE_2024_2025[[#This Row],[A&amp;E attendances Other A&amp;E Department]]</f>
        <v>3160</v>
      </c>
      <c r="Y1809">
        <f t="shared" si="56"/>
        <v>0</v>
      </c>
      <c r="Z1809">
        <f t="shared" si="57"/>
        <v>0</v>
      </c>
    </row>
    <row r="1810" spans="1:26" x14ac:dyDescent="0.2">
      <c r="A1810" t="s">
        <v>454</v>
      </c>
      <c r="B1810" t="s">
        <v>455</v>
      </c>
      <c r="C1810" t="s">
        <v>43</v>
      </c>
      <c r="D1810" t="s">
        <v>26</v>
      </c>
      <c r="E1810" t="s">
        <v>44</v>
      </c>
      <c r="F1810">
        <v>6145</v>
      </c>
      <c r="G1810">
        <v>0</v>
      </c>
      <c r="H1810">
        <v>3036</v>
      </c>
      <c r="I1810">
        <v>470</v>
      </c>
      <c r="J1810">
        <v>0</v>
      </c>
      <c r="K1810">
        <v>152</v>
      </c>
      <c r="L1810">
        <v>2998</v>
      </c>
      <c r="M1810">
        <v>0</v>
      </c>
      <c r="N1810">
        <v>16</v>
      </c>
      <c r="O1810">
        <v>208</v>
      </c>
      <c r="P1810">
        <v>0</v>
      </c>
      <c r="Q1810">
        <v>2</v>
      </c>
      <c r="R1810">
        <v>355</v>
      </c>
      <c r="S1810">
        <v>102</v>
      </c>
      <c r="T1810">
        <v>2155</v>
      </c>
      <c r="U1810">
        <v>0</v>
      </c>
      <c r="V1810">
        <v>0</v>
      </c>
      <c r="W1810">
        <v>1229</v>
      </c>
      <c r="X1810">
        <f>NHS_AE_2024_2025[[#This Row],[A&amp;E attendances Type 1]]+
NHS_AE_2024_2025[[#This Row],[A&amp;E attendances Type 2]]+
NHS_AE_2024_2025[[#This Row],[A&amp;E attendances Other A&amp;E Department]]</f>
        <v>9181</v>
      </c>
      <c r="Y1810">
        <f t="shared" si="56"/>
        <v>3014</v>
      </c>
      <c r="Z1810">
        <f t="shared" si="57"/>
        <v>3384</v>
      </c>
    </row>
    <row r="1811" spans="1:26" x14ac:dyDescent="0.2">
      <c r="A1811" t="s">
        <v>454</v>
      </c>
      <c r="B1811" t="s">
        <v>455</v>
      </c>
      <c r="C1811" t="s">
        <v>292</v>
      </c>
      <c r="D1811" t="s">
        <v>55</v>
      </c>
      <c r="E1811" t="s">
        <v>293</v>
      </c>
      <c r="F1811">
        <v>7229</v>
      </c>
      <c r="G1811">
        <v>0</v>
      </c>
      <c r="H1811">
        <v>2646</v>
      </c>
      <c r="I1811">
        <v>0</v>
      </c>
      <c r="J1811">
        <v>0</v>
      </c>
      <c r="K1811">
        <v>48</v>
      </c>
      <c r="L1811">
        <v>4248</v>
      </c>
      <c r="M1811">
        <v>0</v>
      </c>
      <c r="N1811">
        <v>49</v>
      </c>
      <c r="O1811">
        <v>0</v>
      </c>
      <c r="P1811">
        <v>0</v>
      </c>
      <c r="Q1811">
        <v>5</v>
      </c>
      <c r="R1811">
        <v>693</v>
      </c>
      <c r="S1811">
        <v>490</v>
      </c>
      <c r="T1811">
        <v>2460</v>
      </c>
      <c r="U1811">
        <v>0</v>
      </c>
      <c r="V1811">
        <v>0</v>
      </c>
      <c r="W1811">
        <v>1080</v>
      </c>
      <c r="X1811">
        <f>NHS_AE_2024_2025[[#This Row],[A&amp;E attendances Type 1]]+
NHS_AE_2024_2025[[#This Row],[A&amp;E attendances Type 2]]+
NHS_AE_2024_2025[[#This Row],[A&amp;E attendances Other A&amp;E Department]]</f>
        <v>9875</v>
      </c>
      <c r="Y1811">
        <f t="shared" si="56"/>
        <v>4297</v>
      </c>
      <c r="Z1811">
        <f t="shared" si="57"/>
        <v>3540</v>
      </c>
    </row>
    <row r="1812" spans="1:26" x14ac:dyDescent="0.2">
      <c r="A1812" t="s">
        <v>454</v>
      </c>
      <c r="B1812" t="s">
        <v>455</v>
      </c>
      <c r="C1812" t="s">
        <v>45</v>
      </c>
      <c r="D1812" t="s">
        <v>26</v>
      </c>
      <c r="E1812" t="s">
        <v>46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f>NHS_AE_2024_2025[[#This Row],[A&amp;E attendances Type 1]]+
NHS_AE_2024_2025[[#This Row],[A&amp;E attendances Type 2]]+
NHS_AE_2024_2025[[#This Row],[A&amp;E attendances Other A&amp;E Department]]</f>
        <v>0</v>
      </c>
      <c r="Y1812">
        <f t="shared" si="56"/>
        <v>0</v>
      </c>
      <c r="Z1812">
        <f t="shared" si="57"/>
        <v>1</v>
      </c>
    </row>
    <row r="1813" spans="1:26" x14ac:dyDescent="0.2">
      <c r="A1813" t="s">
        <v>454</v>
      </c>
      <c r="B1813" t="s">
        <v>455</v>
      </c>
      <c r="C1813" t="s">
        <v>47</v>
      </c>
      <c r="D1813" t="s">
        <v>26</v>
      </c>
      <c r="E1813" t="s">
        <v>48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6</v>
      </c>
      <c r="W1813">
        <v>66</v>
      </c>
      <c r="X1813">
        <f>NHS_AE_2024_2025[[#This Row],[A&amp;E attendances Type 1]]+
NHS_AE_2024_2025[[#This Row],[A&amp;E attendances Type 2]]+
NHS_AE_2024_2025[[#This Row],[A&amp;E attendances Other A&amp;E Department]]</f>
        <v>0</v>
      </c>
      <c r="Y1813">
        <f t="shared" si="56"/>
        <v>0</v>
      </c>
      <c r="Z1813">
        <f t="shared" si="57"/>
        <v>72</v>
      </c>
    </row>
    <row r="1814" spans="1:26" x14ac:dyDescent="0.2">
      <c r="A1814" t="s">
        <v>454</v>
      </c>
      <c r="B1814" t="s">
        <v>455</v>
      </c>
      <c r="C1814" t="s">
        <v>52</v>
      </c>
      <c r="D1814" t="s">
        <v>37</v>
      </c>
      <c r="E1814" t="s">
        <v>53</v>
      </c>
      <c r="F1814">
        <v>10655</v>
      </c>
      <c r="G1814">
        <v>1136</v>
      </c>
      <c r="H1814">
        <v>3542</v>
      </c>
      <c r="I1814">
        <v>0</v>
      </c>
      <c r="J1814">
        <v>0</v>
      </c>
      <c r="K1814">
        <v>0</v>
      </c>
      <c r="L1814">
        <v>4531</v>
      </c>
      <c r="M1814">
        <v>0</v>
      </c>
      <c r="N1814">
        <v>357</v>
      </c>
      <c r="O1814">
        <v>0</v>
      </c>
      <c r="P1814">
        <v>0</v>
      </c>
      <c r="Q1814">
        <v>0</v>
      </c>
      <c r="R1814">
        <v>271</v>
      </c>
      <c r="S1814">
        <v>264</v>
      </c>
      <c r="T1814">
        <v>3890</v>
      </c>
      <c r="U1814">
        <v>766</v>
      </c>
      <c r="V1814">
        <v>0</v>
      </c>
      <c r="W1814">
        <v>2024</v>
      </c>
      <c r="X1814">
        <f>NHS_AE_2024_2025[[#This Row],[A&amp;E attendances Type 1]]+
NHS_AE_2024_2025[[#This Row],[A&amp;E attendances Type 2]]+
NHS_AE_2024_2025[[#This Row],[A&amp;E attendances Other A&amp;E Department]]</f>
        <v>15333</v>
      </c>
      <c r="Y1814">
        <f t="shared" si="56"/>
        <v>4888</v>
      </c>
      <c r="Z1814">
        <f t="shared" si="57"/>
        <v>6680</v>
      </c>
    </row>
    <row r="1815" spans="1:26" x14ac:dyDescent="0.2">
      <c r="A1815" t="s">
        <v>454</v>
      </c>
      <c r="B1815" t="s">
        <v>455</v>
      </c>
      <c r="C1815" t="s">
        <v>218</v>
      </c>
      <c r="D1815" t="s">
        <v>70</v>
      </c>
      <c r="E1815" t="s">
        <v>219</v>
      </c>
      <c r="F1815">
        <v>0</v>
      </c>
      <c r="G1815">
        <v>0</v>
      </c>
      <c r="H1815">
        <v>1002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12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f>NHS_AE_2024_2025[[#This Row],[A&amp;E attendances Type 1]]+
NHS_AE_2024_2025[[#This Row],[A&amp;E attendances Type 2]]+
NHS_AE_2024_2025[[#This Row],[A&amp;E attendances Other A&amp;E Department]]</f>
        <v>1002</v>
      </c>
      <c r="Y1815">
        <f t="shared" si="56"/>
        <v>12</v>
      </c>
      <c r="Z1815">
        <f t="shared" si="57"/>
        <v>0</v>
      </c>
    </row>
    <row r="1816" spans="1:26" x14ac:dyDescent="0.2">
      <c r="A1816" t="s">
        <v>454</v>
      </c>
      <c r="B1816" t="s">
        <v>455</v>
      </c>
      <c r="C1816" t="s">
        <v>54</v>
      </c>
      <c r="D1816" t="s">
        <v>55</v>
      </c>
      <c r="E1816" t="s">
        <v>56</v>
      </c>
      <c r="F1816">
        <v>0</v>
      </c>
      <c r="G1816">
        <v>0</v>
      </c>
      <c r="H1816">
        <v>4293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153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f>NHS_AE_2024_2025[[#This Row],[A&amp;E attendances Type 1]]+
NHS_AE_2024_2025[[#This Row],[A&amp;E attendances Type 2]]+
NHS_AE_2024_2025[[#This Row],[A&amp;E attendances Other A&amp;E Department]]</f>
        <v>4293</v>
      </c>
      <c r="Y1816">
        <f t="shared" si="56"/>
        <v>153</v>
      </c>
      <c r="Z1816">
        <f t="shared" si="57"/>
        <v>0</v>
      </c>
    </row>
    <row r="1817" spans="1:26" x14ac:dyDescent="0.2">
      <c r="A1817" t="s">
        <v>454</v>
      </c>
      <c r="B1817" t="s">
        <v>455</v>
      </c>
      <c r="C1817" t="s">
        <v>130</v>
      </c>
      <c r="D1817" t="s">
        <v>70</v>
      </c>
      <c r="E1817" t="s">
        <v>131</v>
      </c>
      <c r="F1817">
        <v>0</v>
      </c>
      <c r="G1817">
        <v>0</v>
      </c>
      <c r="H1817">
        <v>3372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f>NHS_AE_2024_2025[[#This Row],[A&amp;E attendances Type 1]]+
NHS_AE_2024_2025[[#This Row],[A&amp;E attendances Type 2]]+
NHS_AE_2024_2025[[#This Row],[A&amp;E attendances Other A&amp;E Department]]</f>
        <v>3372</v>
      </c>
      <c r="Y1817">
        <f t="shared" si="56"/>
        <v>0</v>
      </c>
      <c r="Z1817">
        <f t="shared" si="57"/>
        <v>0</v>
      </c>
    </row>
    <row r="1818" spans="1:26" x14ac:dyDescent="0.2">
      <c r="A1818" t="s">
        <v>454</v>
      </c>
      <c r="B1818" t="s">
        <v>455</v>
      </c>
      <c r="C1818" t="s">
        <v>67</v>
      </c>
      <c r="D1818" t="s">
        <v>29</v>
      </c>
      <c r="E1818" t="s">
        <v>68</v>
      </c>
      <c r="F1818">
        <v>0</v>
      </c>
      <c r="G1818">
        <v>0</v>
      </c>
      <c r="H1818">
        <v>1106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f>NHS_AE_2024_2025[[#This Row],[A&amp;E attendances Type 1]]+
NHS_AE_2024_2025[[#This Row],[A&amp;E attendances Type 2]]+
NHS_AE_2024_2025[[#This Row],[A&amp;E attendances Other A&amp;E Department]]</f>
        <v>1106</v>
      </c>
      <c r="Y1818">
        <f t="shared" si="56"/>
        <v>0</v>
      </c>
      <c r="Z1818">
        <f t="shared" si="57"/>
        <v>0</v>
      </c>
    </row>
    <row r="1819" spans="1:26" x14ac:dyDescent="0.2">
      <c r="A1819" t="s">
        <v>454</v>
      </c>
      <c r="B1819" t="s">
        <v>455</v>
      </c>
      <c r="C1819" t="s">
        <v>132</v>
      </c>
      <c r="D1819" t="s">
        <v>37</v>
      </c>
      <c r="E1819" t="s">
        <v>133</v>
      </c>
      <c r="F1819">
        <v>0</v>
      </c>
      <c r="G1819">
        <v>0</v>
      </c>
      <c r="H1819">
        <v>5911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f>NHS_AE_2024_2025[[#This Row],[A&amp;E attendances Type 1]]+
NHS_AE_2024_2025[[#This Row],[A&amp;E attendances Type 2]]+
NHS_AE_2024_2025[[#This Row],[A&amp;E attendances Other A&amp;E Department]]</f>
        <v>5911</v>
      </c>
      <c r="Y1819">
        <f t="shared" si="56"/>
        <v>0</v>
      </c>
      <c r="Z1819">
        <f t="shared" si="57"/>
        <v>0</v>
      </c>
    </row>
    <row r="1820" spans="1:26" x14ac:dyDescent="0.2">
      <c r="A1820" t="s">
        <v>454</v>
      </c>
      <c r="B1820" t="s">
        <v>455</v>
      </c>
      <c r="C1820" t="s">
        <v>278</v>
      </c>
      <c r="D1820" t="s">
        <v>32</v>
      </c>
      <c r="E1820" t="s">
        <v>279</v>
      </c>
      <c r="F1820">
        <v>0</v>
      </c>
      <c r="G1820">
        <v>0</v>
      </c>
      <c r="H1820">
        <v>282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f>NHS_AE_2024_2025[[#This Row],[A&amp;E attendances Type 1]]+
NHS_AE_2024_2025[[#This Row],[A&amp;E attendances Type 2]]+
NHS_AE_2024_2025[[#This Row],[A&amp;E attendances Other A&amp;E Department]]</f>
        <v>282</v>
      </c>
      <c r="Y1820">
        <f t="shared" si="56"/>
        <v>0</v>
      </c>
      <c r="Z1820">
        <f t="shared" si="57"/>
        <v>0</v>
      </c>
    </row>
    <row r="1821" spans="1:26" x14ac:dyDescent="0.2">
      <c r="A1821" t="s">
        <v>454</v>
      </c>
      <c r="B1821" t="s">
        <v>455</v>
      </c>
      <c r="C1821" t="s">
        <v>100</v>
      </c>
      <c r="D1821" t="s">
        <v>37</v>
      </c>
      <c r="E1821" t="s">
        <v>101</v>
      </c>
      <c r="F1821">
        <v>0</v>
      </c>
      <c r="G1821">
        <v>0</v>
      </c>
      <c r="H1821">
        <v>5160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172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f>NHS_AE_2024_2025[[#This Row],[A&amp;E attendances Type 1]]+
NHS_AE_2024_2025[[#This Row],[A&amp;E attendances Type 2]]+
NHS_AE_2024_2025[[#This Row],[A&amp;E attendances Other A&amp;E Department]]</f>
        <v>5160</v>
      </c>
      <c r="Y1821">
        <f t="shared" si="56"/>
        <v>172</v>
      </c>
      <c r="Z1821">
        <f t="shared" si="57"/>
        <v>0</v>
      </c>
    </row>
    <row r="1822" spans="1:26" x14ac:dyDescent="0.2">
      <c r="A1822" t="s">
        <v>454</v>
      </c>
      <c r="B1822" t="s">
        <v>455</v>
      </c>
      <c r="C1822" t="s">
        <v>226</v>
      </c>
      <c r="D1822" t="s">
        <v>37</v>
      </c>
      <c r="E1822" t="s">
        <v>227</v>
      </c>
      <c r="F1822">
        <v>7022</v>
      </c>
      <c r="G1822">
        <v>0</v>
      </c>
      <c r="H1822">
        <v>1388</v>
      </c>
      <c r="I1822">
        <v>830</v>
      </c>
      <c r="J1822">
        <v>0</v>
      </c>
      <c r="K1822">
        <v>8</v>
      </c>
      <c r="L1822">
        <v>1933</v>
      </c>
      <c r="M1822">
        <v>0</v>
      </c>
      <c r="N1822">
        <v>0</v>
      </c>
      <c r="O1822">
        <v>198</v>
      </c>
      <c r="P1822">
        <v>0</v>
      </c>
      <c r="Q1822">
        <v>0</v>
      </c>
      <c r="R1822">
        <v>182</v>
      </c>
      <c r="S1822">
        <v>3</v>
      </c>
      <c r="T1822">
        <v>2619</v>
      </c>
      <c r="U1822">
        <v>0</v>
      </c>
      <c r="V1822">
        <v>0</v>
      </c>
      <c r="W1822">
        <v>1098</v>
      </c>
      <c r="X1822">
        <f>NHS_AE_2024_2025[[#This Row],[A&amp;E attendances Type 1]]+
NHS_AE_2024_2025[[#This Row],[A&amp;E attendances Type 2]]+
NHS_AE_2024_2025[[#This Row],[A&amp;E attendances Other A&amp;E Department]]</f>
        <v>8410</v>
      </c>
      <c r="Y1822">
        <f t="shared" si="56"/>
        <v>1933</v>
      </c>
      <c r="Z1822">
        <f t="shared" si="57"/>
        <v>3717</v>
      </c>
    </row>
    <row r="1823" spans="1:26" x14ac:dyDescent="0.2">
      <c r="A1823" t="s">
        <v>454</v>
      </c>
      <c r="B1823" t="s">
        <v>455</v>
      </c>
      <c r="C1823" t="s">
        <v>84</v>
      </c>
      <c r="D1823" t="s">
        <v>50</v>
      </c>
      <c r="E1823" t="s">
        <v>85</v>
      </c>
      <c r="F1823">
        <v>9113</v>
      </c>
      <c r="G1823">
        <v>0</v>
      </c>
      <c r="H1823">
        <v>0</v>
      </c>
      <c r="I1823">
        <v>31</v>
      </c>
      <c r="J1823">
        <v>0</v>
      </c>
      <c r="K1823">
        <v>0</v>
      </c>
      <c r="L1823">
        <v>3569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470</v>
      </c>
      <c r="S1823">
        <v>0</v>
      </c>
      <c r="T1823">
        <v>2998</v>
      </c>
      <c r="U1823">
        <v>0</v>
      </c>
      <c r="V1823">
        <v>0</v>
      </c>
      <c r="W1823">
        <v>547</v>
      </c>
      <c r="X1823">
        <f>NHS_AE_2024_2025[[#This Row],[A&amp;E attendances Type 1]]+
NHS_AE_2024_2025[[#This Row],[A&amp;E attendances Type 2]]+
NHS_AE_2024_2025[[#This Row],[A&amp;E attendances Other A&amp;E Department]]</f>
        <v>9113</v>
      </c>
      <c r="Y1823">
        <f t="shared" si="56"/>
        <v>3569</v>
      </c>
      <c r="Z1823">
        <f t="shared" si="57"/>
        <v>3545</v>
      </c>
    </row>
    <row r="1824" spans="1:26" x14ac:dyDescent="0.2">
      <c r="A1824" t="s">
        <v>454</v>
      </c>
      <c r="B1824" t="s">
        <v>455</v>
      </c>
      <c r="C1824" t="s">
        <v>112</v>
      </c>
      <c r="D1824" t="s">
        <v>55</v>
      </c>
      <c r="E1824" t="s">
        <v>113</v>
      </c>
      <c r="F1824">
        <v>4281</v>
      </c>
      <c r="G1824">
        <v>0</v>
      </c>
      <c r="H1824">
        <v>0</v>
      </c>
      <c r="I1824">
        <v>72</v>
      </c>
      <c r="J1824">
        <v>0</v>
      </c>
      <c r="K1824">
        <v>44</v>
      </c>
      <c r="L1824">
        <v>2006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171</v>
      </c>
      <c r="S1824">
        <v>168</v>
      </c>
      <c r="T1824">
        <v>881</v>
      </c>
      <c r="U1824">
        <v>0</v>
      </c>
      <c r="V1824">
        <v>0</v>
      </c>
      <c r="W1824">
        <v>236</v>
      </c>
      <c r="X1824">
        <f>NHS_AE_2024_2025[[#This Row],[A&amp;E attendances Type 1]]+
NHS_AE_2024_2025[[#This Row],[A&amp;E attendances Type 2]]+
NHS_AE_2024_2025[[#This Row],[A&amp;E attendances Other A&amp;E Department]]</f>
        <v>4281</v>
      </c>
      <c r="Y1824">
        <f t="shared" si="56"/>
        <v>2006</v>
      </c>
      <c r="Z1824">
        <f t="shared" si="57"/>
        <v>1117</v>
      </c>
    </row>
    <row r="1825" spans="1:26" x14ac:dyDescent="0.2">
      <c r="A1825" t="s">
        <v>454</v>
      </c>
      <c r="B1825" t="s">
        <v>455</v>
      </c>
      <c r="C1825" t="s">
        <v>256</v>
      </c>
      <c r="D1825" t="s">
        <v>37</v>
      </c>
      <c r="E1825" t="s">
        <v>257</v>
      </c>
      <c r="F1825">
        <v>0</v>
      </c>
      <c r="G1825">
        <v>0</v>
      </c>
      <c r="H1825">
        <v>3746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339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f>NHS_AE_2024_2025[[#This Row],[A&amp;E attendances Type 1]]+
NHS_AE_2024_2025[[#This Row],[A&amp;E attendances Type 2]]+
NHS_AE_2024_2025[[#This Row],[A&amp;E attendances Other A&amp;E Department]]</f>
        <v>3746</v>
      </c>
      <c r="Y1825">
        <f t="shared" si="56"/>
        <v>339</v>
      </c>
      <c r="Z1825">
        <f t="shared" si="57"/>
        <v>0</v>
      </c>
    </row>
    <row r="1826" spans="1:26" x14ac:dyDescent="0.2">
      <c r="A1826" t="s">
        <v>454</v>
      </c>
      <c r="B1826" t="s">
        <v>455</v>
      </c>
      <c r="C1826" t="s">
        <v>164</v>
      </c>
      <c r="D1826" t="s">
        <v>37</v>
      </c>
      <c r="E1826" t="s">
        <v>165</v>
      </c>
      <c r="F1826">
        <v>11192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4397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659</v>
      </c>
      <c r="S1826">
        <v>549</v>
      </c>
      <c r="T1826">
        <v>3138</v>
      </c>
      <c r="U1826">
        <v>0</v>
      </c>
      <c r="V1826">
        <v>0</v>
      </c>
      <c r="W1826">
        <v>914</v>
      </c>
      <c r="X1826">
        <f>NHS_AE_2024_2025[[#This Row],[A&amp;E attendances Type 1]]+
NHS_AE_2024_2025[[#This Row],[A&amp;E attendances Type 2]]+
NHS_AE_2024_2025[[#This Row],[A&amp;E attendances Other A&amp;E Department]]</f>
        <v>11192</v>
      </c>
      <c r="Y1826">
        <f t="shared" si="56"/>
        <v>4397</v>
      </c>
      <c r="Z1826">
        <f t="shared" si="57"/>
        <v>4052</v>
      </c>
    </row>
    <row r="1827" spans="1:26" x14ac:dyDescent="0.2">
      <c r="A1827" t="s">
        <v>454</v>
      </c>
      <c r="B1827" t="s">
        <v>455</v>
      </c>
      <c r="C1827" t="s">
        <v>166</v>
      </c>
      <c r="D1827" t="s">
        <v>50</v>
      </c>
      <c r="E1827" t="s">
        <v>167</v>
      </c>
      <c r="F1827">
        <v>0</v>
      </c>
      <c r="G1827">
        <v>0</v>
      </c>
      <c r="H1827">
        <v>1013</v>
      </c>
      <c r="I1827">
        <v>0</v>
      </c>
      <c r="J1827">
        <v>0</v>
      </c>
      <c r="K1827">
        <v>30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f>NHS_AE_2024_2025[[#This Row],[A&amp;E attendances Type 1]]+
NHS_AE_2024_2025[[#This Row],[A&amp;E attendances Type 2]]+
NHS_AE_2024_2025[[#This Row],[A&amp;E attendances Other A&amp;E Department]]</f>
        <v>1013</v>
      </c>
      <c r="Y1827">
        <f t="shared" si="56"/>
        <v>1</v>
      </c>
      <c r="Z1827">
        <f t="shared" si="57"/>
        <v>0</v>
      </c>
    </row>
    <row r="1828" spans="1:26" x14ac:dyDescent="0.2">
      <c r="A1828" t="s">
        <v>454</v>
      </c>
      <c r="B1828" t="s">
        <v>455</v>
      </c>
      <c r="C1828" t="s">
        <v>274</v>
      </c>
      <c r="D1828" t="s">
        <v>32</v>
      </c>
      <c r="E1828" t="s">
        <v>275</v>
      </c>
      <c r="F1828">
        <v>0</v>
      </c>
      <c r="G1828">
        <v>0</v>
      </c>
      <c r="H1828">
        <v>7988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180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f>NHS_AE_2024_2025[[#This Row],[A&amp;E attendances Type 1]]+
NHS_AE_2024_2025[[#This Row],[A&amp;E attendances Type 2]]+
NHS_AE_2024_2025[[#This Row],[A&amp;E attendances Other A&amp;E Department]]</f>
        <v>7988</v>
      </c>
      <c r="Y1828">
        <f t="shared" si="56"/>
        <v>180</v>
      </c>
      <c r="Z1828">
        <f t="shared" si="57"/>
        <v>0</v>
      </c>
    </row>
    <row r="1829" spans="1:26" x14ac:dyDescent="0.2">
      <c r="A1829" t="s">
        <v>454</v>
      </c>
      <c r="B1829" t="s">
        <v>455</v>
      </c>
      <c r="C1829" t="s">
        <v>57</v>
      </c>
      <c r="D1829" t="s">
        <v>32</v>
      </c>
      <c r="E1829" t="s">
        <v>58</v>
      </c>
      <c r="F1829">
        <v>0</v>
      </c>
      <c r="G1829">
        <v>0</v>
      </c>
      <c r="H1829">
        <v>6119</v>
      </c>
      <c r="I1829">
        <v>0</v>
      </c>
      <c r="J1829">
        <v>0</v>
      </c>
      <c r="K1829">
        <v>1810</v>
      </c>
      <c r="L1829">
        <v>0</v>
      </c>
      <c r="M1829">
        <v>0</v>
      </c>
      <c r="N1829">
        <v>36</v>
      </c>
      <c r="O1829">
        <v>0</v>
      </c>
      <c r="P1829">
        <v>0</v>
      </c>
      <c r="Q1829">
        <v>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f>NHS_AE_2024_2025[[#This Row],[A&amp;E attendances Type 1]]+
NHS_AE_2024_2025[[#This Row],[A&amp;E attendances Type 2]]+
NHS_AE_2024_2025[[#This Row],[A&amp;E attendances Other A&amp;E Department]]</f>
        <v>6119</v>
      </c>
      <c r="Y1829">
        <f t="shared" si="56"/>
        <v>36</v>
      </c>
      <c r="Z1829">
        <f t="shared" si="57"/>
        <v>0</v>
      </c>
    </row>
    <row r="1830" spans="1:26" x14ac:dyDescent="0.2">
      <c r="A1830" t="s">
        <v>454</v>
      </c>
      <c r="B1830" t="s">
        <v>455</v>
      </c>
      <c r="C1830" t="s">
        <v>69</v>
      </c>
      <c r="D1830" t="s">
        <v>70</v>
      </c>
      <c r="E1830" t="s">
        <v>71</v>
      </c>
      <c r="F1830">
        <v>0</v>
      </c>
      <c r="G1830">
        <v>0</v>
      </c>
      <c r="H1830">
        <v>2106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43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f>NHS_AE_2024_2025[[#This Row],[A&amp;E attendances Type 1]]+
NHS_AE_2024_2025[[#This Row],[A&amp;E attendances Type 2]]+
NHS_AE_2024_2025[[#This Row],[A&amp;E attendances Other A&amp;E Department]]</f>
        <v>2106</v>
      </c>
      <c r="Y1830">
        <f t="shared" si="56"/>
        <v>43</v>
      </c>
      <c r="Z1830">
        <f t="shared" si="57"/>
        <v>0</v>
      </c>
    </row>
    <row r="1831" spans="1:26" x14ac:dyDescent="0.2">
      <c r="A1831" t="s">
        <v>454</v>
      </c>
      <c r="B1831" t="s">
        <v>455</v>
      </c>
      <c r="C1831" t="s">
        <v>110</v>
      </c>
      <c r="D1831" t="s">
        <v>37</v>
      </c>
      <c r="E1831" t="s">
        <v>111</v>
      </c>
      <c r="F1831">
        <v>0</v>
      </c>
      <c r="G1831">
        <v>0</v>
      </c>
      <c r="H1831">
        <v>1008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f>NHS_AE_2024_2025[[#This Row],[A&amp;E attendances Type 1]]+
NHS_AE_2024_2025[[#This Row],[A&amp;E attendances Type 2]]+
NHS_AE_2024_2025[[#This Row],[A&amp;E attendances Other A&amp;E Department]]</f>
        <v>1008</v>
      </c>
      <c r="Y1831">
        <f t="shared" si="56"/>
        <v>0</v>
      </c>
      <c r="Z1831">
        <f t="shared" si="57"/>
        <v>0</v>
      </c>
    </row>
    <row r="1832" spans="1:26" x14ac:dyDescent="0.2">
      <c r="A1832" t="s">
        <v>454</v>
      </c>
      <c r="B1832" t="s">
        <v>455</v>
      </c>
      <c r="C1832" t="s">
        <v>120</v>
      </c>
      <c r="D1832" t="s">
        <v>50</v>
      </c>
      <c r="E1832" t="s">
        <v>121</v>
      </c>
      <c r="F1832">
        <v>11925</v>
      </c>
      <c r="G1832">
        <v>1148</v>
      </c>
      <c r="H1832">
        <v>5849</v>
      </c>
      <c r="I1832">
        <v>586</v>
      </c>
      <c r="J1832">
        <v>0</v>
      </c>
      <c r="K1832">
        <v>1387</v>
      </c>
      <c r="L1832">
        <v>6023</v>
      </c>
      <c r="M1832">
        <v>20</v>
      </c>
      <c r="N1832">
        <v>324</v>
      </c>
      <c r="O1832">
        <v>274</v>
      </c>
      <c r="P1832">
        <v>0</v>
      </c>
      <c r="Q1832">
        <v>46</v>
      </c>
      <c r="R1832">
        <v>770</v>
      </c>
      <c r="S1832">
        <v>11</v>
      </c>
      <c r="T1832">
        <v>4470</v>
      </c>
      <c r="U1832">
        <v>16</v>
      </c>
      <c r="V1832">
        <v>0</v>
      </c>
      <c r="W1832">
        <v>1443</v>
      </c>
      <c r="X1832">
        <f>NHS_AE_2024_2025[[#This Row],[A&amp;E attendances Type 1]]+
NHS_AE_2024_2025[[#This Row],[A&amp;E attendances Type 2]]+
NHS_AE_2024_2025[[#This Row],[A&amp;E attendances Other A&amp;E Department]]</f>
        <v>18922</v>
      </c>
      <c r="Y1832">
        <f t="shared" si="56"/>
        <v>6367</v>
      </c>
      <c r="Z1832">
        <f t="shared" si="57"/>
        <v>5929</v>
      </c>
    </row>
    <row r="1833" spans="1:26" x14ac:dyDescent="0.2">
      <c r="A1833" t="s">
        <v>454</v>
      </c>
      <c r="B1833" t="s">
        <v>455</v>
      </c>
      <c r="C1833" t="s">
        <v>104</v>
      </c>
      <c r="D1833" t="s">
        <v>29</v>
      </c>
      <c r="E1833" t="s">
        <v>105</v>
      </c>
      <c r="F1833">
        <v>10909</v>
      </c>
      <c r="G1833">
        <v>0</v>
      </c>
      <c r="H1833">
        <v>0</v>
      </c>
      <c r="I1833">
        <v>6</v>
      </c>
      <c r="J1833">
        <v>0</v>
      </c>
      <c r="K1833">
        <v>0</v>
      </c>
      <c r="L1833">
        <v>2475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260</v>
      </c>
      <c r="S1833">
        <v>36</v>
      </c>
      <c r="T1833">
        <v>1823</v>
      </c>
      <c r="U1833">
        <v>0</v>
      </c>
      <c r="V1833">
        <v>0</v>
      </c>
      <c r="W1833">
        <v>318</v>
      </c>
      <c r="X1833">
        <f>NHS_AE_2024_2025[[#This Row],[A&amp;E attendances Type 1]]+
NHS_AE_2024_2025[[#This Row],[A&amp;E attendances Type 2]]+
NHS_AE_2024_2025[[#This Row],[A&amp;E attendances Other A&amp;E Department]]</f>
        <v>10909</v>
      </c>
      <c r="Y1833">
        <f t="shared" si="56"/>
        <v>2475</v>
      </c>
      <c r="Z1833">
        <f t="shared" si="57"/>
        <v>2141</v>
      </c>
    </row>
    <row r="1834" spans="1:26" x14ac:dyDescent="0.2">
      <c r="A1834" t="s">
        <v>454</v>
      </c>
      <c r="B1834" t="s">
        <v>455</v>
      </c>
      <c r="C1834" t="s">
        <v>88</v>
      </c>
      <c r="D1834" t="s">
        <v>29</v>
      </c>
      <c r="E1834" t="s">
        <v>89</v>
      </c>
      <c r="F1834">
        <v>13190</v>
      </c>
      <c r="G1834">
        <v>0</v>
      </c>
      <c r="H1834">
        <v>0</v>
      </c>
      <c r="I1834">
        <v>429</v>
      </c>
      <c r="J1834">
        <v>0</v>
      </c>
      <c r="K1834">
        <v>0</v>
      </c>
      <c r="L1834">
        <v>4164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436</v>
      </c>
      <c r="S1834">
        <v>208</v>
      </c>
      <c r="T1834">
        <v>1359</v>
      </c>
      <c r="U1834">
        <v>0</v>
      </c>
      <c r="V1834">
        <v>0</v>
      </c>
      <c r="W1834">
        <v>261</v>
      </c>
      <c r="X1834">
        <f>NHS_AE_2024_2025[[#This Row],[A&amp;E attendances Type 1]]+
NHS_AE_2024_2025[[#This Row],[A&amp;E attendances Type 2]]+
NHS_AE_2024_2025[[#This Row],[A&amp;E attendances Other A&amp;E Department]]</f>
        <v>13190</v>
      </c>
      <c r="Y1834">
        <f t="shared" si="56"/>
        <v>4164</v>
      </c>
      <c r="Z1834">
        <f t="shared" si="57"/>
        <v>1620</v>
      </c>
    </row>
    <row r="1835" spans="1:26" x14ac:dyDescent="0.2">
      <c r="A1835" t="s">
        <v>454</v>
      </c>
      <c r="B1835" t="s">
        <v>455</v>
      </c>
      <c r="C1835" t="s">
        <v>392</v>
      </c>
      <c r="D1835" t="s">
        <v>50</v>
      </c>
      <c r="E1835" t="s">
        <v>393</v>
      </c>
      <c r="F1835">
        <v>12663</v>
      </c>
      <c r="G1835">
        <v>1573</v>
      </c>
      <c r="H1835">
        <v>5335</v>
      </c>
      <c r="I1835">
        <v>0</v>
      </c>
      <c r="J1835">
        <v>0</v>
      </c>
      <c r="K1835">
        <v>992</v>
      </c>
      <c r="L1835">
        <v>5288</v>
      </c>
      <c r="M1835">
        <v>81</v>
      </c>
      <c r="N1835">
        <v>0</v>
      </c>
      <c r="O1835">
        <v>0</v>
      </c>
      <c r="P1835">
        <v>0</v>
      </c>
      <c r="Q1835">
        <v>0</v>
      </c>
      <c r="R1835">
        <v>685</v>
      </c>
      <c r="S1835">
        <v>32</v>
      </c>
      <c r="T1835">
        <v>3685</v>
      </c>
      <c r="U1835">
        <v>23</v>
      </c>
      <c r="V1835">
        <v>0</v>
      </c>
      <c r="W1835">
        <v>2771</v>
      </c>
      <c r="X1835">
        <f>NHS_AE_2024_2025[[#This Row],[A&amp;E attendances Type 1]]+
NHS_AE_2024_2025[[#This Row],[A&amp;E attendances Type 2]]+
NHS_AE_2024_2025[[#This Row],[A&amp;E attendances Other A&amp;E Department]]</f>
        <v>19571</v>
      </c>
      <c r="Y1835">
        <f t="shared" si="56"/>
        <v>5369</v>
      </c>
      <c r="Z1835">
        <f t="shared" si="57"/>
        <v>6479</v>
      </c>
    </row>
    <row r="1836" spans="1:26" x14ac:dyDescent="0.2">
      <c r="A1836" t="s">
        <v>454</v>
      </c>
      <c r="B1836" t="s">
        <v>455</v>
      </c>
      <c r="C1836" t="s">
        <v>354</v>
      </c>
      <c r="D1836" t="s">
        <v>50</v>
      </c>
      <c r="E1836" t="s">
        <v>355</v>
      </c>
      <c r="F1836">
        <v>13207</v>
      </c>
      <c r="G1836">
        <v>0</v>
      </c>
      <c r="H1836">
        <v>4126</v>
      </c>
      <c r="I1836">
        <v>0</v>
      </c>
      <c r="J1836">
        <v>0</v>
      </c>
      <c r="K1836">
        <v>7217</v>
      </c>
      <c r="L1836">
        <v>5892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2087</v>
      </c>
      <c r="S1836">
        <v>13</v>
      </c>
      <c r="T1836">
        <v>4389</v>
      </c>
      <c r="U1836">
        <v>0</v>
      </c>
      <c r="V1836">
        <v>0</v>
      </c>
      <c r="W1836">
        <v>727</v>
      </c>
      <c r="X1836">
        <f>NHS_AE_2024_2025[[#This Row],[A&amp;E attendances Type 1]]+
NHS_AE_2024_2025[[#This Row],[A&amp;E attendances Type 2]]+
NHS_AE_2024_2025[[#This Row],[A&amp;E attendances Other A&amp;E Department]]</f>
        <v>17333</v>
      </c>
      <c r="Y1836">
        <f t="shared" si="56"/>
        <v>5892</v>
      </c>
      <c r="Z1836">
        <f t="shared" si="57"/>
        <v>5116</v>
      </c>
    </row>
    <row r="1837" spans="1:26" x14ac:dyDescent="0.2">
      <c r="A1837" t="s">
        <v>454</v>
      </c>
      <c r="B1837" t="s">
        <v>455</v>
      </c>
      <c r="C1837" t="s">
        <v>106</v>
      </c>
      <c r="D1837" t="s">
        <v>37</v>
      </c>
      <c r="E1837" t="s">
        <v>107</v>
      </c>
      <c r="F1837">
        <v>0</v>
      </c>
      <c r="G1837">
        <v>0</v>
      </c>
      <c r="H1837">
        <v>1925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16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f>NHS_AE_2024_2025[[#This Row],[A&amp;E attendances Type 1]]+
NHS_AE_2024_2025[[#This Row],[A&amp;E attendances Type 2]]+
NHS_AE_2024_2025[[#This Row],[A&amp;E attendances Other A&amp;E Department]]</f>
        <v>1925</v>
      </c>
      <c r="Y1837">
        <f t="shared" si="56"/>
        <v>16</v>
      </c>
      <c r="Z1837">
        <f t="shared" si="57"/>
        <v>0</v>
      </c>
    </row>
    <row r="1838" spans="1:26" x14ac:dyDescent="0.2">
      <c r="A1838" t="s">
        <v>454</v>
      </c>
      <c r="B1838" t="s">
        <v>455</v>
      </c>
      <c r="C1838" t="s">
        <v>232</v>
      </c>
      <c r="D1838" t="s">
        <v>29</v>
      </c>
      <c r="E1838" t="s">
        <v>435</v>
      </c>
      <c r="F1838">
        <v>7341</v>
      </c>
      <c r="G1838">
        <v>0</v>
      </c>
      <c r="H1838">
        <v>8383</v>
      </c>
      <c r="I1838">
        <v>0</v>
      </c>
      <c r="J1838">
        <v>0</v>
      </c>
      <c r="K1838">
        <v>0</v>
      </c>
      <c r="L1838">
        <v>3754</v>
      </c>
      <c r="M1838">
        <v>0</v>
      </c>
      <c r="N1838">
        <v>362</v>
      </c>
      <c r="O1838">
        <v>0</v>
      </c>
      <c r="P1838">
        <v>0</v>
      </c>
      <c r="Q1838">
        <v>0</v>
      </c>
      <c r="R1838">
        <v>254</v>
      </c>
      <c r="S1838">
        <v>451</v>
      </c>
      <c r="T1838">
        <v>2363</v>
      </c>
      <c r="U1838">
        <v>0</v>
      </c>
      <c r="V1838">
        <v>194</v>
      </c>
      <c r="W1838">
        <v>295</v>
      </c>
      <c r="X1838">
        <f>NHS_AE_2024_2025[[#This Row],[A&amp;E attendances Type 1]]+
NHS_AE_2024_2025[[#This Row],[A&amp;E attendances Type 2]]+
NHS_AE_2024_2025[[#This Row],[A&amp;E attendances Other A&amp;E Department]]</f>
        <v>15724</v>
      </c>
      <c r="Y1838">
        <f t="shared" si="56"/>
        <v>4116</v>
      </c>
      <c r="Z1838">
        <f t="shared" si="57"/>
        <v>2852</v>
      </c>
    </row>
    <row r="1839" spans="1:26" x14ac:dyDescent="0.2">
      <c r="A1839" t="s">
        <v>454</v>
      </c>
      <c r="B1839" t="s">
        <v>455</v>
      </c>
      <c r="C1839" t="s">
        <v>234</v>
      </c>
      <c r="D1839" t="s">
        <v>26</v>
      </c>
      <c r="E1839" t="s">
        <v>235</v>
      </c>
      <c r="F1839">
        <v>4036</v>
      </c>
      <c r="G1839">
        <v>0</v>
      </c>
      <c r="H1839">
        <v>0</v>
      </c>
      <c r="I1839">
        <v>316</v>
      </c>
      <c r="J1839">
        <v>0</v>
      </c>
      <c r="K1839">
        <v>3806</v>
      </c>
      <c r="L1839">
        <v>1602</v>
      </c>
      <c r="M1839">
        <v>0</v>
      </c>
      <c r="N1839">
        <v>0</v>
      </c>
      <c r="O1839">
        <v>94</v>
      </c>
      <c r="P1839">
        <v>0</v>
      </c>
      <c r="Q1839">
        <v>7</v>
      </c>
      <c r="R1839">
        <v>196</v>
      </c>
      <c r="S1839">
        <v>44</v>
      </c>
      <c r="T1839">
        <v>1771</v>
      </c>
      <c r="U1839">
        <v>0</v>
      </c>
      <c r="V1839">
        <v>0</v>
      </c>
      <c r="W1839">
        <v>524</v>
      </c>
      <c r="X1839">
        <f>NHS_AE_2024_2025[[#This Row],[A&amp;E attendances Type 1]]+
NHS_AE_2024_2025[[#This Row],[A&amp;E attendances Type 2]]+
NHS_AE_2024_2025[[#This Row],[A&amp;E attendances Other A&amp;E Department]]</f>
        <v>4036</v>
      </c>
      <c r="Y1839">
        <f t="shared" si="56"/>
        <v>1602</v>
      </c>
      <c r="Z1839">
        <f t="shared" si="57"/>
        <v>2295</v>
      </c>
    </row>
    <row r="1840" spans="1:26" x14ac:dyDescent="0.2">
      <c r="A1840" t="s">
        <v>454</v>
      </c>
      <c r="B1840" t="s">
        <v>455</v>
      </c>
      <c r="C1840" t="s">
        <v>86</v>
      </c>
      <c r="D1840" t="s">
        <v>37</v>
      </c>
      <c r="E1840" t="s">
        <v>87</v>
      </c>
      <c r="F1840">
        <v>0</v>
      </c>
      <c r="G1840">
        <v>0</v>
      </c>
      <c r="H1840">
        <v>1350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2</v>
      </c>
      <c r="W1840">
        <v>468</v>
      </c>
      <c r="X1840">
        <f>NHS_AE_2024_2025[[#This Row],[A&amp;E attendances Type 1]]+
NHS_AE_2024_2025[[#This Row],[A&amp;E attendances Type 2]]+
NHS_AE_2024_2025[[#This Row],[A&amp;E attendances Other A&amp;E Department]]</f>
        <v>1350</v>
      </c>
      <c r="Y1840">
        <f t="shared" si="56"/>
        <v>12</v>
      </c>
      <c r="Z1840">
        <f t="shared" si="57"/>
        <v>470</v>
      </c>
    </row>
    <row r="1841" spans="1:26" x14ac:dyDescent="0.2">
      <c r="A1841" t="s">
        <v>454</v>
      </c>
      <c r="B1841" t="s">
        <v>455</v>
      </c>
      <c r="C1841" t="s">
        <v>262</v>
      </c>
      <c r="D1841" t="s">
        <v>26</v>
      </c>
      <c r="E1841" t="s">
        <v>263</v>
      </c>
      <c r="F1841">
        <v>0</v>
      </c>
      <c r="G1841">
        <v>0</v>
      </c>
      <c r="H1841">
        <v>7118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62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14</v>
      </c>
      <c r="X1841">
        <f>NHS_AE_2024_2025[[#This Row],[A&amp;E attendances Type 1]]+
NHS_AE_2024_2025[[#This Row],[A&amp;E attendances Type 2]]+
NHS_AE_2024_2025[[#This Row],[A&amp;E attendances Other A&amp;E Department]]</f>
        <v>7118</v>
      </c>
      <c r="Y1841">
        <f t="shared" si="56"/>
        <v>62</v>
      </c>
      <c r="Z1841">
        <f t="shared" si="57"/>
        <v>14</v>
      </c>
    </row>
    <row r="1842" spans="1:26" x14ac:dyDescent="0.2">
      <c r="A1842" t="s">
        <v>454</v>
      </c>
      <c r="B1842" t="s">
        <v>455</v>
      </c>
      <c r="C1842" t="s">
        <v>348</v>
      </c>
      <c r="D1842" t="s">
        <v>55</v>
      </c>
      <c r="E1842" t="s">
        <v>349</v>
      </c>
      <c r="F1842">
        <v>7857</v>
      </c>
      <c r="G1842">
        <v>0</v>
      </c>
      <c r="H1842">
        <v>1079</v>
      </c>
      <c r="I1842">
        <v>277</v>
      </c>
      <c r="J1842">
        <v>0</v>
      </c>
      <c r="K1842">
        <v>69</v>
      </c>
      <c r="L1842">
        <v>3311</v>
      </c>
      <c r="M1842">
        <v>0</v>
      </c>
      <c r="N1842">
        <v>38</v>
      </c>
      <c r="O1842">
        <v>115</v>
      </c>
      <c r="P1842">
        <v>0</v>
      </c>
      <c r="Q1842">
        <v>1</v>
      </c>
      <c r="R1842">
        <v>712</v>
      </c>
      <c r="S1842">
        <v>397</v>
      </c>
      <c r="T1842">
        <v>2798</v>
      </c>
      <c r="U1842">
        <v>0</v>
      </c>
      <c r="V1842">
        <v>78</v>
      </c>
      <c r="W1842">
        <v>863</v>
      </c>
      <c r="X1842">
        <f>NHS_AE_2024_2025[[#This Row],[A&amp;E attendances Type 1]]+
NHS_AE_2024_2025[[#This Row],[A&amp;E attendances Type 2]]+
NHS_AE_2024_2025[[#This Row],[A&amp;E attendances Other A&amp;E Department]]</f>
        <v>8936</v>
      </c>
      <c r="Y1842">
        <f t="shared" si="56"/>
        <v>3349</v>
      </c>
      <c r="Z1842">
        <f t="shared" si="57"/>
        <v>3739</v>
      </c>
    </row>
    <row r="1843" spans="1:26" x14ac:dyDescent="0.2">
      <c r="A1843" t="s">
        <v>454</v>
      </c>
      <c r="B1843" t="s">
        <v>455</v>
      </c>
      <c r="C1843" t="s">
        <v>378</v>
      </c>
      <c r="D1843" t="s">
        <v>37</v>
      </c>
      <c r="E1843" t="s">
        <v>379</v>
      </c>
      <c r="F1843">
        <v>0</v>
      </c>
      <c r="G1843">
        <v>0</v>
      </c>
      <c r="H1843">
        <v>1313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7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33</v>
      </c>
      <c r="W1843">
        <v>0</v>
      </c>
      <c r="X1843">
        <f>NHS_AE_2024_2025[[#This Row],[A&amp;E attendances Type 1]]+
NHS_AE_2024_2025[[#This Row],[A&amp;E attendances Type 2]]+
NHS_AE_2024_2025[[#This Row],[A&amp;E attendances Other A&amp;E Department]]</f>
        <v>1313</v>
      </c>
      <c r="Y1843">
        <f t="shared" si="56"/>
        <v>7</v>
      </c>
      <c r="Z1843">
        <f t="shared" si="57"/>
        <v>33</v>
      </c>
    </row>
    <row r="1844" spans="1:26" x14ac:dyDescent="0.2">
      <c r="A1844" t="s">
        <v>454</v>
      </c>
      <c r="B1844" t="s">
        <v>455</v>
      </c>
      <c r="C1844" t="s">
        <v>276</v>
      </c>
      <c r="D1844" t="s">
        <v>37</v>
      </c>
      <c r="E1844" t="s">
        <v>277</v>
      </c>
      <c r="F1844">
        <v>22593</v>
      </c>
      <c r="G1844">
        <v>1372</v>
      </c>
      <c r="H1844">
        <v>5366</v>
      </c>
      <c r="I1844">
        <v>1319</v>
      </c>
      <c r="J1844">
        <v>0</v>
      </c>
      <c r="K1844">
        <v>1143</v>
      </c>
      <c r="L1844">
        <v>10126</v>
      </c>
      <c r="M1844">
        <v>52</v>
      </c>
      <c r="N1844">
        <v>564</v>
      </c>
      <c r="O1844">
        <v>464</v>
      </c>
      <c r="P1844">
        <v>0</v>
      </c>
      <c r="Q1844">
        <v>32</v>
      </c>
      <c r="R1844">
        <v>764</v>
      </c>
      <c r="S1844">
        <v>908</v>
      </c>
      <c r="T1844">
        <v>8644</v>
      </c>
      <c r="U1844">
        <v>30</v>
      </c>
      <c r="V1844">
        <v>49</v>
      </c>
      <c r="W1844">
        <v>1416</v>
      </c>
      <c r="X1844">
        <f>NHS_AE_2024_2025[[#This Row],[A&amp;E attendances Type 1]]+
NHS_AE_2024_2025[[#This Row],[A&amp;E attendances Type 2]]+
NHS_AE_2024_2025[[#This Row],[A&amp;E attendances Other A&amp;E Department]]</f>
        <v>29331</v>
      </c>
      <c r="Y1844">
        <f t="shared" si="56"/>
        <v>10742</v>
      </c>
      <c r="Z1844">
        <f t="shared" si="57"/>
        <v>10139</v>
      </c>
    </row>
    <row r="1845" spans="1:26" x14ac:dyDescent="0.2">
      <c r="A1845" t="s">
        <v>454</v>
      </c>
      <c r="B1845" t="s">
        <v>455</v>
      </c>
      <c r="C1845" t="s">
        <v>128</v>
      </c>
      <c r="D1845" t="s">
        <v>37</v>
      </c>
      <c r="E1845" t="s">
        <v>129</v>
      </c>
      <c r="F1845">
        <v>0</v>
      </c>
      <c r="G1845">
        <v>0</v>
      </c>
      <c r="H1845">
        <v>9426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f>NHS_AE_2024_2025[[#This Row],[A&amp;E attendances Type 1]]+
NHS_AE_2024_2025[[#This Row],[A&amp;E attendances Type 2]]+
NHS_AE_2024_2025[[#This Row],[A&amp;E attendances Other A&amp;E Department]]</f>
        <v>9426</v>
      </c>
      <c r="Y1845">
        <f t="shared" si="56"/>
        <v>20</v>
      </c>
      <c r="Z1845">
        <f t="shared" si="57"/>
        <v>0</v>
      </c>
    </row>
    <row r="1846" spans="1:26" x14ac:dyDescent="0.2">
      <c r="A1846" t="s">
        <v>454</v>
      </c>
      <c r="B1846" t="s">
        <v>455</v>
      </c>
      <c r="C1846" t="s">
        <v>90</v>
      </c>
      <c r="D1846" t="s">
        <v>29</v>
      </c>
      <c r="E1846" t="s">
        <v>91</v>
      </c>
      <c r="F1846">
        <v>0</v>
      </c>
      <c r="G1846">
        <v>0</v>
      </c>
      <c r="H1846">
        <v>7837</v>
      </c>
      <c r="I1846">
        <v>0</v>
      </c>
      <c r="J1846">
        <v>0</v>
      </c>
      <c r="K1846">
        <v>607</v>
      </c>
      <c r="L1846">
        <v>0</v>
      </c>
      <c r="M1846">
        <v>0</v>
      </c>
      <c r="N1846">
        <v>252</v>
      </c>
      <c r="O1846">
        <v>0</v>
      </c>
      <c r="P1846">
        <v>0</v>
      </c>
      <c r="Q1846">
        <v>7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f>NHS_AE_2024_2025[[#This Row],[A&amp;E attendances Type 1]]+
NHS_AE_2024_2025[[#This Row],[A&amp;E attendances Type 2]]+
NHS_AE_2024_2025[[#This Row],[A&amp;E attendances Other A&amp;E Department]]</f>
        <v>7837</v>
      </c>
      <c r="Y1846">
        <f t="shared" si="56"/>
        <v>252</v>
      </c>
      <c r="Z1846">
        <f t="shared" si="57"/>
        <v>0</v>
      </c>
    </row>
    <row r="1847" spans="1:26" x14ac:dyDescent="0.2">
      <c r="A1847" t="s">
        <v>454</v>
      </c>
      <c r="B1847" t="s">
        <v>455</v>
      </c>
      <c r="C1847" t="s">
        <v>96</v>
      </c>
      <c r="D1847" t="s">
        <v>29</v>
      </c>
      <c r="E1847" t="s">
        <v>97</v>
      </c>
      <c r="F1847">
        <v>0</v>
      </c>
      <c r="G1847">
        <v>0</v>
      </c>
      <c r="H1847">
        <v>2882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20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f>NHS_AE_2024_2025[[#This Row],[A&amp;E attendances Type 1]]+
NHS_AE_2024_2025[[#This Row],[A&amp;E attendances Type 2]]+
NHS_AE_2024_2025[[#This Row],[A&amp;E attendances Other A&amp;E Department]]</f>
        <v>2882</v>
      </c>
      <c r="Y1847">
        <f t="shared" si="56"/>
        <v>20</v>
      </c>
      <c r="Z1847">
        <f t="shared" si="57"/>
        <v>0</v>
      </c>
    </row>
    <row r="1848" spans="1:26" x14ac:dyDescent="0.2">
      <c r="A1848" t="s">
        <v>454</v>
      </c>
      <c r="B1848" t="s">
        <v>455</v>
      </c>
      <c r="C1848" t="s">
        <v>98</v>
      </c>
      <c r="D1848" t="s">
        <v>29</v>
      </c>
      <c r="E1848" t="s">
        <v>99</v>
      </c>
      <c r="F1848">
        <v>0</v>
      </c>
      <c r="G1848">
        <v>0</v>
      </c>
      <c r="H1848">
        <v>2902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9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f>NHS_AE_2024_2025[[#This Row],[A&amp;E attendances Type 1]]+
NHS_AE_2024_2025[[#This Row],[A&amp;E attendances Type 2]]+
NHS_AE_2024_2025[[#This Row],[A&amp;E attendances Other A&amp;E Department]]</f>
        <v>2902</v>
      </c>
      <c r="Y1848">
        <f t="shared" si="56"/>
        <v>9</v>
      </c>
      <c r="Z1848">
        <f t="shared" si="57"/>
        <v>0</v>
      </c>
    </row>
    <row r="1849" spans="1:26" x14ac:dyDescent="0.2">
      <c r="A1849" t="s">
        <v>454</v>
      </c>
      <c r="B1849" t="s">
        <v>455</v>
      </c>
      <c r="C1849" t="s">
        <v>422</v>
      </c>
      <c r="D1849" t="s">
        <v>26</v>
      </c>
      <c r="E1849" t="s">
        <v>423</v>
      </c>
      <c r="F1849">
        <v>0</v>
      </c>
      <c r="G1849">
        <v>0</v>
      </c>
      <c r="H1849">
        <v>7982</v>
      </c>
      <c r="I1849">
        <v>0</v>
      </c>
      <c r="J1849">
        <v>0</v>
      </c>
      <c r="K1849">
        <v>278</v>
      </c>
      <c r="L1849">
        <v>0</v>
      </c>
      <c r="M1849">
        <v>0</v>
      </c>
      <c r="N1849">
        <v>447</v>
      </c>
      <c r="O1849">
        <v>0</v>
      </c>
      <c r="P1849">
        <v>0</v>
      </c>
      <c r="Q1849">
        <v>39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f>NHS_AE_2024_2025[[#This Row],[A&amp;E attendances Type 1]]+
NHS_AE_2024_2025[[#This Row],[A&amp;E attendances Type 2]]+
NHS_AE_2024_2025[[#This Row],[A&amp;E attendances Other A&amp;E Department]]</f>
        <v>7982</v>
      </c>
      <c r="Y1849">
        <f t="shared" si="56"/>
        <v>447</v>
      </c>
      <c r="Z1849">
        <f t="shared" si="57"/>
        <v>0</v>
      </c>
    </row>
    <row r="1850" spans="1:26" x14ac:dyDescent="0.2">
      <c r="A1850" t="s">
        <v>454</v>
      </c>
      <c r="B1850" t="s">
        <v>455</v>
      </c>
      <c r="C1850" t="s">
        <v>76</v>
      </c>
      <c r="D1850" t="s">
        <v>37</v>
      </c>
      <c r="E1850" t="s">
        <v>77</v>
      </c>
      <c r="F1850">
        <v>0</v>
      </c>
      <c r="G1850">
        <v>0</v>
      </c>
      <c r="H1850">
        <v>5647</v>
      </c>
      <c r="I1850">
        <v>0</v>
      </c>
      <c r="J1850">
        <v>0</v>
      </c>
      <c r="K1850">
        <v>203</v>
      </c>
      <c r="L1850">
        <v>0</v>
      </c>
      <c r="M1850">
        <v>0</v>
      </c>
      <c r="N1850">
        <v>222</v>
      </c>
      <c r="O1850">
        <v>0</v>
      </c>
      <c r="P1850">
        <v>0</v>
      </c>
      <c r="Q1850">
        <v>2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f>NHS_AE_2024_2025[[#This Row],[A&amp;E attendances Type 1]]+
NHS_AE_2024_2025[[#This Row],[A&amp;E attendances Type 2]]+
NHS_AE_2024_2025[[#This Row],[A&amp;E attendances Other A&amp;E Department]]</f>
        <v>5647</v>
      </c>
      <c r="Y1850">
        <f t="shared" si="56"/>
        <v>222</v>
      </c>
      <c r="Z1850">
        <f t="shared" si="57"/>
        <v>0</v>
      </c>
    </row>
    <row r="1851" spans="1:26" x14ac:dyDescent="0.2">
      <c r="A1851" t="s">
        <v>454</v>
      </c>
      <c r="B1851" t="s">
        <v>455</v>
      </c>
      <c r="C1851" t="s">
        <v>184</v>
      </c>
      <c r="D1851" t="s">
        <v>55</v>
      </c>
      <c r="E1851" t="s">
        <v>185</v>
      </c>
      <c r="F1851">
        <v>0</v>
      </c>
      <c r="G1851">
        <v>0</v>
      </c>
      <c r="H1851">
        <v>899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f>NHS_AE_2024_2025[[#This Row],[A&amp;E attendances Type 1]]+
NHS_AE_2024_2025[[#This Row],[A&amp;E attendances Type 2]]+
NHS_AE_2024_2025[[#This Row],[A&amp;E attendances Other A&amp;E Department]]</f>
        <v>899</v>
      </c>
      <c r="Y1851">
        <f t="shared" si="56"/>
        <v>0</v>
      </c>
      <c r="Z1851">
        <f t="shared" si="57"/>
        <v>0</v>
      </c>
    </row>
    <row r="1852" spans="1:26" x14ac:dyDescent="0.2">
      <c r="A1852" t="s">
        <v>454</v>
      </c>
      <c r="B1852" t="s">
        <v>455</v>
      </c>
      <c r="C1852" t="s">
        <v>186</v>
      </c>
      <c r="D1852" t="s">
        <v>26</v>
      </c>
      <c r="E1852" t="s">
        <v>187</v>
      </c>
      <c r="F1852">
        <v>13107</v>
      </c>
      <c r="G1852">
        <v>0</v>
      </c>
      <c r="H1852">
        <v>4597</v>
      </c>
      <c r="I1852">
        <v>0</v>
      </c>
      <c r="J1852">
        <v>0</v>
      </c>
      <c r="K1852">
        <v>0</v>
      </c>
      <c r="L1852">
        <v>5292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752</v>
      </c>
      <c r="S1852">
        <v>120</v>
      </c>
      <c r="T1852">
        <v>4285</v>
      </c>
      <c r="U1852">
        <v>4</v>
      </c>
      <c r="V1852">
        <v>0</v>
      </c>
      <c r="W1852">
        <v>2534</v>
      </c>
      <c r="X1852">
        <f>NHS_AE_2024_2025[[#This Row],[A&amp;E attendances Type 1]]+
NHS_AE_2024_2025[[#This Row],[A&amp;E attendances Type 2]]+
NHS_AE_2024_2025[[#This Row],[A&amp;E attendances Other A&amp;E Department]]</f>
        <v>17704</v>
      </c>
      <c r="Y1852">
        <f t="shared" si="56"/>
        <v>5292</v>
      </c>
      <c r="Z1852">
        <f t="shared" si="57"/>
        <v>6823</v>
      </c>
    </row>
    <row r="1853" spans="1:26" x14ac:dyDescent="0.2">
      <c r="A1853" t="s">
        <v>454</v>
      </c>
      <c r="B1853" t="s">
        <v>455</v>
      </c>
      <c r="C1853" t="s">
        <v>286</v>
      </c>
      <c r="D1853" t="s">
        <v>37</v>
      </c>
      <c r="E1853" t="s">
        <v>287</v>
      </c>
      <c r="F1853">
        <v>4191</v>
      </c>
      <c r="G1853">
        <v>261</v>
      </c>
      <c r="H1853">
        <v>1375</v>
      </c>
      <c r="I1853">
        <v>14</v>
      </c>
      <c r="J1853">
        <v>0</v>
      </c>
      <c r="K1853">
        <v>20</v>
      </c>
      <c r="L1853">
        <v>1575</v>
      </c>
      <c r="M1853">
        <v>0</v>
      </c>
      <c r="N1853">
        <v>0</v>
      </c>
      <c r="O1853">
        <v>5</v>
      </c>
      <c r="P1853">
        <v>0</v>
      </c>
      <c r="Q1853">
        <v>0</v>
      </c>
      <c r="R1853">
        <v>144</v>
      </c>
      <c r="S1853">
        <v>45</v>
      </c>
      <c r="T1853">
        <v>1094</v>
      </c>
      <c r="U1853">
        <v>0</v>
      </c>
      <c r="V1853">
        <v>0</v>
      </c>
      <c r="W1853">
        <v>304</v>
      </c>
      <c r="X1853">
        <f>NHS_AE_2024_2025[[#This Row],[A&amp;E attendances Type 1]]+
NHS_AE_2024_2025[[#This Row],[A&amp;E attendances Type 2]]+
NHS_AE_2024_2025[[#This Row],[A&amp;E attendances Other A&amp;E Department]]</f>
        <v>5827</v>
      </c>
      <c r="Y1853">
        <f t="shared" si="56"/>
        <v>1575</v>
      </c>
      <c r="Z1853">
        <f t="shared" si="57"/>
        <v>1398</v>
      </c>
    </row>
    <row r="1854" spans="1:26" x14ac:dyDescent="0.2">
      <c r="A1854" t="s">
        <v>454</v>
      </c>
      <c r="B1854" t="s">
        <v>455</v>
      </c>
      <c r="C1854" t="s">
        <v>188</v>
      </c>
      <c r="D1854" t="s">
        <v>26</v>
      </c>
      <c r="E1854" t="s">
        <v>189</v>
      </c>
      <c r="F1854">
        <v>16427</v>
      </c>
      <c r="G1854">
        <v>2334</v>
      </c>
      <c r="H1854">
        <v>0</v>
      </c>
      <c r="I1854">
        <v>0</v>
      </c>
      <c r="J1854">
        <v>0</v>
      </c>
      <c r="K1854">
        <v>0</v>
      </c>
      <c r="L1854">
        <v>6438</v>
      </c>
      <c r="M1854">
        <v>161</v>
      </c>
      <c r="N1854">
        <v>0</v>
      </c>
      <c r="O1854">
        <v>0</v>
      </c>
      <c r="P1854">
        <v>0</v>
      </c>
      <c r="Q1854">
        <v>0</v>
      </c>
      <c r="R1854">
        <v>1332</v>
      </c>
      <c r="S1854">
        <v>530</v>
      </c>
      <c r="T1854">
        <v>5439</v>
      </c>
      <c r="U1854">
        <v>14</v>
      </c>
      <c r="V1854">
        <v>0</v>
      </c>
      <c r="W1854">
        <v>1506</v>
      </c>
      <c r="X1854">
        <f>NHS_AE_2024_2025[[#This Row],[A&amp;E attendances Type 1]]+
NHS_AE_2024_2025[[#This Row],[A&amp;E attendances Type 2]]+
NHS_AE_2024_2025[[#This Row],[A&amp;E attendances Other A&amp;E Department]]</f>
        <v>18761</v>
      </c>
      <c r="Y1854">
        <f t="shared" si="56"/>
        <v>6599</v>
      </c>
      <c r="Z1854">
        <f t="shared" si="57"/>
        <v>6959</v>
      </c>
    </row>
    <row r="1855" spans="1:26" x14ac:dyDescent="0.2">
      <c r="A1855" t="s">
        <v>454</v>
      </c>
      <c r="B1855" t="s">
        <v>455</v>
      </c>
      <c r="C1855" t="s">
        <v>82</v>
      </c>
      <c r="D1855" t="s">
        <v>55</v>
      </c>
      <c r="E1855" t="s">
        <v>83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181</v>
      </c>
      <c r="X1855">
        <f>NHS_AE_2024_2025[[#This Row],[A&amp;E attendances Type 1]]+
NHS_AE_2024_2025[[#This Row],[A&amp;E attendances Type 2]]+
NHS_AE_2024_2025[[#This Row],[A&amp;E attendances Other A&amp;E Department]]</f>
        <v>0</v>
      </c>
      <c r="Y1855">
        <f t="shared" si="56"/>
        <v>0</v>
      </c>
      <c r="Z1855">
        <f t="shared" si="57"/>
        <v>181</v>
      </c>
    </row>
    <row r="1856" spans="1:26" x14ac:dyDescent="0.2">
      <c r="A1856" t="s">
        <v>454</v>
      </c>
      <c r="B1856" t="s">
        <v>455</v>
      </c>
      <c r="C1856" t="s">
        <v>152</v>
      </c>
      <c r="D1856" t="s">
        <v>26</v>
      </c>
      <c r="E1856" t="s">
        <v>153</v>
      </c>
      <c r="F1856">
        <v>5764</v>
      </c>
      <c r="G1856">
        <v>0</v>
      </c>
      <c r="H1856">
        <v>10707</v>
      </c>
      <c r="I1856">
        <v>0</v>
      </c>
      <c r="J1856">
        <v>0</v>
      </c>
      <c r="K1856">
        <v>0</v>
      </c>
      <c r="L1856">
        <v>3047</v>
      </c>
      <c r="M1856">
        <v>0</v>
      </c>
      <c r="N1856">
        <v>665</v>
      </c>
      <c r="O1856">
        <v>0</v>
      </c>
      <c r="P1856">
        <v>0</v>
      </c>
      <c r="Q1856">
        <v>0</v>
      </c>
      <c r="R1856">
        <v>579</v>
      </c>
      <c r="S1856">
        <v>607</v>
      </c>
      <c r="T1856">
        <v>2314</v>
      </c>
      <c r="U1856">
        <v>0</v>
      </c>
      <c r="V1856">
        <v>92</v>
      </c>
      <c r="W1856">
        <v>1310</v>
      </c>
      <c r="X1856">
        <f>NHS_AE_2024_2025[[#This Row],[A&amp;E attendances Type 1]]+
NHS_AE_2024_2025[[#This Row],[A&amp;E attendances Type 2]]+
NHS_AE_2024_2025[[#This Row],[A&amp;E attendances Other A&amp;E Department]]</f>
        <v>16471</v>
      </c>
      <c r="Y1856">
        <f t="shared" si="56"/>
        <v>3712</v>
      </c>
      <c r="Z1856">
        <f t="shared" si="57"/>
        <v>3716</v>
      </c>
    </row>
    <row r="1857" spans="1:26" x14ac:dyDescent="0.2">
      <c r="A1857" t="s">
        <v>454</v>
      </c>
      <c r="B1857" t="s">
        <v>455</v>
      </c>
      <c r="C1857" t="s">
        <v>416</v>
      </c>
      <c r="D1857" t="s">
        <v>70</v>
      </c>
      <c r="E1857" t="s">
        <v>417</v>
      </c>
      <c r="F1857">
        <v>7755</v>
      </c>
      <c r="G1857">
        <v>0</v>
      </c>
      <c r="H1857">
        <v>595</v>
      </c>
      <c r="I1857">
        <v>43</v>
      </c>
      <c r="J1857">
        <v>0</v>
      </c>
      <c r="K1857">
        <v>0</v>
      </c>
      <c r="L1857">
        <v>2998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464</v>
      </c>
      <c r="S1857">
        <v>524</v>
      </c>
      <c r="T1857">
        <v>1883</v>
      </c>
      <c r="U1857">
        <v>0</v>
      </c>
      <c r="V1857">
        <v>0</v>
      </c>
      <c r="W1857">
        <v>335</v>
      </c>
      <c r="X1857">
        <f>NHS_AE_2024_2025[[#This Row],[A&amp;E attendances Type 1]]+
NHS_AE_2024_2025[[#This Row],[A&amp;E attendances Type 2]]+
NHS_AE_2024_2025[[#This Row],[A&amp;E attendances Other A&amp;E Department]]</f>
        <v>8350</v>
      </c>
      <c r="Y1857">
        <f t="shared" si="56"/>
        <v>2998</v>
      </c>
      <c r="Z1857">
        <f t="shared" si="57"/>
        <v>2218</v>
      </c>
    </row>
    <row r="1858" spans="1:26" x14ac:dyDescent="0.2">
      <c r="A1858" t="s">
        <v>454</v>
      </c>
      <c r="B1858" t="s">
        <v>455</v>
      </c>
      <c r="C1858" t="s">
        <v>308</v>
      </c>
      <c r="D1858" t="s">
        <v>32</v>
      </c>
      <c r="E1858" t="s">
        <v>309</v>
      </c>
      <c r="F1858">
        <v>8706</v>
      </c>
      <c r="G1858">
        <v>0</v>
      </c>
      <c r="H1858">
        <v>340</v>
      </c>
      <c r="I1858">
        <v>0</v>
      </c>
      <c r="J1858">
        <v>0</v>
      </c>
      <c r="K1858">
        <v>0</v>
      </c>
      <c r="L1858">
        <v>3167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434</v>
      </c>
      <c r="S1858">
        <v>39</v>
      </c>
      <c r="T1858">
        <v>2476</v>
      </c>
      <c r="U1858">
        <v>0</v>
      </c>
      <c r="V1858">
        <v>0</v>
      </c>
      <c r="W1858">
        <v>886</v>
      </c>
      <c r="X1858">
        <f>NHS_AE_2024_2025[[#This Row],[A&amp;E attendances Type 1]]+
NHS_AE_2024_2025[[#This Row],[A&amp;E attendances Type 2]]+
NHS_AE_2024_2025[[#This Row],[A&amp;E attendances Other A&amp;E Department]]</f>
        <v>9046</v>
      </c>
      <c r="Y1858">
        <f t="shared" ref="Y1858:Y1921" si="58">L1858+M1858+N1858</f>
        <v>3167</v>
      </c>
      <c r="Z1858">
        <f t="shared" ref="Z1858:Z1921" si="59">T1858+U1858+V1858+W1858</f>
        <v>3362</v>
      </c>
    </row>
    <row r="1859" spans="1:26" x14ac:dyDescent="0.2">
      <c r="A1859" t="s">
        <v>454</v>
      </c>
      <c r="B1859" t="s">
        <v>455</v>
      </c>
      <c r="C1859" t="s">
        <v>386</v>
      </c>
      <c r="D1859" t="s">
        <v>32</v>
      </c>
      <c r="E1859" t="s">
        <v>387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27</v>
      </c>
      <c r="X1859">
        <f>NHS_AE_2024_2025[[#This Row],[A&amp;E attendances Type 1]]+
NHS_AE_2024_2025[[#This Row],[A&amp;E attendances Type 2]]+
NHS_AE_2024_2025[[#This Row],[A&amp;E attendances Other A&amp;E Department]]</f>
        <v>0</v>
      </c>
      <c r="Y1859">
        <f t="shared" si="58"/>
        <v>0</v>
      </c>
      <c r="Z1859">
        <f t="shared" si="59"/>
        <v>27</v>
      </c>
    </row>
    <row r="1860" spans="1:26" x14ac:dyDescent="0.2">
      <c r="A1860" t="s">
        <v>454</v>
      </c>
      <c r="B1860" t="s">
        <v>455</v>
      </c>
      <c r="C1860" t="s">
        <v>202</v>
      </c>
      <c r="D1860" t="s">
        <v>32</v>
      </c>
      <c r="E1860" t="s">
        <v>203</v>
      </c>
      <c r="F1860">
        <v>12780</v>
      </c>
      <c r="G1860">
        <v>0</v>
      </c>
      <c r="H1860">
        <v>8560</v>
      </c>
      <c r="I1860">
        <v>86</v>
      </c>
      <c r="J1860">
        <v>0</v>
      </c>
      <c r="K1860">
        <v>836</v>
      </c>
      <c r="L1860">
        <v>4285</v>
      </c>
      <c r="M1860">
        <v>0</v>
      </c>
      <c r="N1860">
        <v>389</v>
      </c>
      <c r="O1860">
        <v>20</v>
      </c>
      <c r="P1860">
        <v>0</v>
      </c>
      <c r="Q1860">
        <v>5</v>
      </c>
      <c r="R1860">
        <v>861</v>
      </c>
      <c r="S1860">
        <v>644</v>
      </c>
      <c r="T1860">
        <v>5839</v>
      </c>
      <c r="U1860">
        <v>0</v>
      </c>
      <c r="V1860">
        <v>0</v>
      </c>
      <c r="W1860">
        <v>1042</v>
      </c>
      <c r="X1860">
        <f>NHS_AE_2024_2025[[#This Row],[A&amp;E attendances Type 1]]+
NHS_AE_2024_2025[[#This Row],[A&amp;E attendances Type 2]]+
NHS_AE_2024_2025[[#This Row],[A&amp;E attendances Other A&amp;E Department]]</f>
        <v>21340</v>
      </c>
      <c r="Y1860">
        <f t="shared" si="58"/>
        <v>4674</v>
      </c>
      <c r="Z1860">
        <f t="shared" si="59"/>
        <v>6881</v>
      </c>
    </row>
    <row r="1861" spans="1:26" x14ac:dyDescent="0.2">
      <c r="A1861" t="s">
        <v>454</v>
      </c>
      <c r="B1861" t="s">
        <v>455</v>
      </c>
      <c r="C1861" t="s">
        <v>204</v>
      </c>
      <c r="D1861" t="s">
        <v>32</v>
      </c>
      <c r="E1861" t="s">
        <v>205</v>
      </c>
      <c r="F1861">
        <v>6074</v>
      </c>
      <c r="G1861">
        <v>1077</v>
      </c>
      <c r="H1861">
        <v>125</v>
      </c>
      <c r="I1861">
        <v>123</v>
      </c>
      <c r="J1861">
        <v>0</v>
      </c>
      <c r="K1861">
        <v>0</v>
      </c>
      <c r="L1861">
        <v>2581</v>
      </c>
      <c r="M1861">
        <v>0</v>
      </c>
      <c r="N1861">
        <v>0</v>
      </c>
      <c r="O1861">
        <v>26</v>
      </c>
      <c r="P1861">
        <v>0</v>
      </c>
      <c r="Q1861">
        <v>0</v>
      </c>
      <c r="R1861">
        <v>408</v>
      </c>
      <c r="S1861">
        <v>257</v>
      </c>
      <c r="T1861">
        <v>1466</v>
      </c>
      <c r="U1861">
        <v>0</v>
      </c>
      <c r="V1861">
        <v>0</v>
      </c>
      <c r="W1861">
        <v>165</v>
      </c>
      <c r="X1861">
        <f>NHS_AE_2024_2025[[#This Row],[A&amp;E attendances Type 1]]+
NHS_AE_2024_2025[[#This Row],[A&amp;E attendances Type 2]]+
NHS_AE_2024_2025[[#This Row],[A&amp;E attendances Other A&amp;E Department]]</f>
        <v>7276</v>
      </c>
      <c r="Y1861">
        <f t="shared" si="58"/>
        <v>2581</v>
      </c>
      <c r="Z1861">
        <f t="shared" si="59"/>
        <v>1631</v>
      </c>
    </row>
    <row r="1862" spans="1:26" x14ac:dyDescent="0.2">
      <c r="A1862" t="s">
        <v>454</v>
      </c>
      <c r="B1862" t="s">
        <v>455</v>
      </c>
      <c r="C1862" t="s">
        <v>160</v>
      </c>
      <c r="D1862" t="s">
        <v>32</v>
      </c>
      <c r="E1862" t="s">
        <v>161</v>
      </c>
      <c r="F1862">
        <v>10036</v>
      </c>
      <c r="G1862">
        <v>0</v>
      </c>
      <c r="H1862">
        <v>9057</v>
      </c>
      <c r="I1862">
        <v>329</v>
      </c>
      <c r="J1862">
        <v>0</v>
      </c>
      <c r="K1862">
        <v>0</v>
      </c>
      <c r="L1862">
        <v>4244</v>
      </c>
      <c r="M1862">
        <v>0</v>
      </c>
      <c r="N1862">
        <v>193</v>
      </c>
      <c r="O1862">
        <v>0</v>
      </c>
      <c r="P1862">
        <v>0</v>
      </c>
      <c r="Q1862">
        <v>0</v>
      </c>
      <c r="R1862">
        <v>1557</v>
      </c>
      <c r="S1862">
        <v>0</v>
      </c>
      <c r="T1862">
        <v>2021</v>
      </c>
      <c r="U1862">
        <v>0</v>
      </c>
      <c r="V1862">
        <v>0</v>
      </c>
      <c r="W1862">
        <v>233</v>
      </c>
      <c r="X1862">
        <f>NHS_AE_2024_2025[[#This Row],[A&amp;E attendances Type 1]]+
NHS_AE_2024_2025[[#This Row],[A&amp;E attendances Type 2]]+
NHS_AE_2024_2025[[#This Row],[A&amp;E attendances Other A&amp;E Department]]</f>
        <v>19093</v>
      </c>
      <c r="Y1862">
        <f t="shared" si="58"/>
        <v>4437</v>
      </c>
      <c r="Z1862">
        <f t="shared" si="59"/>
        <v>2254</v>
      </c>
    </row>
    <row r="1863" spans="1:26" x14ac:dyDescent="0.2">
      <c r="A1863" t="s">
        <v>454</v>
      </c>
      <c r="B1863" t="s">
        <v>455</v>
      </c>
      <c r="C1863" t="s">
        <v>320</v>
      </c>
      <c r="D1863" t="s">
        <v>26</v>
      </c>
      <c r="E1863" t="s">
        <v>321</v>
      </c>
      <c r="F1863">
        <v>4604</v>
      </c>
      <c r="G1863">
        <v>299</v>
      </c>
      <c r="H1863">
        <v>1724</v>
      </c>
      <c r="I1863">
        <v>145</v>
      </c>
      <c r="J1863">
        <v>0</v>
      </c>
      <c r="K1863">
        <v>0</v>
      </c>
      <c r="L1863">
        <v>1982</v>
      </c>
      <c r="M1863">
        <v>0</v>
      </c>
      <c r="N1863">
        <v>0</v>
      </c>
      <c r="O1863">
        <v>65</v>
      </c>
      <c r="P1863">
        <v>0</v>
      </c>
      <c r="Q1863">
        <v>0</v>
      </c>
      <c r="R1863">
        <v>478</v>
      </c>
      <c r="S1863">
        <v>17</v>
      </c>
      <c r="T1863">
        <v>1306</v>
      </c>
      <c r="U1863">
        <v>0</v>
      </c>
      <c r="V1863">
        <v>0</v>
      </c>
      <c r="W1863">
        <v>1049</v>
      </c>
      <c r="X1863">
        <f>NHS_AE_2024_2025[[#This Row],[A&amp;E attendances Type 1]]+
NHS_AE_2024_2025[[#This Row],[A&amp;E attendances Type 2]]+
NHS_AE_2024_2025[[#This Row],[A&amp;E attendances Other A&amp;E Department]]</f>
        <v>6627</v>
      </c>
      <c r="Y1863">
        <f t="shared" si="58"/>
        <v>1982</v>
      </c>
      <c r="Z1863">
        <f t="shared" si="59"/>
        <v>2355</v>
      </c>
    </row>
    <row r="1864" spans="1:26" x14ac:dyDescent="0.2">
      <c r="A1864" t="s">
        <v>454</v>
      </c>
      <c r="B1864" t="s">
        <v>455</v>
      </c>
      <c r="C1864" t="s">
        <v>162</v>
      </c>
      <c r="D1864" t="s">
        <v>29</v>
      </c>
      <c r="E1864" t="s">
        <v>163</v>
      </c>
      <c r="F1864">
        <v>0</v>
      </c>
      <c r="G1864">
        <v>5659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92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2</v>
      </c>
      <c r="V1864">
        <v>0</v>
      </c>
      <c r="W1864">
        <v>218</v>
      </c>
      <c r="X1864">
        <f>NHS_AE_2024_2025[[#This Row],[A&amp;E attendances Type 1]]+
NHS_AE_2024_2025[[#This Row],[A&amp;E attendances Type 2]]+
NHS_AE_2024_2025[[#This Row],[A&amp;E attendances Other A&amp;E Department]]</f>
        <v>5659</v>
      </c>
      <c r="Y1864">
        <f t="shared" si="58"/>
        <v>92</v>
      </c>
      <c r="Z1864">
        <f t="shared" si="59"/>
        <v>220</v>
      </c>
    </row>
    <row r="1865" spans="1:26" x14ac:dyDescent="0.2">
      <c r="A1865" t="s">
        <v>454</v>
      </c>
      <c r="B1865" t="s">
        <v>455</v>
      </c>
      <c r="C1865" t="s">
        <v>116</v>
      </c>
      <c r="D1865" t="s">
        <v>55</v>
      </c>
      <c r="E1865" t="s">
        <v>117</v>
      </c>
      <c r="F1865">
        <v>0</v>
      </c>
      <c r="G1865">
        <v>0</v>
      </c>
      <c r="H1865">
        <v>13642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262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46</v>
      </c>
      <c r="X1865">
        <f>NHS_AE_2024_2025[[#This Row],[A&amp;E attendances Type 1]]+
NHS_AE_2024_2025[[#This Row],[A&amp;E attendances Type 2]]+
NHS_AE_2024_2025[[#This Row],[A&amp;E attendances Other A&amp;E Department]]</f>
        <v>13642</v>
      </c>
      <c r="Y1865">
        <f t="shared" si="58"/>
        <v>262</v>
      </c>
      <c r="Z1865">
        <f t="shared" si="59"/>
        <v>46</v>
      </c>
    </row>
    <row r="1866" spans="1:26" x14ac:dyDescent="0.2">
      <c r="A1866" t="s">
        <v>454</v>
      </c>
      <c r="B1866" t="s">
        <v>455</v>
      </c>
      <c r="C1866" t="s">
        <v>216</v>
      </c>
      <c r="D1866" t="s">
        <v>55</v>
      </c>
      <c r="E1866" t="s">
        <v>217</v>
      </c>
      <c r="F1866">
        <v>13334</v>
      </c>
      <c r="G1866">
        <v>0</v>
      </c>
      <c r="H1866">
        <v>9844</v>
      </c>
      <c r="I1866">
        <v>0</v>
      </c>
      <c r="J1866">
        <v>0</v>
      </c>
      <c r="K1866">
        <v>0</v>
      </c>
      <c r="L1866">
        <v>4741</v>
      </c>
      <c r="M1866">
        <v>0</v>
      </c>
      <c r="N1866">
        <v>628</v>
      </c>
      <c r="O1866">
        <v>0</v>
      </c>
      <c r="P1866">
        <v>0</v>
      </c>
      <c r="Q1866">
        <v>0</v>
      </c>
      <c r="R1866">
        <v>430</v>
      </c>
      <c r="S1866">
        <v>1164</v>
      </c>
      <c r="T1866">
        <v>4052</v>
      </c>
      <c r="U1866">
        <v>0</v>
      </c>
      <c r="V1866">
        <v>73</v>
      </c>
      <c r="W1866">
        <v>1791</v>
      </c>
      <c r="X1866">
        <f>NHS_AE_2024_2025[[#This Row],[A&amp;E attendances Type 1]]+
NHS_AE_2024_2025[[#This Row],[A&amp;E attendances Type 2]]+
NHS_AE_2024_2025[[#This Row],[A&amp;E attendances Other A&amp;E Department]]</f>
        <v>23178</v>
      </c>
      <c r="Y1866">
        <f t="shared" si="58"/>
        <v>5369</v>
      </c>
      <c r="Z1866">
        <f t="shared" si="59"/>
        <v>5916</v>
      </c>
    </row>
    <row r="1867" spans="1:26" x14ac:dyDescent="0.2">
      <c r="A1867" t="s">
        <v>454</v>
      </c>
      <c r="B1867" t="s">
        <v>455</v>
      </c>
      <c r="C1867" t="s">
        <v>272</v>
      </c>
      <c r="D1867" t="s">
        <v>32</v>
      </c>
      <c r="E1867" t="s">
        <v>273</v>
      </c>
      <c r="F1867">
        <v>10500</v>
      </c>
      <c r="G1867">
        <v>0</v>
      </c>
      <c r="H1867">
        <v>2421</v>
      </c>
      <c r="I1867">
        <v>0</v>
      </c>
      <c r="J1867">
        <v>0</v>
      </c>
      <c r="K1867">
        <v>0</v>
      </c>
      <c r="L1867">
        <v>6116</v>
      </c>
      <c r="M1867">
        <v>0</v>
      </c>
      <c r="N1867">
        <v>250</v>
      </c>
      <c r="O1867">
        <v>0</v>
      </c>
      <c r="P1867">
        <v>0</v>
      </c>
      <c r="Q1867">
        <v>0</v>
      </c>
      <c r="R1867">
        <v>358</v>
      </c>
      <c r="S1867">
        <v>1562</v>
      </c>
      <c r="T1867">
        <v>3301</v>
      </c>
      <c r="U1867">
        <v>0</v>
      </c>
      <c r="V1867">
        <v>189</v>
      </c>
      <c r="W1867">
        <v>2053</v>
      </c>
      <c r="X1867">
        <f>NHS_AE_2024_2025[[#This Row],[A&amp;E attendances Type 1]]+
NHS_AE_2024_2025[[#This Row],[A&amp;E attendances Type 2]]+
NHS_AE_2024_2025[[#This Row],[A&amp;E attendances Other A&amp;E Department]]</f>
        <v>12921</v>
      </c>
      <c r="Y1867">
        <f t="shared" si="58"/>
        <v>6366</v>
      </c>
      <c r="Z1867">
        <f t="shared" si="59"/>
        <v>5543</v>
      </c>
    </row>
    <row r="1868" spans="1:26" x14ac:dyDescent="0.2">
      <c r="A1868" t="s">
        <v>454</v>
      </c>
      <c r="B1868" t="s">
        <v>455</v>
      </c>
      <c r="C1868" t="s">
        <v>182</v>
      </c>
      <c r="D1868" t="s">
        <v>29</v>
      </c>
      <c r="E1868" t="s">
        <v>183</v>
      </c>
      <c r="F1868">
        <v>0</v>
      </c>
      <c r="G1868">
        <v>0</v>
      </c>
      <c r="H1868">
        <v>12011</v>
      </c>
      <c r="I1868">
        <v>0</v>
      </c>
      <c r="J1868">
        <v>0</v>
      </c>
      <c r="K1868">
        <v>489</v>
      </c>
      <c r="L1868">
        <v>0</v>
      </c>
      <c r="M1868">
        <v>0</v>
      </c>
      <c r="N1868">
        <v>190</v>
      </c>
      <c r="O1868">
        <v>0</v>
      </c>
      <c r="P1868">
        <v>0</v>
      </c>
      <c r="Q1868">
        <v>10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f>NHS_AE_2024_2025[[#This Row],[A&amp;E attendances Type 1]]+
NHS_AE_2024_2025[[#This Row],[A&amp;E attendances Type 2]]+
NHS_AE_2024_2025[[#This Row],[A&amp;E attendances Other A&amp;E Department]]</f>
        <v>12011</v>
      </c>
      <c r="Y1868">
        <f t="shared" si="58"/>
        <v>190</v>
      </c>
      <c r="Z1868">
        <f t="shared" si="59"/>
        <v>0</v>
      </c>
    </row>
    <row r="1869" spans="1:26" x14ac:dyDescent="0.2">
      <c r="A1869" t="s">
        <v>454</v>
      </c>
      <c r="B1869" t="s">
        <v>455</v>
      </c>
      <c r="C1869" t="s">
        <v>92</v>
      </c>
      <c r="D1869" t="s">
        <v>26</v>
      </c>
      <c r="E1869" t="s">
        <v>93</v>
      </c>
      <c r="F1869">
        <v>0</v>
      </c>
      <c r="G1869">
        <v>0</v>
      </c>
      <c r="H1869">
        <v>2194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25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f>NHS_AE_2024_2025[[#This Row],[A&amp;E attendances Type 1]]+
NHS_AE_2024_2025[[#This Row],[A&amp;E attendances Type 2]]+
NHS_AE_2024_2025[[#This Row],[A&amp;E attendances Other A&amp;E Department]]</f>
        <v>2194</v>
      </c>
      <c r="Y1869">
        <f t="shared" si="58"/>
        <v>25</v>
      </c>
      <c r="Z1869">
        <f t="shared" si="59"/>
        <v>0</v>
      </c>
    </row>
    <row r="1870" spans="1:26" x14ac:dyDescent="0.2">
      <c r="A1870" t="s">
        <v>454</v>
      </c>
      <c r="B1870" t="s">
        <v>455</v>
      </c>
      <c r="C1870" t="s">
        <v>134</v>
      </c>
      <c r="D1870" t="s">
        <v>37</v>
      </c>
      <c r="E1870" t="s">
        <v>135</v>
      </c>
      <c r="F1870">
        <v>0</v>
      </c>
      <c r="G1870">
        <v>0</v>
      </c>
      <c r="H1870">
        <v>2120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f>NHS_AE_2024_2025[[#This Row],[A&amp;E attendances Type 1]]+
NHS_AE_2024_2025[[#This Row],[A&amp;E attendances Type 2]]+
NHS_AE_2024_2025[[#This Row],[A&amp;E attendances Other A&amp;E Department]]</f>
        <v>2120</v>
      </c>
      <c r="Y1870">
        <f t="shared" si="58"/>
        <v>0</v>
      </c>
      <c r="Z1870">
        <f t="shared" si="59"/>
        <v>0</v>
      </c>
    </row>
    <row r="1871" spans="1:26" x14ac:dyDescent="0.2">
      <c r="A1871" t="s">
        <v>454</v>
      </c>
      <c r="B1871" t="s">
        <v>455</v>
      </c>
      <c r="C1871" t="s">
        <v>190</v>
      </c>
      <c r="D1871" t="s">
        <v>50</v>
      </c>
      <c r="E1871" t="s">
        <v>191</v>
      </c>
      <c r="F1871">
        <v>9509</v>
      </c>
      <c r="G1871">
        <v>891</v>
      </c>
      <c r="H1871">
        <v>3183</v>
      </c>
      <c r="I1871">
        <v>0</v>
      </c>
      <c r="J1871">
        <v>0</v>
      </c>
      <c r="K1871">
        <v>0</v>
      </c>
      <c r="L1871">
        <v>2531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731</v>
      </c>
      <c r="S1871">
        <v>116</v>
      </c>
      <c r="T1871">
        <v>2577</v>
      </c>
      <c r="U1871">
        <v>0</v>
      </c>
      <c r="V1871">
        <v>57</v>
      </c>
      <c r="W1871">
        <v>1442</v>
      </c>
      <c r="X1871">
        <f>NHS_AE_2024_2025[[#This Row],[A&amp;E attendances Type 1]]+
NHS_AE_2024_2025[[#This Row],[A&amp;E attendances Type 2]]+
NHS_AE_2024_2025[[#This Row],[A&amp;E attendances Other A&amp;E Department]]</f>
        <v>13583</v>
      </c>
      <c r="Y1871">
        <f t="shared" si="58"/>
        <v>2531</v>
      </c>
      <c r="Z1871">
        <f t="shared" si="59"/>
        <v>4076</v>
      </c>
    </row>
    <row r="1872" spans="1:26" x14ac:dyDescent="0.2">
      <c r="A1872" t="s">
        <v>454</v>
      </c>
      <c r="B1872" t="s">
        <v>455</v>
      </c>
      <c r="C1872" t="s">
        <v>228</v>
      </c>
      <c r="D1872" t="s">
        <v>70</v>
      </c>
      <c r="E1872" t="s">
        <v>229</v>
      </c>
      <c r="F1872">
        <v>30826</v>
      </c>
      <c r="G1872">
        <v>0</v>
      </c>
      <c r="H1872">
        <v>5416</v>
      </c>
      <c r="I1872">
        <v>4</v>
      </c>
      <c r="J1872">
        <v>0</v>
      </c>
      <c r="K1872">
        <v>2</v>
      </c>
      <c r="L1872">
        <v>10484</v>
      </c>
      <c r="M1872">
        <v>0</v>
      </c>
      <c r="N1872">
        <v>360</v>
      </c>
      <c r="O1872">
        <v>0</v>
      </c>
      <c r="P1872">
        <v>0</v>
      </c>
      <c r="Q1872">
        <v>1</v>
      </c>
      <c r="R1872">
        <v>2760</v>
      </c>
      <c r="S1872">
        <v>66</v>
      </c>
      <c r="T1872">
        <v>8908</v>
      </c>
      <c r="U1872">
        <v>0</v>
      </c>
      <c r="V1872">
        <v>202</v>
      </c>
      <c r="W1872">
        <v>1270</v>
      </c>
      <c r="X1872">
        <f>NHS_AE_2024_2025[[#This Row],[A&amp;E attendances Type 1]]+
NHS_AE_2024_2025[[#This Row],[A&amp;E attendances Type 2]]+
NHS_AE_2024_2025[[#This Row],[A&amp;E attendances Other A&amp;E Department]]</f>
        <v>36242</v>
      </c>
      <c r="Y1872">
        <f t="shared" si="58"/>
        <v>10844</v>
      </c>
      <c r="Z1872">
        <f t="shared" si="59"/>
        <v>10380</v>
      </c>
    </row>
    <row r="1873" spans="1:26" x14ac:dyDescent="0.2">
      <c r="A1873" t="s">
        <v>454</v>
      </c>
      <c r="B1873" t="s">
        <v>455</v>
      </c>
      <c r="C1873" t="s">
        <v>400</v>
      </c>
      <c r="D1873" t="s">
        <v>50</v>
      </c>
      <c r="E1873" t="s">
        <v>401</v>
      </c>
      <c r="F1873">
        <v>5062</v>
      </c>
      <c r="G1873">
        <v>0</v>
      </c>
      <c r="H1873">
        <v>889</v>
      </c>
      <c r="I1873">
        <v>351</v>
      </c>
      <c r="J1873">
        <v>0</v>
      </c>
      <c r="K1873">
        <v>19</v>
      </c>
      <c r="L1873">
        <v>1889</v>
      </c>
      <c r="M1873">
        <v>0</v>
      </c>
      <c r="N1873">
        <v>1</v>
      </c>
      <c r="O1873">
        <v>90</v>
      </c>
      <c r="P1873">
        <v>0</v>
      </c>
      <c r="Q1873">
        <v>0</v>
      </c>
      <c r="R1873">
        <v>406</v>
      </c>
      <c r="S1873">
        <v>96</v>
      </c>
      <c r="T1873">
        <v>1131</v>
      </c>
      <c r="U1873">
        <v>0</v>
      </c>
      <c r="V1873">
        <v>0</v>
      </c>
      <c r="W1873">
        <v>328</v>
      </c>
      <c r="X1873">
        <f>NHS_AE_2024_2025[[#This Row],[A&amp;E attendances Type 1]]+
NHS_AE_2024_2025[[#This Row],[A&amp;E attendances Type 2]]+
NHS_AE_2024_2025[[#This Row],[A&amp;E attendances Other A&amp;E Department]]</f>
        <v>5951</v>
      </c>
      <c r="Y1873">
        <f t="shared" si="58"/>
        <v>1890</v>
      </c>
      <c r="Z1873">
        <f t="shared" si="59"/>
        <v>1459</v>
      </c>
    </row>
    <row r="1874" spans="1:26" x14ac:dyDescent="0.2">
      <c r="A1874" t="s">
        <v>454</v>
      </c>
      <c r="B1874" t="s">
        <v>455</v>
      </c>
      <c r="C1874" t="s">
        <v>366</v>
      </c>
      <c r="D1874" t="s">
        <v>29</v>
      </c>
      <c r="E1874" t="s">
        <v>367</v>
      </c>
      <c r="F1874">
        <v>13817</v>
      </c>
      <c r="G1874">
        <v>2346</v>
      </c>
      <c r="H1874">
        <v>13830</v>
      </c>
      <c r="I1874">
        <v>0</v>
      </c>
      <c r="J1874">
        <v>0</v>
      </c>
      <c r="K1874">
        <v>0</v>
      </c>
      <c r="L1874">
        <v>6410</v>
      </c>
      <c r="M1874">
        <v>339</v>
      </c>
      <c r="N1874">
        <v>145</v>
      </c>
      <c r="O1874">
        <v>0</v>
      </c>
      <c r="P1874">
        <v>0</v>
      </c>
      <c r="Q1874">
        <v>0</v>
      </c>
      <c r="R1874">
        <v>728</v>
      </c>
      <c r="S1874">
        <v>709</v>
      </c>
      <c r="T1874">
        <v>8036</v>
      </c>
      <c r="U1874">
        <v>0</v>
      </c>
      <c r="V1874">
        <v>0</v>
      </c>
      <c r="W1874">
        <v>377</v>
      </c>
      <c r="X1874">
        <f>NHS_AE_2024_2025[[#This Row],[A&amp;E attendances Type 1]]+
NHS_AE_2024_2025[[#This Row],[A&amp;E attendances Type 2]]+
NHS_AE_2024_2025[[#This Row],[A&amp;E attendances Other A&amp;E Department]]</f>
        <v>29993</v>
      </c>
      <c r="Y1874">
        <f t="shared" si="58"/>
        <v>6894</v>
      </c>
      <c r="Z1874">
        <f t="shared" si="59"/>
        <v>8413</v>
      </c>
    </row>
    <row r="1875" spans="1:26" x14ac:dyDescent="0.2">
      <c r="A1875" t="s">
        <v>454</v>
      </c>
      <c r="B1875" t="s">
        <v>455</v>
      </c>
      <c r="C1875" t="s">
        <v>304</v>
      </c>
      <c r="D1875" t="s">
        <v>29</v>
      </c>
      <c r="E1875" t="s">
        <v>305</v>
      </c>
      <c r="F1875">
        <v>13200</v>
      </c>
      <c r="G1875">
        <v>0</v>
      </c>
      <c r="H1875">
        <v>5254</v>
      </c>
      <c r="I1875">
        <v>1</v>
      </c>
      <c r="J1875">
        <v>0</v>
      </c>
      <c r="K1875">
        <v>0</v>
      </c>
      <c r="L1875">
        <v>5194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464</v>
      </c>
      <c r="S1875">
        <v>503</v>
      </c>
      <c r="T1875">
        <v>1417</v>
      </c>
      <c r="U1875">
        <v>0</v>
      </c>
      <c r="V1875">
        <v>0</v>
      </c>
      <c r="W1875">
        <v>114</v>
      </c>
      <c r="X1875">
        <f>NHS_AE_2024_2025[[#This Row],[A&amp;E attendances Type 1]]+
NHS_AE_2024_2025[[#This Row],[A&amp;E attendances Type 2]]+
NHS_AE_2024_2025[[#This Row],[A&amp;E attendances Other A&amp;E Department]]</f>
        <v>18454</v>
      </c>
      <c r="Y1875">
        <f t="shared" si="58"/>
        <v>5194</v>
      </c>
      <c r="Z1875">
        <f t="shared" si="59"/>
        <v>1531</v>
      </c>
    </row>
    <row r="1876" spans="1:26" x14ac:dyDescent="0.2">
      <c r="A1876" t="s">
        <v>454</v>
      </c>
      <c r="B1876" t="s">
        <v>455</v>
      </c>
      <c r="C1876" t="s">
        <v>200</v>
      </c>
      <c r="D1876" t="s">
        <v>32</v>
      </c>
      <c r="E1876" t="s">
        <v>201</v>
      </c>
      <c r="F1876">
        <v>13436</v>
      </c>
      <c r="G1876">
        <v>450</v>
      </c>
      <c r="H1876">
        <v>7891</v>
      </c>
      <c r="I1876">
        <v>794</v>
      </c>
      <c r="J1876">
        <v>0</v>
      </c>
      <c r="K1876">
        <v>580</v>
      </c>
      <c r="L1876">
        <v>7449</v>
      </c>
      <c r="M1876">
        <v>0</v>
      </c>
      <c r="N1876">
        <v>256</v>
      </c>
      <c r="O1876">
        <v>429</v>
      </c>
      <c r="P1876">
        <v>0</v>
      </c>
      <c r="Q1876">
        <v>25</v>
      </c>
      <c r="R1876">
        <v>881</v>
      </c>
      <c r="S1876">
        <v>1077</v>
      </c>
      <c r="T1876">
        <v>5264</v>
      </c>
      <c r="U1876">
        <v>0</v>
      </c>
      <c r="V1876">
        <v>0</v>
      </c>
      <c r="W1876">
        <v>3097</v>
      </c>
      <c r="X1876">
        <f>NHS_AE_2024_2025[[#This Row],[A&amp;E attendances Type 1]]+
NHS_AE_2024_2025[[#This Row],[A&amp;E attendances Type 2]]+
NHS_AE_2024_2025[[#This Row],[A&amp;E attendances Other A&amp;E Department]]</f>
        <v>21777</v>
      </c>
      <c r="Y1876">
        <f t="shared" si="58"/>
        <v>7705</v>
      </c>
      <c r="Z1876">
        <f t="shared" si="59"/>
        <v>8361</v>
      </c>
    </row>
    <row r="1877" spans="1:26" x14ac:dyDescent="0.2">
      <c r="A1877" t="s">
        <v>454</v>
      </c>
      <c r="B1877" t="s">
        <v>455</v>
      </c>
      <c r="C1877" t="s">
        <v>248</v>
      </c>
      <c r="D1877" t="s">
        <v>55</v>
      </c>
      <c r="E1877" t="s">
        <v>249</v>
      </c>
      <c r="F1877">
        <v>5109</v>
      </c>
      <c r="G1877">
        <v>0</v>
      </c>
      <c r="H1877">
        <v>2292</v>
      </c>
      <c r="I1877">
        <v>0</v>
      </c>
      <c r="J1877">
        <v>0</v>
      </c>
      <c r="K1877">
        <v>0</v>
      </c>
      <c r="L1877">
        <v>2886</v>
      </c>
      <c r="M1877">
        <v>0</v>
      </c>
      <c r="N1877">
        <v>246</v>
      </c>
      <c r="O1877">
        <v>0</v>
      </c>
      <c r="P1877">
        <v>0</v>
      </c>
      <c r="Q1877">
        <v>0</v>
      </c>
      <c r="R1877">
        <v>203</v>
      </c>
      <c r="S1877">
        <v>700</v>
      </c>
      <c r="T1877">
        <v>1686</v>
      </c>
      <c r="U1877">
        <v>0</v>
      </c>
      <c r="V1877">
        <v>0</v>
      </c>
      <c r="W1877">
        <v>1392</v>
      </c>
      <c r="X1877">
        <f>NHS_AE_2024_2025[[#This Row],[A&amp;E attendances Type 1]]+
NHS_AE_2024_2025[[#This Row],[A&amp;E attendances Type 2]]+
NHS_AE_2024_2025[[#This Row],[A&amp;E attendances Other A&amp;E Department]]</f>
        <v>7401</v>
      </c>
      <c r="Y1877">
        <f t="shared" si="58"/>
        <v>3132</v>
      </c>
      <c r="Z1877">
        <f t="shared" si="59"/>
        <v>3078</v>
      </c>
    </row>
    <row r="1878" spans="1:26" x14ac:dyDescent="0.2">
      <c r="A1878" t="s">
        <v>454</v>
      </c>
      <c r="B1878" t="s">
        <v>455</v>
      </c>
      <c r="C1878" t="s">
        <v>156</v>
      </c>
      <c r="D1878" t="s">
        <v>29</v>
      </c>
      <c r="E1878" t="s">
        <v>157</v>
      </c>
      <c r="F1878">
        <v>15478</v>
      </c>
      <c r="G1878">
        <v>0</v>
      </c>
      <c r="H1878">
        <v>8859</v>
      </c>
      <c r="I1878">
        <v>79</v>
      </c>
      <c r="J1878">
        <v>0</v>
      </c>
      <c r="K1878">
        <v>1114</v>
      </c>
      <c r="L1878">
        <v>6876</v>
      </c>
      <c r="M1878">
        <v>0</v>
      </c>
      <c r="N1878">
        <v>420</v>
      </c>
      <c r="O1878">
        <v>25</v>
      </c>
      <c r="P1878">
        <v>0</v>
      </c>
      <c r="Q1878">
        <v>0</v>
      </c>
      <c r="R1878">
        <v>1662</v>
      </c>
      <c r="S1878">
        <v>776</v>
      </c>
      <c r="T1878">
        <v>3897</v>
      </c>
      <c r="U1878">
        <v>0</v>
      </c>
      <c r="V1878">
        <v>0</v>
      </c>
      <c r="W1878">
        <v>274</v>
      </c>
      <c r="X1878">
        <f>NHS_AE_2024_2025[[#This Row],[A&amp;E attendances Type 1]]+
NHS_AE_2024_2025[[#This Row],[A&amp;E attendances Type 2]]+
NHS_AE_2024_2025[[#This Row],[A&amp;E attendances Other A&amp;E Department]]</f>
        <v>24337</v>
      </c>
      <c r="Y1878">
        <f t="shared" si="58"/>
        <v>7296</v>
      </c>
      <c r="Z1878">
        <f t="shared" si="59"/>
        <v>4171</v>
      </c>
    </row>
    <row r="1879" spans="1:26" x14ac:dyDescent="0.2">
      <c r="A1879" t="s">
        <v>454</v>
      </c>
      <c r="B1879" t="s">
        <v>455</v>
      </c>
      <c r="C1879" t="s">
        <v>312</v>
      </c>
      <c r="D1879" t="s">
        <v>32</v>
      </c>
      <c r="E1879" t="s">
        <v>313</v>
      </c>
      <c r="F1879">
        <v>12296</v>
      </c>
      <c r="G1879">
        <v>860</v>
      </c>
      <c r="H1879">
        <v>6320</v>
      </c>
      <c r="I1879">
        <v>0</v>
      </c>
      <c r="J1879">
        <v>0</v>
      </c>
      <c r="K1879">
        <v>0</v>
      </c>
      <c r="L1879">
        <v>6019</v>
      </c>
      <c r="M1879">
        <v>94</v>
      </c>
      <c r="N1879">
        <v>488</v>
      </c>
      <c r="O1879">
        <v>0</v>
      </c>
      <c r="P1879">
        <v>0</v>
      </c>
      <c r="Q1879">
        <v>0</v>
      </c>
      <c r="R1879">
        <v>104</v>
      </c>
      <c r="S1879">
        <v>32</v>
      </c>
      <c r="T1879">
        <v>1716</v>
      </c>
      <c r="U1879">
        <v>41</v>
      </c>
      <c r="V1879">
        <v>139</v>
      </c>
      <c r="W1879">
        <v>589</v>
      </c>
      <c r="X1879">
        <f>NHS_AE_2024_2025[[#This Row],[A&amp;E attendances Type 1]]+
NHS_AE_2024_2025[[#This Row],[A&amp;E attendances Type 2]]+
NHS_AE_2024_2025[[#This Row],[A&amp;E attendances Other A&amp;E Department]]</f>
        <v>19476</v>
      </c>
      <c r="Y1879">
        <f t="shared" si="58"/>
        <v>6601</v>
      </c>
      <c r="Z1879">
        <f t="shared" si="59"/>
        <v>2485</v>
      </c>
    </row>
    <row r="1880" spans="1:26" x14ac:dyDescent="0.2">
      <c r="A1880" t="s">
        <v>454</v>
      </c>
      <c r="B1880" t="s">
        <v>455</v>
      </c>
      <c r="C1880" t="s">
        <v>374</v>
      </c>
      <c r="D1880" t="s">
        <v>37</v>
      </c>
      <c r="E1880" t="s">
        <v>375</v>
      </c>
      <c r="F1880">
        <v>11574</v>
      </c>
      <c r="G1880">
        <v>0</v>
      </c>
      <c r="H1880">
        <v>3844</v>
      </c>
      <c r="I1880">
        <v>0</v>
      </c>
      <c r="J1880">
        <v>0</v>
      </c>
      <c r="K1880">
        <v>0</v>
      </c>
      <c r="L1880">
        <v>3989</v>
      </c>
      <c r="M1880">
        <v>0</v>
      </c>
      <c r="N1880">
        <v>15</v>
      </c>
      <c r="O1880">
        <v>0</v>
      </c>
      <c r="P1880">
        <v>0</v>
      </c>
      <c r="Q1880">
        <v>0</v>
      </c>
      <c r="R1880">
        <v>638</v>
      </c>
      <c r="S1880">
        <v>276</v>
      </c>
      <c r="T1880">
        <v>3419</v>
      </c>
      <c r="U1880">
        <v>0</v>
      </c>
      <c r="V1880">
        <v>0</v>
      </c>
      <c r="W1880">
        <v>431</v>
      </c>
      <c r="X1880">
        <f>NHS_AE_2024_2025[[#This Row],[A&amp;E attendances Type 1]]+
NHS_AE_2024_2025[[#This Row],[A&amp;E attendances Type 2]]+
NHS_AE_2024_2025[[#This Row],[A&amp;E attendances Other A&amp;E Department]]</f>
        <v>15418</v>
      </c>
      <c r="Y1880">
        <f t="shared" si="58"/>
        <v>4004</v>
      </c>
      <c r="Z1880">
        <f t="shared" si="59"/>
        <v>3850</v>
      </c>
    </row>
    <row r="1881" spans="1:26" x14ac:dyDescent="0.2">
      <c r="A1881" t="s">
        <v>454</v>
      </c>
      <c r="B1881" t="s">
        <v>455</v>
      </c>
      <c r="C1881" t="s">
        <v>254</v>
      </c>
      <c r="D1881" t="s">
        <v>50</v>
      </c>
      <c r="E1881" t="s">
        <v>255</v>
      </c>
      <c r="F1881">
        <v>8745</v>
      </c>
      <c r="G1881">
        <v>0</v>
      </c>
      <c r="H1881">
        <v>1654</v>
      </c>
      <c r="I1881">
        <v>328</v>
      </c>
      <c r="J1881">
        <v>0</v>
      </c>
      <c r="K1881">
        <v>34</v>
      </c>
      <c r="L1881">
        <v>3829</v>
      </c>
      <c r="M1881">
        <v>0</v>
      </c>
      <c r="N1881">
        <v>45</v>
      </c>
      <c r="O1881">
        <v>94</v>
      </c>
      <c r="P1881">
        <v>0</v>
      </c>
      <c r="Q1881">
        <v>2</v>
      </c>
      <c r="R1881">
        <v>740</v>
      </c>
      <c r="S1881">
        <v>451</v>
      </c>
      <c r="T1881">
        <v>2448</v>
      </c>
      <c r="U1881">
        <v>0</v>
      </c>
      <c r="V1881">
        <v>0</v>
      </c>
      <c r="W1881">
        <v>844</v>
      </c>
      <c r="X1881">
        <f>NHS_AE_2024_2025[[#This Row],[A&amp;E attendances Type 1]]+
NHS_AE_2024_2025[[#This Row],[A&amp;E attendances Type 2]]+
NHS_AE_2024_2025[[#This Row],[A&amp;E attendances Other A&amp;E Department]]</f>
        <v>10399</v>
      </c>
      <c r="Y1881">
        <f t="shared" si="58"/>
        <v>3874</v>
      </c>
      <c r="Z1881">
        <f t="shared" si="59"/>
        <v>3292</v>
      </c>
    </row>
    <row r="1882" spans="1:26" x14ac:dyDescent="0.2">
      <c r="A1882" t="s">
        <v>454</v>
      </c>
      <c r="B1882" t="s">
        <v>455</v>
      </c>
      <c r="C1882" t="s">
        <v>328</v>
      </c>
      <c r="D1882" t="s">
        <v>70</v>
      </c>
      <c r="E1882" t="s">
        <v>329</v>
      </c>
      <c r="F1882">
        <v>7812</v>
      </c>
      <c r="G1882">
        <v>0</v>
      </c>
      <c r="H1882">
        <v>1855</v>
      </c>
      <c r="I1882">
        <v>0</v>
      </c>
      <c r="J1882">
        <v>0</v>
      </c>
      <c r="K1882">
        <v>623</v>
      </c>
      <c r="L1882">
        <v>4639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556</v>
      </c>
      <c r="S1882">
        <v>117</v>
      </c>
      <c r="T1882">
        <v>1756</v>
      </c>
      <c r="U1882">
        <v>0</v>
      </c>
      <c r="V1882">
        <v>0</v>
      </c>
      <c r="W1882">
        <v>218</v>
      </c>
      <c r="X1882">
        <f>NHS_AE_2024_2025[[#This Row],[A&amp;E attendances Type 1]]+
NHS_AE_2024_2025[[#This Row],[A&amp;E attendances Type 2]]+
NHS_AE_2024_2025[[#This Row],[A&amp;E attendances Other A&amp;E Department]]</f>
        <v>9667</v>
      </c>
      <c r="Y1882">
        <f t="shared" si="58"/>
        <v>4639</v>
      </c>
      <c r="Z1882">
        <f t="shared" si="59"/>
        <v>1974</v>
      </c>
    </row>
    <row r="1883" spans="1:26" x14ac:dyDescent="0.2">
      <c r="A1883" t="s">
        <v>454</v>
      </c>
      <c r="B1883" t="s">
        <v>455</v>
      </c>
      <c r="C1883" t="s">
        <v>260</v>
      </c>
      <c r="D1883" t="s">
        <v>37</v>
      </c>
      <c r="E1883" t="s">
        <v>261</v>
      </c>
      <c r="F1883">
        <v>10468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3559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539</v>
      </c>
      <c r="S1883">
        <v>329</v>
      </c>
      <c r="T1883">
        <v>2769</v>
      </c>
      <c r="U1883">
        <v>0</v>
      </c>
      <c r="V1883">
        <v>0</v>
      </c>
      <c r="W1883">
        <v>509</v>
      </c>
      <c r="X1883">
        <f>NHS_AE_2024_2025[[#This Row],[A&amp;E attendances Type 1]]+
NHS_AE_2024_2025[[#This Row],[A&amp;E attendances Type 2]]+
NHS_AE_2024_2025[[#This Row],[A&amp;E attendances Other A&amp;E Department]]</f>
        <v>10468</v>
      </c>
      <c r="Y1883">
        <f t="shared" si="58"/>
        <v>3559</v>
      </c>
      <c r="Z1883">
        <f t="shared" si="59"/>
        <v>3278</v>
      </c>
    </row>
    <row r="1884" spans="1:26" x14ac:dyDescent="0.2">
      <c r="A1884" t="s">
        <v>454</v>
      </c>
      <c r="B1884" t="s">
        <v>455</v>
      </c>
      <c r="C1884" t="s">
        <v>338</v>
      </c>
      <c r="D1884" t="s">
        <v>50</v>
      </c>
      <c r="E1884" t="s">
        <v>339</v>
      </c>
      <c r="F1884">
        <v>7812</v>
      </c>
      <c r="G1884">
        <v>0</v>
      </c>
      <c r="H1884">
        <v>8991</v>
      </c>
      <c r="I1884">
        <v>0</v>
      </c>
      <c r="J1884">
        <v>0</v>
      </c>
      <c r="K1884">
        <v>1655</v>
      </c>
      <c r="L1884">
        <v>3855</v>
      </c>
      <c r="M1884">
        <v>0</v>
      </c>
      <c r="N1884">
        <v>731</v>
      </c>
      <c r="O1884">
        <v>0</v>
      </c>
      <c r="P1884">
        <v>0</v>
      </c>
      <c r="Q1884">
        <v>69</v>
      </c>
      <c r="R1884">
        <v>345</v>
      </c>
      <c r="S1884">
        <v>17</v>
      </c>
      <c r="T1884">
        <v>2683</v>
      </c>
      <c r="U1884">
        <v>0</v>
      </c>
      <c r="V1884">
        <v>125</v>
      </c>
      <c r="W1884">
        <v>2335</v>
      </c>
      <c r="X1884">
        <f>NHS_AE_2024_2025[[#This Row],[A&amp;E attendances Type 1]]+
NHS_AE_2024_2025[[#This Row],[A&amp;E attendances Type 2]]+
NHS_AE_2024_2025[[#This Row],[A&amp;E attendances Other A&amp;E Department]]</f>
        <v>16803</v>
      </c>
      <c r="Y1884">
        <f t="shared" si="58"/>
        <v>4586</v>
      </c>
      <c r="Z1884">
        <f t="shared" si="59"/>
        <v>5143</v>
      </c>
    </row>
    <row r="1885" spans="1:26" x14ac:dyDescent="0.2">
      <c r="A1885" t="s">
        <v>454</v>
      </c>
      <c r="B1885" t="s">
        <v>455</v>
      </c>
      <c r="C1885" t="s">
        <v>376</v>
      </c>
      <c r="D1885" t="s">
        <v>55</v>
      </c>
      <c r="E1885" t="s">
        <v>377</v>
      </c>
      <c r="F1885">
        <v>9073</v>
      </c>
      <c r="G1885">
        <v>0</v>
      </c>
      <c r="H1885">
        <v>2921</v>
      </c>
      <c r="I1885">
        <v>139</v>
      </c>
      <c r="J1885">
        <v>0</v>
      </c>
      <c r="K1885">
        <v>842</v>
      </c>
      <c r="L1885">
        <v>3095</v>
      </c>
      <c r="M1885">
        <v>0</v>
      </c>
      <c r="N1885">
        <v>74</v>
      </c>
      <c r="O1885">
        <v>11</v>
      </c>
      <c r="P1885">
        <v>0</v>
      </c>
      <c r="Q1885">
        <v>55</v>
      </c>
      <c r="R1885">
        <v>592</v>
      </c>
      <c r="S1885">
        <v>377</v>
      </c>
      <c r="T1885">
        <v>3241</v>
      </c>
      <c r="U1885">
        <v>0</v>
      </c>
      <c r="V1885">
        <v>28</v>
      </c>
      <c r="W1885">
        <v>1039</v>
      </c>
      <c r="X1885">
        <f>NHS_AE_2024_2025[[#This Row],[A&amp;E attendances Type 1]]+
NHS_AE_2024_2025[[#This Row],[A&amp;E attendances Type 2]]+
NHS_AE_2024_2025[[#This Row],[A&amp;E attendances Other A&amp;E Department]]</f>
        <v>11994</v>
      </c>
      <c r="Y1885">
        <f t="shared" si="58"/>
        <v>3169</v>
      </c>
      <c r="Z1885">
        <f t="shared" si="59"/>
        <v>4308</v>
      </c>
    </row>
    <row r="1886" spans="1:26" x14ac:dyDescent="0.2">
      <c r="A1886" t="s">
        <v>454</v>
      </c>
      <c r="B1886" t="s">
        <v>455</v>
      </c>
      <c r="C1886" t="s">
        <v>126</v>
      </c>
      <c r="D1886" t="s">
        <v>70</v>
      </c>
      <c r="E1886" t="s">
        <v>127</v>
      </c>
      <c r="F1886">
        <v>8588</v>
      </c>
      <c r="G1886">
        <v>0</v>
      </c>
      <c r="H1886">
        <v>7456</v>
      </c>
      <c r="I1886">
        <v>0</v>
      </c>
      <c r="J1886">
        <v>0</v>
      </c>
      <c r="K1886">
        <v>771</v>
      </c>
      <c r="L1886">
        <v>3719</v>
      </c>
      <c r="M1886">
        <v>0</v>
      </c>
      <c r="N1886">
        <v>330</v>
      </c>
      <c r="O1886">
        <v>0</v>
      </c>
      <c r="P1886">
        <v>0</v>
      </c>
      <c r="Q1886">
        <v>0</v>
      </c>
      <c r="R1886">
        <v>847</v>
      </c>
      <c r="S1886">
        <v>21</v>
      </c>
      <c r="T1886">
        <v>4208</v>
      </c>
      <c r="U1886">
        <v>0</v>
      </c>
      <c r="V1886">
        <v>0</v>
      </c>
      <c r="W1886">
        <v>565</v>
      </c>
      <c r="X1886">
        <f>NHS_AE_2024_2025[[#This Row],[A&amp;E attendances Type 1]]+
NHS_AE_2024_2025[[#This Row],[A&amp;E attendances Type 2]]+
NHS_AE_2024_2025[[#This Row],[A&amp;E attendances Other A&amp;E Department]]</f>
        <v>16044</v>
      </c>
      <c r="Y1886">
        <f t="shared" si="58"/>
        <v>4049</v>
      </c>
      <c r="Z1886">
        <f t="shared" si="59"/>
        <v>4773</v>
      </c>
    </row>
    <row r="1887" spans="1:26" x14ac:dyDescent="0.2">
      <c r="A1887" t="s">
        <v>454</v>
      </c>
      <c r="B1887" t="s">
        <v>455</v>
      </c>
      <c r="C1887" t="s">
        <v>168</v>
      </c>
      <c r="D1887" t="s">
        <v>32</v>
      </c>
      <c r="E1887" t="s">
        <v>169</v>
      </c>
      <c r="F1887">
        <v>13411</v>
      </c>
      <c r="G1887">
        <v>0</v>
      </c>
      <c r="H1887">
        <v>5203</v>
      </c>
      <c r="I1887">
        <v>33</v>
      </c>
      <c r="J1887">
        <v>0</v>
      </c>
      <c r="K1887">
        <v>0</v>
      </c>
      <c r="L1887">
        <v>8428</v>
      </c>
      <c r="M1887">
        <v>0</v>
      </c>
      <c r="N1887">
        <v>72</v>
      </c>
      <c r="O1887">
        <v>10</v>
      </c>
      <c r="P1887">
        <v>0</v>
      </c>
      <c r="Q1887">
        <v>0</v>
      </c>
      <c r="R1887">
        <v>681</v>
      </c>
      <c r="S1887">
        <v>261</v>
      </c>
      <c r="T1887">
        <v>2878</v>
      </c>
      <c r="U1887">
        <v>0</v>
      </c>
      <c r="V1887">
        <v>0</v>
      </c>
      <c r="W1887">
        <v>760</v>
      </c>
      <c r="X1887">
        <f>NHS_AE_2024_2025[[#This Row],[A&amp;E attendances Type 1]]+
NHS_AE_2024_2025[[#This Row],[A&amp;E attendances Type 2]]+
NHS_AE_2024_2025[[#This Row],[A&amp;E attendances Other A&amp;E Department]]</f>
        <v>18614</v>
      </c>
      <c r="Y1887">
        <f t="shared" si="58"/>
        <v>8500</v>
      </c>
      <c r="Z1887">
        <f t="shared" si="59"/>
        <v>3638</v>
      </c>
    </row>
    <row r="1888" spans="1:26" x14ac:dyDescent="0.2">
      <c r="A1888" t="s">
        <v>454</v>
      </c>
      <c r="B1888" t="s">
        <v>455</v>
      </c>
      <c r="C1888" t="s">
        <v>360</v>
      </c>
      <c r="D1888" t="s">
        <v>50</v>
      </c>
      <c r="E1888" t="s">
        <v>361</v>
      </c>
      <c r="F1888">
        <v>0</v>
      </c>
      <c r="G1888">
        <v>0</v>
      </c>
      <c r="H1888">
        <v>2104</v>
      </c>
      <c r="I1888">
        <v>0</v>
      </c>
      <c r="J1888">
        <v>0</v>
      </c>
      <c r="K1888">
        <v>280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f>NHS_AE_2024_2025[[#This Row],[A&amp;E attendances Type 1]]+
NHS_AE_2024_2025[[#This Row],[A&amp;E attendances Type 2]]+
NHS_AE_2024_2025[[#This Row],[A&amp;E attendances Other A&amp;E Department]]</f>
        <v>2104</v>
      </c>
      <c r="Y1888">
        <f t="shared" si="58"/>
        <v>0</v>
      </c>
      <c r="Z1888">
        <f t="shared" si="59"/>
        <v>0</v>
      </c>
    </row>
    <row r="1889" spans="1:26" x14ac:dyDescent="0.2">
      <c r="A1889" t="s">
        <v>454</v>
      </c>
      <c r="B1889" t="s">
        <v>455</v>
      </c>
      <c r="C1889" t="s">
        <v>136</v>
      </c>
      <c r="D1889" t="s">
        <v>32</v>
      </c>
      <c r="E1889" t="s">
        <v>137</v>
      </c>
      <c r="F1889">
        <v>0</v>
      </c>
      <c r="G1889">
        <v>0</v>
      </c>
      <c r="H1889">
        <v>6472</v>
      </c>
      <c r="I1889">
        <v>0</v>
      </c>
      <c r="J1889">
        <v>0</v>
      </c>
      <c r="K1889">
        <v>612</v>
      </c>
      <c r="L1889">
        <v>0</v>
      </c>
      <c r="M1889">
        <v>0</v>
      </c>
      <c r="N1889">
        <v>38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f>NHS_AE_2024_2025[[#This Row],[A&amp;E attendances Type 1]]+
NHS_AE_2024_2025[[#This Row],[A&amp;E attendances Type 2]]+
NHS_AE_2024_2025[[#This Row],[A&amp;E attendances Other A&amp;E Department]]</f>
        <v>6472</v>
      </c>
      <c r="Y1889">
        <f t="shared" si="58"/>
        <v>38</v>
      </c>
      <c r="Z1889">
        <f t="shared" si="59"/>
        <v>0</v>
      </c>
    </row>
    <row r="1890" spans="1:26" x14ac:dyDescent="0.2">
      <c r="A1890" t="s">
        <v>454</v>
      </c>
      <c r="B1890" t="s">
        <v>455</v>
      </c>
      <c r="C1890" t="s">
        <v>138</v>
      </c>
      <c r="D1890" t="s">
        <v>32</v>
      </c>
      <c r="E1890" t="s">
        <v>139</v>
      </c>
      <c r="F1890">
        <v>0</v>
      </c>
      <c r="G1890">
        <v>0</v>
      </c>
      <c r="H1890">
        <v>198</v>
      </c>
      <c r="I1890">
        <v>0</v>
      </c>
      <c r="J1890">
        <v>0</v>
      </c>
      <c r="K1890">
        <v>2094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f>NHS_AE_2024_2025[[#This Row],[A&amp;E attendances Type 1]]+
NHS_AE_2024_2025[[#This Row],[A&amp;E attendances Type 2]]+
NHS_AE_2024_2025[[#This Row],[A&amp;E attendances Other A&amp;E Department]]</f>
        <v>198</v>
      </c>
      <c r="Y1890">
        <f t="shared" si="58"/>
        <v>1</v>
      </c>
      <c r="Z1890">
        <f t="shared" si="59"/>
        <v>0</v>
      </c>
    </row>
    <row r="1891" spans="1:26" x14ac:dyDescent="0.2">
      <c r="A1891" t="s">
        <v>454</v>
      </c>
      <c r="B1891" t="s">
        <v>455</v>
      </c>
      <c r="C1891" t="s">
        <v>140</v>
      </c>
      <c r="D1891" t="s">
        <v>32</v>
      </c>
      <c r="E1891" t="s">
        <v>141</v>
      </c>
      <c r="F1891">
        <v>0</v>
      </c>
      <c r="G1891">
        <v>0</v>
      </c>
      <c r="H1891">
        <v>100</v>
      </c>
      <c r="I1891">
        <v>0</v>
      </c>
      <c r="J1891">
        <v>0</v>
      </c>
      <c r="K1891">
        <v>401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f>NHS_AE_2024_2025[[#This Row],[A&amp;E attendances Type 1]]+
NHS_AE_2024_2025[[#This Row],[A&amp;E attendances Type 2]]+
NHS_AE_2024_2025[[#This Row],[A&amp;E attendances Other A&amp;E Department]]</f>
        <v>100</v>
      </c>
      <c r="Y1891">
        <f t="shared" si="58"/>
        <v>0</v>
      </c>
      <c r="Z1891">
        <f t="shared" si="59"/>
        <v>0</v>
      </c>
    </row>
    <row r="1892" spans="1:26" x14ac:dyDescent="0.2">
      <c r="A1892" t="s">
        <v>454</v>
      </c>
      <c r="B1892" t="s">
        <v>455</v>
      </c>
      <c r="C1892" t="s">
        <v>142</v>
      </c>
      <c r="D1892" t="s">
        <v>32</v>
      </c>
      <c r="E1892" t="s">
        <v>143</v>
      </c>
      <c r="F1892">
        <v>0</v>
      </c>
      <c r="G1892">
        <v>0</v>
      </c>
      <c r="H1892">
        <v>68</v>
      </c>
      <c r="I1892">
        <v>0</v>
      </c>
      <c r="J1892">
        <v>0</v>
      </c>
      <c r="K1892">
        <v>360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f>NHS_AE_2024_2025[[#This Row],[A&amp;E attendances Type 1]]+
NHS_AE_2024_2025[[#This Row],[A&amp;E attendances Type 2]]+
NHS_AE_2024_2025[[#This Row],[A&amp;E attendances Other A&amp;E Department]]</f>
        <v>68</v>
      </c>
      <c r="Y1892">
        <f t="shared" si="58"/>
        <v>0</v>
      </c>
      <c r="Z1892">
        <f t="shared" si="59"/>
        <v>0</v>
      </c>
    </row>
    <row r="1893" spans="1:26" x14ac:dyDescent="0.2">
      <c r="A1893" t="s">
        <v>454</v>
      </c>
      <c r="B1893" t="s">
        <v>455</v>
      </c>
      <c r="C1893" t="s">
        <v>414</v>
      </c>
      <c r="D1893" t="s">
        <v>32</v>
      </c>
      <c r="E1893" t="s">
        <v>415</v>
      </c>
      <c r="F1893">
        <v>0</v>
      </c>
      <c r="G1893">
        <v>0</v>
      </c>
      <c r="H1893">
        <v>479</v>
      </c>
      <c r="I1893">
        <v>0</v>
      </c>
      <c r="J1893">
        <v>0</v>
      </c>
      <c r="K1893">
        <v>2174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f>NHS_AE_2024_2025[[#This Row],[A&amp;E attendances Type 1]]+
NHS_AE_2024_2025[[#This Row],[A&amp;E attendances Type 2]]+
NHS_AE_2024_2025[[#This Row],[A&amp;E attendances Other A&amp;E Department]]</f>
        <v>479</v>
      </c>
      <c r="Y1893">
        <f t="shared" si="58"/>
        <v>0</v>
      </c>
      <c r="Z1893">
        <f t="shared" si="59"/>
        <v>0</v>
      </c>
    </row>
    <row r="1894" spans="1:26" x14ac:dyDescent="0.2">
      <c r="A1894" t="s">
        <v>454</v>
      </c>
      <c r="B1894" t="s">
        <v>455</v>
      </c>
      <c r="C1894" t="s">
        <v>144</v>
      </c>
      <c r="D1894" t="s">
        <v>32</v>
      </c>
      <c r="E1894" t="s">
        <v>145</v>
      </c>
      <c r="F1894">
        <v>0</v>
      </c>
      <c r="G1894">
        <v>0</v>
      </c>
      <c r="H1894">
        <v>63</v>
      </c>
      <c r="I1894">
        <v>0</v>
      </c>
      <c r="J1894">
        <v>0</v>
      </c>
      <c r="K1894">
        <v>381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f>NHS_AE_2024_2025[[#This Row],[A&amp;E attendances Type 1]]+
NHS_AE_2024_2025[[#This Row],[A&amp;E attendances Type 2]]+
NHS_AE_2024_2025[[#This Row],[A&amp;E attendances Other A&amp;E Department]]</f>
        <v>63</v>
      </c>
      <c r="Y1894">
        <f t="shared" si="58"/>
        <v>0</v>
      </c>
      <c r="Z1894">
        <f t="shared" si="59"/>
        <v>0</v>
      </c>
    </row>
    <row r="1895" spans="1:26" x14ac:dyDescent="0.2">
      <c r="A1895" t="s">
        <v>454</v>
      </c>
      <c r="B1895" t="s">
        <v>455</v>
      </c>
      <c r="C1895" t="s">
        <v>118</v>
      </c>
      <c r="D1895" t="s">
        <v>32</v>
      </c>
      <c r="E1895" t="s">
        <v>119</v>
      </c>
      <c r="F1895">
        <v>0</v>
      </c>
      <c r="G1895">
        <v>0</v>
      </c>
      <c r="H1895">
        <v>2044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19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f>NHS_AE_2024_2025[[#This Row],[A&amp;E attendances Type 1]]+
NHS_AE_2024_2025[[#This Row],[A&amp;E attendances Type 2]]+
NHS_AE_2024_2025[[#This Row],[A&amp;E attendances Other A&amp;E Department]]</f>
        <v>2044</v>
      </c>
      <c r="Y1895">
        <f t="shared" si="58"/>
        <v>19</v>
      </c>
      <c r="Z1895">
        <f t="shared" si="59"/>
        <v>0</v>
      </c>
    </row>
    <row r="1896" spans="1:26" x14ac:dyDescent="0.2">
      <c r="A1896" t="s">
        <v>454</v>
      </c>
      <c r="B1896" t="s">
        <v>455</v>
      </c>
      <c r="C1896" t="s">
        <v>396</v>
      </c>
      <c r="D1896" t="s">
        <v>29</v>
      </c>
      <c r="E1896" t="s">
        <v>397</v>
      </c>
      <c r="F1896">
        <v>6270</v>
      </c>
      <c r="G1896">
        <v>0</v>
      </c>
      <c r="H1896">
        <v>7004</v>
      </c>
      <c r="I1896">
        <v>0</v>
      </c>
      <c r="J1896">
        <v>0</v>
      </c>
      <c r="K1896">
        <v>0</v>
      </c>
      <c r="L1896">
        <v>3743</v>
      </c>
      <c r="M1896">
        <v>0</v>
      </c>
      <c r="N1896">
        <v>222</v>
      </c>
      <c r="O1896">
        <v>0</v>
      </c>
      <c r="P1896">
        <v>0</v>
      </c>
      <c r="Q1896">
        <v>0</v>
      </c>
      <c r="R1896">
        <v>464</v>
      </c>
      <c r="S1896">
        <v>14</v>
      </c>
      <c r="T1896">
        <v>1902</v>
      </c>
      <c r="U1896">
        <v>0</v>
      </c>
      <c r="V1896">
        <v>0</v>
      </c>
      <c r="W1896">
        <v>134</v>
      </c>
      <c r="X1896">
        <f>NHS_AE_2024_2025[[#This Row],[A&amp;E attendances Type 1]]+
NHS_AE_2024_2025[[#This Row],[A&amp;E attendances Type 2]]+
NHS_AE_2024_2025[[#This Row],[A&amp;E attendances Other A&amp;E Department]]</f>
        <v>13274</v>
      </c>
      <c r="Y1896">
        <f t="shared" si="58"/>
        <v>3965</v>
      </c>
      <c r="Z1896">
        <f t="shared" si="59"/>
        <v>2036</v>
      </c>
    </row>
    <row r="1897" spans="1:26" x14ac:dyDescent="0.2">
      <c r="A1897" t="s">
        <v>454</v>
      </c>
      <c r="B1897" t="s">
        <v>455</v>
      </c>
      <c r="C1897" t="s">
        <v>294</v>
      </c>
      <c r="D1897" t="s">
        <v>70</v>
      </c>
      <c r="E1897" t="s">
        <v>295</v>
      </c>
      <c r="F1897">
        <v>16716</v>
      </c>
      <c r="G1897">
        <v>0</v>
      </c>
      <c r="H1897">
        <v>8434</v>
      </c>
      <c r="I1897">
        <v>0</v>
      </c>
      <c r="J1897">
        <v>0</v>
      </c>
      <c r="K1897">
        <v>1038</v>
      </c>
      <c r="L1897">
        <v>6826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80</v>
      </c>
      <c r="S1897">
        <v>36</v>
      </c>
      <c r="T1897">
        <v>5026</v>
      </c>
      <c r="U1897">
        <v>0</v>
      </c>
      <c r="V1897">
        <v>0</v>
      </c>
      <c r="W1897">
        <v>2040</v>
      </c>
      <c r="X1897">
        <f>NHS_AE_2024_2025[[#This Row],[A&amp;E attendances Type 1]]+
NHS_AE_2024_2025[[#This Row],[A&amp;E attendances Type 2]]+
NHS_AE_2024_2025[[#This Row],[A&amp;E attendances Other A&amp;E Department]]</f>
        <v>25150</v>
      </c>
      <c r="Y1897">
        <f t="shared" si="58"/>
        <v>6826</v>
      </c>
      <c r="Z1897">
        <f t="shared" si="59"/>
        <v>7066</v>
      </c>
    </row>
    <row r="1898" spans="1:26" x14ac:dyDescent="0.2">
      <c r="A1898" t="s">
        <v>454</v>
      </c>
      <c r="B1898" t="s">
        <v>455</v>
      </c>
      <c r="C1898" t="s">
        <v>240</v>
      </c>
      <c r="D1898" t="s">
        <v>50</v>
      </c>
      <c r="E1898" t="s">
        <v>241</v>
      </c>
      <c r="F1898">
        <v>5652</v>
      </c>
      <c r="G1898">
        <v>212</v>
      </c>
      <c r="H1898">
        <v>0</v>
      </c>
      <c r="I1898">
        <v>513</v>
      </c>
      <c r="J1898">
        <v>0</v>
      </c>
      <c r="K1898">
        <v>0</v>
      </c>
      <c r="L1898">
        <v>2577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528</v>
      </c>
      <c r="S1898">
        <v>135</v>
      </c>
      <c r="T1898">
        <v>1587</v>
      </c>
      <c r="U1898">
        <v>0</v>
      </c>
      <c r="V1898">
        <v>0</v>
      </c>
      <c r="W1898">
        <v>556</v>
      </c>
      <c r="X1898">
        <f>NHS_AE_2024_2025[[#This Row],[A&amp;E attendances Type 1]]+
NHS_AE_2024_2025[[#This Row],[A&amp;E attendances Type 2]]+
NHS_AE_2024_2025[[#This Row],[A&amp;E attendances Other A&amp;E Department]]</f>
        <v>5864</v>
      </c>
      <c r="Y1898">
        <f t="shared" si="58"/>
        <v>2577</v>
      </c>
      <c r="Z1898">
        <f t="shared" si="59"/>
        <v>2143</v>
      </c>
    </row>
    <row r="1899" spans="1:26" x14ac:dyDescent="0.2">
      <c r="A1899" t="s">
        <v>454</v>
      </c>
      <c r="B1899" t="s">
        <v>455</v>
      </c>
      <c r="C1899" t="s">
        <v>194</v>
      </c>
      <c r="D1899" t="s">
        <v>50</v>
      </c>
      <c r="E1899" t="s">
        <v>195</v>
      </c>
      <c r="F1899">
        <v>5219</v>
      </c>
      <c r="G1899">
        <v>0</v>
      </c>
      <c r="H1899">
        <v>518</v>
      </c>
      <c r="I1899">
        <v>325</v>
      </c>
      <c r="J1899">
        <v>0</v>
      </c>
      <c r="K1899">
        <v>35</v>
      </c>
      <c r="L1899">
        <v>654</v>
      </c>
      <c r="M1899">
        <v>0</v>
      </c>
      <c r="N1899">
        <v>0</v>
      </c>
      <c r="O1899">
        <v>46</v>
      </c>
      <c r="P1899">
        <v>0</v>
      </c>
      <c r="Q1899">
        <v>0</v>
      </c>
      <c r="R1899">
        <v>15</v>
      </c>
      <c r="S1899">
        <v>0</v>
      </c>
      <c r="T1899">
        <v>1245</v>
      </c>
      <c r="U1899">
        <v>0</v>
      </c>
      <c r="V1899">
        <v>0</v>
      </c>
      <c r="W1899">
        <v>102</v>
      </c>
      <c r="X1899">
        <f>NHS_AE_2024_2025[[#This Row],[A&amp;E attendances Type 1]]+
NHS_AE_2024_2025[[#This Row],[A&amp;E attendances Type 2]]+
NHS_AE_2024_2025[[#This Row],[A&amp;E attendances Other A&amp;E Department]]</f>
        <v>5737</v>
      </c>
      <c r="Y1899">
        <f t="shared" si="58"/>
        <v>654</v>
      </c>
      <c r="Z1899">
        <f t="shared" si="59"/>
        <v>1347</v>
      </c>
    </row>
    <row r="1900" spans="1:26" x14ac:dyDescent="0.2">
      <c r="A1900" t="s">
        <v>454</v>
      </c>
      <c r="B1900" t="s">
        <v>455</v>
      </c>
      <c r="C1900" t="s">
        <v>402</v>
      </c>
      <c r="D1900" t="s">
        <v>70</v>
      </c>
      <c r="E1900" t="s">
        <v>403</v>
      </c>
      <c r="F1900">
        <v>6813</v>
      </c>
      <c r="G1900">
        <v>0</v>
      </c>
      <c r="H1900">
        <v>1200</v>
      </c>
      <c r="I1900">
        <v>0</v>
      </c>
      <c r="J1900">
        <v>0</v>
      </c>
      <c r="K1900">
        <v>0</v>
      </c>
      <c r="L1900">
        <v>2912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294</v>
      </c>
      <c r="S1900">
        <v>97</v>
      </c>
      <c r="T1900">
        <v>2051</v>
      </c>
      <c r="U1900">
        <v>0</v>
      </c>
      <c r="V1900">
        <v>0</v>
      </c>
      <c r="W1900">
        <v>300</v>
      </c>
      <c r="X1900">
        <f>NHS_AE_2024_2025[[#This Row],[A&amp;E attendances Type 1]]+
NHS_AE_2024_2025[[#This Row],[A&amp;E attendances Type 2]]+
NHS_AE_2024_2025[[#This Row],[A&amp;E attendances Other A&amp;E Department]]</f>
        <v>8013</v>
      </c>
      <c r="Y1900">
        <f t="shared" si="58"/>
        <v>2912</v>
      </c>
      <c r="Z1900">
        <f t="shared" si="59"/>
        <v>2351</v>
      </c>
    </row>
    <row r="1901" spans="1:26" x14ac:dyDescent="0.2">
      <c r="A1901" t="s">
        <v>454</v>
      </c>
      <c r="B1901" t="s">
        <v>455</v>
      </c>
      <c r="C1901" t="s">
        <v>364</v>
      </c>
      <c r="D1901" t="s">
        <v>37</v>
      </c>
      <c r="E1901" t="s">
        <v>365</v>
      </c>
      <c r="F1901">
        <v>0</v>
      </c>
      <c r="G1901">
        <v>0</v>
      </c>
      <c r="H1901">
        <v>11428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77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f>NHS_AE_2024_2025[[#This Row],[A&amp;E attendances Type 1]]+
NHS_AE_2024_2025[[#This Row],[A&amp;E attendances Type 2]]+
NHS_AE_2024_2025[[#This Row],[A&amp;E attendances Other A&amp;E Department]]</f>
        <v>11428</v>
      </c>
      <c r="Y1901">
        <f t="shared" si="58"/>
        <v>77</v>
      </c>
      <c r="Z1901">
        <f t="shared" si="59"/>
        <v>1</v>
      </c>
    </row>
    <row r="1902" spans="1:26" x14ac:dyDescent="0.2">
      <c r="A1902" t="s">
        <v>454</v>
      </c>
      <c r="B1902" t="s">
        <v>455</v>
      </c>
      <c r="C1902" t="s">
        <v>198</v>
      </c>
      <c r="D1902" t="s">
        <v>55</v>
      </c>
      <c r="E1902" t="s">
        <v>199</v>
      </c>
      <c r="F1902">
        <v>0</v>
      </c>
      <c r="G1902">
        <v>1231</v>
      </c>
      <c r="H1902">
        <v>0</v>
      </c>
      <c r="I1902">
        <v>0</v>
      </c>
      <c r="J1902">
        <v>125</v>
      </c>
      <c r="K1902">
        <v>0</v>
      </c>
      <c r="L1902">
        <v>0</v>
      </c>
      <c r="M1902">
        <v>113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96</v>
      </c>
      <c r="V1902">
        <v>0</v>
      </c>
      <c r="W1902">
        <v>19</v>
      </c>
      <c r="X1902">
        <f>NHS_AE_2024_2025[[#This Row],[A&amp;E attendances Type 1]]+
NHS_AE_2024_2025[[#This Row],[A&amp;E attendances Type 2]]+
NHS_AE_2024_2025[[#This Row],[A&amp;E attendances Other A&amp;E Department]]</f>
        <v>1231</v>
      </c>
      <c r="Y1902">
        <f t="shared" si="58"/>
        <v>113</v>
      </c>
      <c r="Z1902">
        <f t="shared" si="59"/>
        <v>115</v>
      </c>
    </row>
    <row r="1903" spans="1:26" x14ac:dyDescent="0.2">
      <c r="A1903" t="s">
        <v>454</v>
      </c>
      <c r="B1903" t="s">
        <v>455</v>
      </c>
      <c r="C1903" t="s">
        <v>154</v>
      </c>
      <c r="D1903" t="s">
        <v>70</v>
      </c>
      <c r="E1903" t="s">
        <v>155</v>
      </c>
      <c r="F1903">
        <v>7287</v>
      </c>
      <c r="G1903">
        <v>0</v>
      </c>
      <c r="H1903">
        <v>1326</v>
      </c>
      <c r="I1903">
        <v>0</v>
      </c>
      <c r="J1903">
        <v>0</v>
      </c>
      <c r="K1903">
        <v>0</v>
      </c>
      <c r="L1903">
        <v>3175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525</v>
      </c>
      <c r="S1903">
        <v>339</v>
      </c>
      <c r="T1903">
        <v>1604</v>
      </c>
      <c r="U1903">
        <v>0</v>
      </c>
      <c r="V1903">
        <v>0</v>
      </c>
      <c r="W1903">
        <v>450</v>
      </c>
      <c r="X1903">
        <f>NHS_AE_2024_2025[[#This Row],[A&amp;E attendances Type 1]]+
NHS_AE_2024_2025[[#This Row],[A&amp;E attendances Type 2]]+
NHS_AE_2024_2025[[#This Row],[A&amp;E attendances Other A&amp;E Department]]</f>
        <v>8613</v>
      </c>
      <c r="Y1903">
        <f t="shared" si="58"/>
        <v>3175</v>
      </c>
      <c r="Z1903">
        <f t="shared" si="59"/>
        <v>2054</v>
      </c>
    </row>
    <row r="1904" spans="1:26" x14ac:dyDescent="0.2">
      <c r="A1904" t="s">
        <v>454</v>
      </c>
      <c r="B1904" t="s">
        <v>455</v>
      </c>
      <c r="C1904" t="s">
        <v>246</v>
      </c>
      <c r="D1904" t="s">
        <v>70</v>
      </c>
      <c r="E1904" t="s">
        <v>247</v>
      </c>
      <c r="F1904">
        <v>10816</v>
      </c>
      <c r="G1904">
        <v>0</v>
      </c>
      <c r="H1904">
        <v>5404</v>
      </c>
      <c r="I1904">
        <v>245</v>
      </c>
      <c r="J1904">
        <v>0</v>
      </c>
      <c r="K1904">
        <v>322</v>
      </c>
      <c r="L1904">
        <v>5423</v>
      </c>
      <c r="M1904">
        <v>0</v>
      </c>
      <c r="N1904">
        <v>121</v>
      </c>
      <c r="O1904">
        <v>72</v>
      </c>
      <c r="P1904">
        <v>0</v>
      </c>
      <c r="Q1904">
        <v>9</v>
      </c>
      <c r="R1904">
        <v>553</v>
      </c>
      <c r="S1904">
        <v>527</v>
      </c>
      <c r="T1904">
        <v>2741</v>
      </c>
      <c r="U1904">
        <v>0</v>
      </c>
      <c r="V1904">
        <v>32</v>
      </c>
      <c r="W1904">
        <v>477</v>
      </c>
      <c r="X1904">
        <f>NHS_AE_2024_2025[[#This Row],[A&amp;E attendances Type 1]]+
NHS_AE_2024_2025[[#This Row],[A&amp;E attendances Type 2]]+
NHS_AE_2024_2025[[#This Row],[A&amp;E attendances Other A&amp;E Department]]</f>
        <v>16220</v>
      </c>
      <c r="Y1904">
        <f t="shared" si="58"/>
        <v>5544</v>
      </c>
      <c r="Z1904">
        <f t="shared" si="59"/>
        <v>3250</v>
      </c>
    </row>
    <row r="1905" spans="1:26" x14ac:dyDescent="0.2">
      <c r="A1905" t="s">
        <v>454</v>
      </c>
      <c r="B1905" t="s">
        <v>455</v>
      </c>
      <c r="C1905" t="s">
        <v>382</v>
      </c>
      <c r="D1905" t="s">
        <v>26</v>
      </c>
      <c r="E1905" t="s">
        <v>383</v>
      </c>
      <c r="F1905">
        <v>12368</v>
      </c>
      <c r="G1905">
        <v>0</v>
      </c>
      <c r="H1905">
        <v>8991</v>
      </c>
      <c r="I1905">
        <v>0</v>
      </c>
      <c r="J1905">
        <v>0</v>
      </c>
      <c r="K1905">
        <v>0</v>
      </c>
      <c r="L1905">
        <v>5926</v>
      </c>
      <c r="M1905">
        <v>0</v>
      </c>
      <c r="N1905">
        <v>148</v>
      </c>
      <c r="O1905">
        <v>0</v>
      </c>
      <c r="P1905">
        <v>0</v>
      </c>
      <c r="Q1905">
        <v>0</v>
      </c>
      <c r="R1905">
        <v>620</v>
      </c>
      <c r="S1905">
        <v>114</v>
      </c>
      <c r="T1905">
        <v>3201</v>
      </c>
      <c r="U1905">
        <v>0</v>
      </c>
      <c r="V1905">
        <v>0</v>
      </c>
      <c r="W1905">
        <v>1790</v>
      </c>
      <c r="X1905">
        <f>NHS_AE_2024_2025[[#This Row],[A&amp;E attendances Type 1]]+
NHS_AE_2024_2025[[#This Row],[A&amp;E attendances Type 2]]+
NHS_AE_2024_2025[[#This Row],[A&amp;E attendances Other A&amp;E Department]]</f>
        <v>21359</v>
      </c>
      <c r="Y1905">
        <f t="shared" si="58"/>
        <v>6074</v>
      </c>
      <c r="Z1905">
        <f t="shared" si="59"/>
        <v>4991</v>
      </c>
    </row>
    <row r="1906" spans="1:26" x14ac:dyDescent="0.2">
      <c r="A1906" t="s">
        <v>454</v>
      </c>
      <c r="B1906" t="s">
        <v>455</v>
      </c>
      <c r="C1906" t="s">
        <v>300</v>
      </c>
      <c r="D1906" t="s">
        <v>37</v>
      </c>
      <c r="E1906" t="s">
        <v>301</v>
      </c>
      <c r="F1906">
        <v>12029</v>
      </c>
      <c r="G1906">
        <v>1176</v>
      </c>
      <c r="H1906">
        <v>0</v>
      </c>
      <c r="I1906">
        <v>292</v>
      </c>
      <c r="J1906">
        <v>0</v>
      </c>
      <c r="K1906">
        <v>0</v>
      </c>
      <c r="L1906">
        <v>5287</v>
      </c>
      <c r="M1906">
        <v>72</v>
      </c>
      <c r="N1906">
        <v>0</v>
      </c>
      <c r="O1906">
        <v>122</v>
      </c>
      <c r="P1906">
        <v>0</v>
      </c>
      <c r="Q1906">
        <v>0</v>
      </c>
      <c r="R1906">
        <v>433</v>
      </c>
      <c r="S1906">
        <v>5</v>
      </c>
      <c r="T1906">
        <v>3804</v>
      </c>
      <c r="U1906">
        <v>9</v>
      </c>
      <c r="V1906">
        <v>0</v>
      </c>
      <c r="W1906">
        <v>1532</v>
      </c>
      <c r="X1906">
        <f>NHS_AE_2024_2025[[#This Row],[A&amp;E attendances Type 1]]+
NHS_AE_2024_2025[[#This Row],[A&amp;E attendances Type 2]]+
NHS_AE_2024_2025[[#This Row],[A&amp;E attendances Other A&amp;E Department]]</f>
        <v>13205</v>
      </c>
      <c r="Y1906">
        <f t="shared" si="58"/>
        <v>5359</v>
      </c>
      <c r="Z1906">
        <f t="shared" si="59"/>
        <v>5345</v>
      </c>
    </row>
    <row r="1907" spans="1:26" x14ac:dyDescent="0.2">
      <c r="A1907" t="s">
        <v>454</v>
      </c>
      <c r="B1907" t="s">
        <v>455</v>
      </c>
      <c r="C1907" t="s">
        <v>314</v>
      </c>
      <c r="D1907" t="s">
        <v>32</v>
      </c>
      <c r="E1907" t="s">
        <v>315</v>
      </c>
      <c r="F1907">
        <v>7489</v>
      </c>
      <c r="G1907">
        <v>0</v>
      </c>
      <c r="H1907">
        <v>1710</v>
      </c>
      <c r="I1907">
        <v>0</v>
      </c>
      <c r="J1907">
        <v>0</v>
      </c>
      <c r="K1907">
        <v>0</v>
      </c>
      <c r="L1907">
        <v>2619</v>
      </c>
      <c r="M1907">
        <v>0</v>
      </c>
      <c r="N1907">
        <v>60</v>
      </c>
      <c r="O1907">
        <v>0</v>
      </c>
      <c r="P1907">
        <v>0</v>
      </c>
      <c r="Q1907">
        <v>0</v>
      </c>
      <c r="R1907">
        <v>678</v>
      </c>
      <c r="S1907">
        <v>141</v>
      </c>
      <c r="T1907">
        <v>1129</v>
      </c>
      <c r="U1907">
        <v>0</v>
      </c>
      <c r="V1907">
        <v>0</v>
      </c>
      <c r="W1907">
        <v>0</v>
      </c>
      <c r="X1907">
        <f>NHS_AE_2024_2025[[#This Row],[A&amp;E attendances Type 1]]+
NHS_AE_2024_2025[[#This Row],[A&amp;E attendances Type 2]]+
NHS_AE_2024_2025[[#This Row],[A&amp;E attendances Other A&amp;E Department]]</f>
        <v>9199</v>
      </c>
      <c r="Y1907">
        <f t="shared" si="58"/>
        <v>2679</v>
      </c>
      <c r="Z1907">
        <f t="shared" si="59"/>
        <v>1129</v>
      </c>
    </row>
    <row r="1908" spans="1:26" x14ac:dyDescent="0.2">
      <c r="A1908" t="s">
        <v>454</v>
      </c>
      <c r="B1908" t="s">
        <v>455</v>
      </c>
      <c r="C1908" t="s">
        <v>318</v>
      </c>
      <c r="D1908" t="s">
        <v>55</v>
      </c>
      <c r="E1908" t="s">
        <v>319</v>
      </c>
      <c r="F1908">
        <v>8628</v>
      </c>
      <c r="G1908">
        <v>0</v>
      </c>
      <c r="H1908">
        <v>3185</v>
      </c>
      <c r="I1908">
        <v>406</v>
      </c>
      <c r="J1908">
        <v>0</v>
      </c>
      <c r="K1908">
        <v>371</v>
      </c>
      <c r="L1908">
        <v>4077</v>
      </c>
      <c r="M1908">
        <v>0</v>
      </c>
      <c r="N1908">
        <v>8</v>
      </c>
      <c r="O1908">
        <v>0</v>
      </c>
      <c r="P1908">
        <v>0</v>
      </c>
      <c r="Q1908">
        <v>0</v>
      </c>
      <c r="R1908">
        <v>419</v>
      </c>
      <c r="S1908">
        <v>541</v>
      </c>
      <c r="T1908">
        <v>1826</v>
      </c>
      <c r="U1908">
        <v>0</v>
      </c>
      <c r="V1908">
        <v>0</v>
      </c>
      <c r="W1908">
        <v>297</v>
      </c>
      <c r="X1908">
        <f>NHS_AE_2024_2025[[#This Row],[A&amp;E attendances Type 1]]+
NHS_AE_2024_2025[[#This Row],[A&amp;E attendances Type 2]]+
NHS_AE_2024_2025[[#This Row],[A&amp;E attendances Other A&amp;E Department]]</f>
        <v>11813</v>
      </c>
      <c r="Y1908">
        <f t="shared" si="58"/>
        <v>4085</v>
      </c>
      <c r="Z1908">
        <f t="shared" si="59"/>
        <v>2123</v>
      </c>
    </row>
    <row r="1909" spans="1:26" x14ac:dyDescent="0.2">
      <c r="A1909" t="s">
        <v>454</v>
      </c>
      <c r="B1909" t="s">
        <v>455</v>
      </c>
      <c r="C1909" t="s">
        <v>252</v>
      </c>
      <c r="D1909" t="s">
        <v>37</v>
      </c>
      <c r="E1909" t="s">
        <v>253</v>
      </c>
      <c r="F1909">
        <v>11951</v>
      </c>
      <c r="G1909">
        <v>80</v>
      </c>
      <c r="H1909">
        <v>1329</v>
      </c>
      <c r="I1909">
        <v>0</v>
      </c>
      <c r="J1909">
        <v>0</v>
      </c>
      <c r="K1909">
        <v>114</v>
      </c>
      <c r="L1909">
        <v>5735</v>
      </c>
      <c r="M1909">
        <v>0</v>
      </c>
      <c r="N1909">
        <v>60</v>
      </c>
      <c r="O1909">
        <v>0</v>
      </c>
      <c r="P1909">
        <v>0</v>
      </c>
      <c r="Q1909">
        <v>0</v>
      </c>
      <c r="R1909">
        <v>432</v>
      </c>
      <c r="S1909">
        <v>128</v>
      </c>
      <c r="T1909">
        <v>4314</v>
      </c>
      <c r="U1909">
        <v>10</v>
      </c>
      <c r="V1909">
        <v>35</v>
      </c>
      <c r="W1909">
        <v>1213</v>
      </c>
      <c r="X1909">
        <f>NHS_AE_2024_2025[[#This Row],[A&amp;E attendances Type 1]]+
NHS_AE_2024_2025[[#This Row],[A&amp;E attendances Type 2]]+
NHS_AE_2024_2025[[#This Row],[A&amp;E attendances Other A&amp;E Department]]</f>
        <v>13360</v>
      </c>
      <c r="Y1909">
        <f t="shared" si="58"/>
        <v>5795</v>
      </c>
      <c r="Z1909">
        <f t="shared" si="59"/>
        <v>5572</v>
      </c>
    </row>
    <row r="1910" spans="1:26" x14ac:dyDescent="0.2">
      <c r="A1910" t="s">
        <v>454</v>
      </c>
      <c r="B1910" t="s">
        <v>455</v>
      </c>
      <c r="C1910" t="s">
        <v>114</v>
      </c>
      <c r="D1910" t="s">
        <v>32</v>
      </c>
      <c r="E1910" t="s">
        <v>115</v>
      </c>
      <c r="F1910">
        <v>9745</v>
      </c>
      <c r="G1910">
        <v>559</v>
      </c>
      <c r="H1910">
        <v>2487</v>
      </c>
      <c r="I1910">
        <v>1405</v>
      </c>
      <c r="J1910">
        <v>0</v>
      </c>
      <c r="K1910">
        <v>179</v>
      </c>
      <c r="L1910">
        <v>4460</v>
      </c>
      <c r="M1910">
        <v>11</v>
      </c>
      <c r="N1910">
        <v>303</v>
      </c>
      <c r="O1910">
        <v>567</v>
      </c>
      <c r="P1910">
        <v>0</v>
      </c>
      <c r="Q1910">
        <v>17</v>
      </c>
      <c r="R1910">
        <v>482</v>
      </c>
      <c r="S1910">
        <v>825</v>
      </c>
      <c r="T1910">
        <v>2161</v>
      </c>
      <c r="U1910">
        <v>0</v>
      </c>
      <c r="V1910">
        <v>0</v>
      </c>
      <c r="W1910">
        <v>940</v>
      </c>
      <c r="X1910">
        <f>NHS_AE_2024_2025[[#This Row],[A&amp;E attendances Type 1]]+
NHS_AE_2024_2025[[#This Row],[A&amp;E attendances Type 2]]+
NHS_AE_2024_2025[[#This Row],[A&amp;E attendances Other A&amp;E Department]]</f>
        <v>12791</v>
      </c>
      <c r="Y1910">
        <f t="shared" si="58"/>
        <v>4774</v>
      </c>
      <c r="Z1910">
        <f t="shared" si="59"/>
        <v>3101</v>
      </c>
    </row>
    <row r="1911" spans="1:26" x14ac:dyDescent="0.2">
      <c r="A1911" t="s">
        <v>454</v>
      </c>
      <c r="B1911" t="s">
        <v>455</v>
      </c>
      <c r="C1911" t="s">
        <v>326</v>
      </c>
      <c r="D1911" t="s">
        <v>29</v>
      </c>
      <c r="E1911" t="s">
        <v>327</v>
      </c>
      <c r="F1911">
        <v>19742</v>
      </c>
      <c r="G1911">
        <v>0</v>
      </c>
      <c r="H1911">
        <v>6519</v>
      </c>
      <c r="I1911">
        <v>561</v>
      </c>
      <c r="J1911">
        <v>0</v>
      </c>
      <c r="K1911">
        <v>0</v>
      </c>
      <c r="L1911">
        <v>6684</v>
      </c>
      <c r="M1911">
        <v>0</v>
      </c>
      <c r="N1911">
        <v>218</v>
      </c>
      <c r="O1911">
        <v>0</v>
      </c>
      <c r="P1911">
        <v>0</v>
      </c>
      <c r="Q1911">
        <v>0</v>
      </c>
      <c r="R1911">
        <v>1324</v>
      </c>
      <c r="S1911">
        <v>52</v>
      </c>
      <c r="T1911">
        <v>2894</v>
      </c>
      <c r="U1911">
        <v>0</v>
      </c>
      <c r="V1911">
        <v>0</v>
      </c>
      <c r="W1911">
        <v>354</v>
      </c>
      <c r="X1911">
        <f>NHS_AE_2024_2025[[#This Row],[A&amp;E attendances Type 1]]+
NHS_AE_2024_2025[[#This Row],[A&amp;E attendances Type 2]]+
NHS_AE_2024_2025[[#This Row],[A&amp;E attendances Other A&amp;E Department]]</f>
        <v>26261</v>
      </c>
      <c r="Y1911">
        <f t="shared" si="58"/>
        <v>6902</v>
      </c>
      <c r="Z1911">
        <f t="shared" si="59"/>
        <v>3248</v>
      </c>
    </row>
    <row r="1912" spans="1:26" x14ac:dyDescent="0.2">
      <c r="A1912" t="s">
        <v>454</v>
      </c>
      <c r="B1912" t="s">
        <v>455</v>
      </c>
      <c r="C1912" t="s">
        <v>330</v>
      </c>
      <c r="D1912" t="s">
        <v>50</v>
      </c>
      <c r="E1912" t="s">
        <v>331</v>
      </c>
      <c r="F1912">
        <v>18099</v>
      </c>
      <c r="G1912">
        <v>664</v>
      </c>
      <c r="H1912">
        <v>12091</v>
      </c>
      <c r="I1912">
        <v>42</v>
      </c>
      <c r="J1912">
        <v>0</v>
      </c>
      <c r="K1912">
        <v>80</v>
      </c>
      <c r="L1912">
        <v>7911</v>
      </c>
      <c r="M1912">
        <v>0</v>
      </c>
      <c r="N1912">
        <v>267</v>
      </c>
      <c r="O1912">
        <v>11</v>
      </c>
      <c r="P1912">
        <v>0</v>
      </c>
      <c r="Q1912">
        <v>0</v>
      </c>
      <c r="R1912">
        <v>1826</v>
      </c>
      <c r="S1912">
        <v>403</v>
      </c>
      <c r="T1912">
        <v>3769</v>
      </c>
      <c r="U1912">
        <v>0</v>
      </c>
      <c r="V1912">
        <v>0</v>
      </c>
      <c r="W1912">
        <v>1179</v>
      </c>
      <c r="X1912">
        <f>NHS_AE_2024_2025[[#This Row],[A&amp;E attendances Type 1]]+
NHS_AE_2024_2025[[#This Row],[A&amp;E attendances Type 2]]+
NHS_AE_2024_2025[[#This Row],[A&amp;E attendances Other A&amp;E Department]]</f>
        <v>30854</v>
      </c>
      <c r="Y1912">
        <f t="shared" si="58"/>
        <v>8178</v>
      </c>
      <c r="Z1912">
        <f t="shared" si="59"/>
        <v>4948</v>
      </c>
    </row>
    <row r="1913" spans="1:26" x14ac:dyDescent="0.2">
      <c r="A1913" t="s">
        <v>454</v>
      </c>
      <c r="B1913" t="s">
        <v>455</v>
      </c>
      <c r="C1913" t="s">
        <v>332</v>
      </c>
      <c r="D1913" t="s">
        <v>55</v>
      </c>
      <c r="E1913" t="s">
        <v>333</v>
      </c>
      <c r="F1913">
        <v>7061</v>
      </c>
      <c r="G1913">
        <v>0</v>
      </c>
      <c r="H1913">
        <v>5353</v>
      </c>
      <c r="I1913">
        <v>0</v>
      </c>
      <c r="J1913">
        <v>0</v>
      </c>
      <c r="K1913">
        <v>0</v>
      </c>
      <c r="L1913">
        <v>3765</v>
      </c>
      <c r="M1913">
        <v>0</v>
      </c>
      <c r="N1913">
        <v>135</v>
      </c>
      <c r="O1913">
        <v>0</v>
      </c>
      <c r="P1913">
        <v>0</v>
      </c>
      <c r="Q1913">
        <v>0</v>
      </c>
      <c r="R1913">
        <v>1245</v>
      </c>
      <c r="S1913">
        <v>474</v>
      </c>
      <c r="T1913">
        <v>2301</v>
      </c>
      <c r="U1913">
        <v>0</v>
      </c>
      <c r="V1913">
        <v>0</v>
      </c>
      <c r="W1913">
        <v>702</v>
      </c>
      <c r="X1913">
        <f>NHS_AE_2024_2025[[#This Row],[A&amp;E attendances Type 1]]+
NHS_AE_2024_2025[[#This Row],[A&amp;E attendances Type 2]]+
NHS_AE_2024_2025[[#This Row],[A&amp;E attendances Other A&amp;E Department]]</f>
        <v>12414</v>
      </c>
      <c r="Y1913">
        <f t="shared" si="58"/>
        <v>3900</v>
      </c>
      <c r="Z1913">
        <f t="shared" si="59"/>
        <v>3003</v>
      </c>
    </row>
    <row r="1914" spans="1:26" x14ac:dyDescent="0.2">
      <c r="A1914" t="s">
        <v>454</v>
      </c>
      <c r="B1914" t="s">
        <v>455</v>
      </c>
      <c r="C1914" t="s">
        <v>206</v>
      </c>
      <c r="D1914" t="s">
        <v>32</v>
      </c>
      <c r="E1914" t="s">
        <v>207</v>
      </c>
      <c r="F1914">
        <v>35046</v>
      </c>
      <c r="G1914">
        <v>307</v>
      </c>
      <c r="H1914">
        <v>1602</v>
      </c>
      <c r="I1914">
        <v>11</v>
      </c>
      <c r="J1914">
        <v>0</v>
      </c>
      <c r="K1914">
        <v>219</v>
      </c>
      <c r="L1914">
        <v>15409</v>
      </c>
      <c r="M1914">
        <v>0</v>
      </c>
      <c r="N1914">
        <v>56</v>
      </c>
      <c r="O1914">
        <v>3</v>
      </c>
      <c r="P1914">
        <v>0</v>
      </c>
      <c r="Q1914">
        <v>10</v>
      </c>
      <c r="R1914">
        <v>2475</v>
      </c>
      <c r="S1914">
        <v>1853</v>
      </c>
      <c r="T1914">
        <v>10365</v>
      </c>
      <c r="U1914">
        <v>0</v>
      </c>
      <c r="V1914">
        <v>0</v>
      </c>
      <c r="W1914">
        <v>7065</v>
      </c>
      <c r="X1914">
        <f>NHS_AE_2024_2025[[#This Row],[A&amp;E attendances Type 1]]+
NHS_AE_2024_2025[[#This Row],[A&amp;E attendances Type 2]]+
NHS_AE_2024_2025[[#This Row],[A&amp;E attendances Other A&amp;E Department]]</f>
        <v>36955</v>
      </c>
      <c r="Y1914">
        <f t="shared" si="58"/>
        <v>15465</v>
      </c>
      <c r="Z1914">
        <f t="shared" si="59"/>
        <v>17430</v>
      </c>
    </row>
    <row r="1915" spans="1:26" x14ac:dyDescent="0.2">
      <c r="A1915" t="s">
        <v>454</v>
      </c>
      <c r="B1915" t="s">
        <v>455</v>
      </c>
      <c r="C1915" t="s">
        <v>342</v>
      </c>
      <c r="D1915" t="s">
        <v>37</v>
      </c>
      <c r="E1915" t="s">
        <v>343</v>
      </c>
      <c r="F1915">
        <v>13201</v>
      </c>
      <c r="G1915">
        <v>0</v>
      </c>
      <c r="H1915">
        <v>12737</v>
      </c>
      <c r="I1915">
        <v>0</v>
      </c>
      <c r="J1915">
        <v>0</v>
      </c>
      <c r="K1915">
        <v>0</v>
      </c>
      <c r="L1915">
        <v>6113</v>
      </c>
      <c r="M1915">
        <v>0</v>
      </c>
      <c r="N1915">
        <v>594</v>
      </c>
      <c r="O1915">
        <v>0</v>
      </c>
      <c r="P1915">
        <v>0</v>
      </c>
      <c r="Q1915">
        <v>0</v>
      </c>
      <c r="R1915">
        <v>618</v>
      </c>
      <c r="S1915">
        <v>1121</v>
      </c>
      <c r="T1915">
        <v>3170</v>
      </c>
      <c r="U1915">
        <v>0</v>
      </c>
      <c r="V1915">
        <v>595</v>
      </c>
      <c r="W1915">
        <v>502</v>
      </c>
      <c r="X1915">
        <f>NHS_AE_2024_2025[[#This Row],[A&amp;E attendances Type 1]]+
NHS_AE_2024_2025[[#This Row],[A&amp;E attendances Type 2]]+
NHS_AE_2024_2025[[#This Row],[A&amp;E attendances Other A&amp;E Department]]</f>
        <v>25938</v>
      </c>
      <c r="Y1915">
        <f t="shared" si="58"/>
        <v>6707</v>
      </c>
      <c r="Z1915">
        <f t="shared" si="59"/>
        <v>4267</v>
      </c>
    </row>
    <row r="1916" spans="1:26" x14ac:dyDescent="0.2">
      <c r="A1916" t="s">
        <v>454</v>
      </c>
      <c r="B1916" t="s">
        <v>455</v>
      </c>
      <c r="C1916" t="s">
        <v>212</v>
      </c>
      <c r="D1916" t="s">
        <v>50</v>
      </c>
      <c r="E1916" t="s">
        <v>213</v>
      </c>
      <c r="F1916">
        <v>5092</v>
      </c>
      <c r="G1916">
        <v>0</v>
      </c>
      <c r="H1916">
        <v>11553</v>
      </c>
      <c r="I1916">
        <v>0</v>
      </c>
      <c r="J1916">
        <v>0</v>
      </c>
      <c r="K1916">
        <v>0</v>
      </c>
      <c r="L1916">
        <v>2971</v>
      </c>
      <c r="M1916">
        <v>0</v>
      </c>
      <c r="N1916">
        <v>45</v>
      </c>
      <c r="O1916">
        <v>0</v>
      </c>
      <c r="P1916">
        <v>0</v>
      </c>
      <c r="Q1916">
        <v>0</v>
      </c>
      <c r="R1916">
        <v>273</v>
      </c>
      <c r="S1916">
        <v>25</v>
      </c>
      <c r="T1916">
        <v>1715</v>
      </c>
      <c r="U1916">
        <v>0</v>
      </c>
      <c r="V1916">
        <v>491</v>
      </c>
      <c r="W1916">
        <v>2536</v>
      </c>
      <c r="X1916">
        <f>NHS_AE_2024_2025[[#This Row],[A&amp;E attendances Type 1]]+
NHS_AE_2024_2025[[#This Row],[A&amp;E attendances Type 2]]+
NHS_AE_2024_2025[[#This Row],[A&amp;E attendances Other A&amp;E Department]]</f>
        <v>16645</v>
      </c>
      <c r="Y1916">
        <f t="shared" si="58"/>
        <v>3016</v>
      </c>
      <c r="Z1916">
        <f t="shared" si="59"/>
        <v>4742</v>
      </c>
    </row>
    <row r="1917" spans="1:26" x14ac:dyDescent="0.2">
      <c r="A1917" t="s">
        <v>454</v>
      </c>
      <c r="B1917" t="s">
        <v>455</v>
      </c>
      <c r="C1917" t="s">
        <v>266</v>
      </c>
      <c r="D1917" t="s">
        <v>32</v>
      </c>
      <c r="E1917" t="s">
        <v>267</v>
      </c>
      <c r="F1917">
        <v>23225</v>
      </c>
      <c r="G1917">
        <v>1952</v>
      </c>
      <c r="H1917">
        <v>0</v>
      </c>
      <c r="I1917">
        <v>0</v>
      </c>
      <c r="J1917">
        <v>0</v>
      </c>
      <c r="K1917">
        <v>0</v>
      </c>
      <c r="L1917">
        <v>10469</v>
      </c>
      <c r="M1917">
        <v>119</v>
      </c>
      <c r="N1917">
        <v>0</v>
      </c>
      <c r="O1917">
        <v>0</v>
      </c>
      <c r="P1917">
        <v>0</v>
      </c>
      <c r="Q1917">
        <v>0</v>
      </c>
      <c r="R1917">
        <v>1556</v>
      </c>
      <c r="S1917">
        <v>1108</v>
      </c>
      <c r="T1917">
        <v>6523</v>
      </c>
      <c r="U1917">
        <v>7</v>
      </c>
      <c r="V1917">
        <v>0</v>
      </c>
      <c r="W1917">
        <v>3534</v>
      </c>
      <c r="X1917">
        <f>NHS_AE_2024_2025[[#This Row],[A&amp;E attendances Type 1]]+
NHS_AE_2024_2025[[#This Row],[A&amp;E attendances Type 2]]+
NHS_AE_2024_2025[[#This Row],[A&amp;E attendances Other A&amp;E Department]]</f>
        <v>25177</v>
      </c>
      <c r="Y1917">
        <f t="shared" si="58"/>
        <v>10588</v>
      </c>
      <c r="Z1917">
        <f t="shared" si="59"/>
        <v>10064</v>
      </c>
    </row>
    <row r="1918" spans="1:26" x14ac:dyDescent="0.2">
      <c r="A1918" t="s">
        <v>454</v>
      </c>
      <c r="B1918" t="s">
        <v>455</v>
      </c>
      <c r="C1918" t="s">
        <v>268</v>
      </c>
      <c r="D1918" t="s">
        <v>37</v>
      </c>
      <c r="E1918" t="s">
        <v>269</v>
      </c>
      <c r="F1918">
        <v>18553</v>
      </c>
      <c r="G1918">
        <v>0</v>
      </c>
      <c r="H1918">
        <v>2124</v>
      </c>
      <c r="I1918">
        <v>849</v>
      </c>
      <c r="J1918">
        <v>0</v>
      </c>
      <c r="K1918">
        <v>168</v>
      </c>
      <c r="L1918">
        <v>3865</v>
      </c>
      <c r="M1918">
        <v>0</v>
      </c>
      <c r="N1918">
        <v>8</v>
      </c>
      <c r="O1918">
        <v>125</v>
      </c>
      <c r="P1918">
        <v>0</v>
      </c>
      <c r="Q1918">
        <v>0</v>
      </c>
      <c r="R1918">
        <v>964</v>
      </c>
      <c r="S1918">
        <v>80</v>
      </c>
      <c r="T1918">
        <v>5106</v>
      </c>
      <c r="U1918">
        <v>0</v>
      </c>
      <c r="V1918">
        <v>0</v>
      </c>
      <c r="W1918">
        <v>938</v>
      </c>
      <c r="X1918">
        <f>NHS_AE_2024_2025[[#This Row],[A&amp;E attendances Type 1]]+
NHS_AE_2024_2025[[#This Row],[A&amp;E attendances Type 2]]+
NHS_AE_2024_2025[[#This Row],[A&amp;E attendances Other A&amp;E Department]]</f>
        <v>20677</v>
      </c>
      <c r="Y1918">
        <f t="shared" si="58"/>
        <v>3873</v>
      </c>
      <c r="Z1918">
        <f t="shared" si="59"/>
        <v>6044</v>
      </c>
    </row>
    <row r="1919" spans="1:26" x14ac:dyDescent="0.2">
      <c r="A1919" t="s">
        <v>454</v>
      </c>
      <c r="B1919" t="s">
        <v>455</v>
      </c>
      <c r="C1919" t="s">
        <v>346</v>
      </c>
      <c r="D1919" t="s">
        <v>70</v>
      </c>
      <c r="E1919" t="s">
        <v>347</v>
      </c>
      <c r="F1919">
        <v>9357</v>
      </c>
      <c r="G1919">
        <v>0</v>
      </c>
      <c r="H1919">
        <v>7669</v>
      </c>
      <c r="I1919">
        <v>1</v>
      </c>
      <c r="J1919">
        <v>0</v>
      </c>
      <c r="K1919">
        <v>0</v>
      </c>
      <c r="L1919">
        <v>5297</v>
      </c>
      <c r="M1919">
        <v>0</v>
      </c>
      <c r="N1919">
        <v>286</v>
      </c>
      <c r="O1919">
        <v>0</v>
      </c>
      <c r="P1919">
        <v>0</v>
      </c>
      <c r="Q1919">
        <v>0</v>
      </c>
      <c r="R1919">
        <v>179</v>
      </c>
      <c r="S1919">
        <v>86</v>
      </c>
      <c r="T1919">
        <v>3296</v>
      </c>
      <c r="U1919">
        <v>0</v>
      </c>
      <c r="V1919">
        <v>101</v>
      </c>
      <c r="W1919">
        <v>243</v>
      </c>
      <c r="X1919">
        <f>NHS_AE_2024_2025[[#This Row],[A&amp;E attendances Type 1]]+
NHS_AE_2024_2025[[#This Row],[A&amp;E attendances Type 2]]+
NHS_AE_2024_2025[[#This Row],[A&amp;E attendances Other A&amp;E Department]]</f>
        <v>17026</v>
      </c>
      <c r="Y1919">
        <f t="shared" si="58"/>
        <v>5583</v>
      </c>
      <c r="Z1919">
        <f t="shared" si="59"/>
        <v>3640</v>
      </c>
    </row>
    <row r="1920" spans="1:26" x14ac:dyDescent="0.2">
      <c r="A1920" t="s">
        <v>454</v>
      </c>
      <c r="B1920" t="s">
        <v>455</v>
      </c>
      <c r="C1920" t="s">
        <v>172</v>
      </c>
      <c r="D1920" t="s">
        <v>37</v>
      </c>
      <c r="E1920" t="s">
        <v>173</v>
      </c>
      <c r="F1920">
        <v>8336</v>
      </c>
      <c r="G1920">
        <v>0</v>
      </c>
      <c r="H1920">
        <v>2261</v>
      </c>
      <c r="I1920">
        <v>2071</v>
      </c>
      <c r="J1920">
        <v>0</v>
      </c>
      <c r="K1920">
        <v>1488</v>
      </c>
      <c r="L1920">
        <v>3998</v>
      </c>
      <c r="M1920">
        <v>0</v>
      </c>
      <c r="N1920">
        <v>79</v>
      </c>
      <c r="O1920">
        <v>0</v>
      </c>
      <c r="P1920">
        <v>0</v>
      </c>
      <c r="Q1920">
        <v>0</v>
      </c>
      <c r="R1920">
        <v>250</v>
      </c>
      <c r="S1920">
        <v>42</v>
      </c>
      <c r="T1920">
        <v>3210</v>
      </c>
      <c r="U1920">
        <v>0</v>
      </c>
      <c r="V1920">
        <v>0</v>
      </c>
      <c r="W1920">
        <v>397</v>
      </c>
      <c r="X1920">
        <f>NHS_AE_2024_2025[[#This Row],[A&amp;E attendances Type 1]]+
NHS_AE_2024_2025[[#This Row],[A&amp;E attendances Type 2]]+
NHS_AE_2024_2025[[#This Row],[A&amp;E attendances Other A&amp;E Department]]</f>
        <v>10597</v>
      </c>
      <c r="Y1920">
        <f t="shared" si="58"/>
        <v>4077</v>
      </c>
      <c r="Z1920">
        <f t="shared" si="59"/>
        <v>3607</v>
      </c>
    </row>
    <row r="1921" spans="1:26" x14ac:dyDescent="0.2">
      <c r="A1921" t="s">
        <v>454</v>
      </c>
      <c r="B1921" t="s">
        <v>455</v>
      </c>
      <c r="C1921" t="s">
        <v>176</v>
      </c>
      <c r="D1921" t="s">
        <v>55</v>
      </c>
      <c r="E1921" t="s">
        <v>177</v>
      </c>
      <c r="F1921">
        <v>8663</v>
      </c>
      <c r="G1921">
        <v>0</v>
      </c>
      <c r="H1921">
        <v>9773</v>
      </c>
      <c r="I1921">
        <v>340</v>
      </c>
      <c r="J1921">
        <v>0</v>
      </c>
      <c r="K1921">
        <v>250</v>
      </c>
      <c r="L1921">
        <v>4055</v>
      </c>
      <c r="M1921">
        <v>0</v>
      </c>
      <c r="N1921">
        <v>71</v>
      </c>
      <c r="O1921">
        <v>102</v>
      </c>
      <c r="P1921">
        <v>0</v>
      </c>
      <c r="Q1921">
        <v>0</v>
      </c>
      <c r="R1921">
        <v>393</v>
      </c>
      <c r="S1921">
        <v>652</v>
      </c>
      <c r="T1921">
        <v>2527</v>
      </c>
      <c r="U1921">
        <v>0</v>
      </c>
      <c r="V1921">
        <v>0</v>
      </c>
      <c r="W1921">
        <v>1629</v>
      </c>
      <c r="X1921">
        <f>NHS_AE_2024_2025[[#This Row],[A&amp;E attendances Type 1]]+
NHS_AE_2024_2025[[#This Row],[A&amp;E attendances Type 2]]+
NHS_AE_2024_2025[[#This Row],[A&amp;E attendances Other A&amp;E Department]]</f>
        <v>18436</v>
      </c>
      <c r="Y1921">
        <f t="shared" si="58"/>
        <v>4126</v>
      </c>
      <c r="Z1921">
        <f t="shared" si="59"/>
        <v>4156</v>
      </c>
    </row>
    <row r="1922" spans="1:26" x14ac:dyDescent="0.2">
      <c r="A1922" t="s">
        <v>454</v>
      </c>
      <c r="B1922" t="s">
        <v>455</v>
      </c>
      <c r="C1922" t="s">
        <v>356</v>
      </c>
      <c r="D1922" t="s">
        <v>32</v>
      </c>
      <c r="E1922" t="s">
        <v>357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2</v>
      </c>
      <c r="W1922">
        <v>60</v>
      </c>
      <c r="X1922">
        <f>NHS_AE_2024_2025[[#This Row],[A&amp;E attendances Type 1]]+
NHS_AE_2024_2025[[#This Row],[A&amp;E attendances Type 2]]+
NHS_AE_2024_2025[[#This Row],[A&amp;E attendances Other A&amp;E Department]]</f>
        <v>0</v>
      </c>
      <c r="Y1922">
        <f t="shared" ref="Y1922:Y1985" si="60">L1922+M1922+N1922</f>
        <v>0</v>
      </c>
      <c r="Z1922">
        <f t="shared" ref="Z1922:Z1985" si="61">T1922+U1922+V1922+W1922</f>
        <v>62</v>
      </c>
    </row>
    <row r="1923" spans="1:26" x14ac:dyDescent="0.2">
      <c r="A1923" t="s">
        <v>454</v>
      </c>
      <c r="B1923" t="s">
        <v>455</v>
      </c>
      <c r="C1923" t="s">
        <v>412</v>
      </c>
      <c r="D1923" t="s">
        <v>32</v>
      </c>
      <c r="E1923" t="s">
        <v>413</v>
      </c>
      <c r="F1923">
        <v>0</v>
      </c>
      <c r="G1923">
        <v>0</v>
      </c>
      <c r="H1923">
        <v>496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f>NHS_AE_2024_2025[[#This Row],[A&amp;E attendances Type 1]]+
NHS_AE_2024_2025[[#This Row],[A&amp;E attendances Type 2]]+
NHS_AE_2024_2025[[#This Row],[A&amp;E attendances Other A&amp;E Department]]</f>
        <v>496</v>
      </c>
      <c r="Y1923">
        <f t="shared" si="60"/>
        <v>0</v>
      </c>
      <c r="Z1923">
        <f t="shared" si="61"/>
        <v>1</v>
      </c>
    </row>
    <row r="1924" spans="1:26" x14ac:dyDescent="0.2">
      <c r="A1924" t="s">
        <v>454</v>
      </c>
      <c r="B1924" t="s">
        <v>455</v>
      </c>
      <c r="C1924" t="s">
        <v>280</v>
      </c>
      <c r="D1924" t="s">
        <v>50</v>
      </c>
      <c r="E1924" t="s">
        <v>281</v>
      </c>
      <c r="F1924">
        <v>0</v>
      </c>
      <c r="G1924">
        <v>0</v>
      </c>
      <c r="H1924">
        <v>3623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250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f>NHS_AE_2024_2025[[#This Row],[A&amp;E attendances Type 1]]+
NHS_AE_2024_2025[[#This Row],[A&amp;E attendances Type 2]]+
NHS_AE_2024_2025[[#This Row],[A&amp;E attendances Other A&amp;E Department]]</f>
        <v>3623</v>
      </c>
      <c r="Y1924">
        <f t="shared" si="60"/>
        <v>250</v>
      </c>
      <c r="Z1924">
        <f t="shared" si="61"/>
        <v>0</v>
      </c>
    </row>
    <row r="1925" spans="1:26" x14ac:dyDescent="0.2">
      <c r="A1925" t="s">
        <v>454</v>
      </c>
      <c r="B1925" t="s">
        <v>455</v>
      </c>
      <c r="C1925" t="s">
        <v>429</v>
      </c>
      <c r="D1925" t="s">
        <v>50</v>
      </c>
      <c r="E1925" t="s">
        <v>430</v>
      </c>
      <c r="F1925">
        <v>0</v>
      </c>
      <c r="G1925">
        <v>0</v>
      </c>
      <c r="H1925">
        <v>1362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f>NHS_AE_2024_2025[[#This Row],[A&amp;E attendances Type 1]]+
NHS_AE_2024_2025[[#This Row],[A&amp;E attendances Type 2]]+
NHS_AE_2024_2025[[#This Row],[A&amp;E attendances Other A&amp;E Department]]</f>
        <v>1362</v>
      </c>
      <c r="Y1925">
        <f t="shared" si="60"/>
        <v>0</v>
      </c>
      <c r="Z1925">
        <f t="shared" si="61"/>
        <v>0</v>
      </c>
    </row>
    <row r="1926" spans="1:26" x14ac:dyDescent="0.2">
      <c r="A1926" t="s">
        <v>454</v>
      </c>
      <c r="B1926" t="s">
        <v>455</v>
      </c>
      <c r="C1926" t="s">
        <v>282</v>
      </c>
      <c r="D1926" t="s">
        <v>50</v>
      </c>
      <c r="E1926" t="s">
        <v>283</v>
      </c>
      <c r="F1926">
        <v>0</v>
      </c>
      <c r="G1926">
        <v>0</v>
      </c>
      <c r="H1926">
        <v>2655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220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f>NHS_AE_2024_2025[[#This Row],[A&amp;E attendances Type 1]]+
NHS_AE_2024_2025[[#This Row],[A&amp;E attendances Type 2]]+
NHS_AE_2024_2025[[#This Row],[A&amp;E attendances Other A&amp;E Department]]</f>
        <v>2655</v>
      </c>
      <c r="Y1926">
        <f t="shared" si="60"/>
        <v>220</v>
      </c>
      <c r="Z1926">
        <f t="shared" si="61"/>
        <v>0</v>
      </c>
    </row>
    <row r="1927" spans="1:26" x14ac:dyDescent="0.2">
      <c r="A1927" t="s">
        <v>454</v>
      </c>
      <c r="B1927" t="s">
        <v>455</v>
      </c>
      <c r="C1927" t="s">
        <v>284</v>
      </c>
      <c r="D1927" t="s">
        <v>50</v>
      </c>
      <c r="E1927" t="s">
        <v>285</v>
      </c>
      <c r="F1927">
        <v>0</v>
      </c>
      <c r="G1927">
        <v>0</v>
      </c>
      <c r="H1927">
        <v>1560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7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f>NHS_AE_2024_2025[[#This Row],[A&amp;E attendances Type 1]]+
NHS_AE_2024_2025[[#This Row],[A&amp;E attendances Type 2]]+
NHS_AE_2024_2025[[#This Row],[A&amp;E attendances Other A&amp;E Department]]</f>
        <v>1560</v>
      </c>
      <c r="Y1927">
        <f t="shared" si="60"/>
        <v>7</v>
      </c>
      <c r="Z1927">
        <f t="shared" si="61"/>
        <v>0</v>
      </c>
    </row>
    <row r="1928" spans="1:26" x14ac:dyDescent="0.2">
      <c r="A1928" t="s">
        <v>454</v>
      </c>
      <c r="B1928" t="s">
        <v>455</v>
      </c>
      <c r="C1928" t="s">
        <v>148</v>
      </c>
      <c r="D1928" t="s">
        <v>32</v>
      </c>
      <c r="E1928" t="s">
        <v>149</v>
      </c>
      <c r="F1928">
        <v>0</v>
      </c>
      <c r="G1928">
        <v>0</v>
      </c>
      <c r="H1928">
        <v>2850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5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f>NHS_AE_2024_2025[[#This Row],[A&amp;E attendances Type 1]]+
NHS_AE_2024_2025[[#This Row],[A&amp;E attendances Type 2]]+
NHS_AE_2024_2025[[#This Row],[A&amp;E attendances Other A&amp;E Department]]</f>
        <v>2850</v>
      </c>
      <c r="Y1928">
        <f t="shared" si="60"/>
        <v>5</v>
      </c>
      <c r="Z1928">
        <f t="shared" si="61"/>
        <v>0</v>
      </c>
    </row>
    <row r="1929" spans="1:26" x14ac:dyDescent="0.2">
      <c r="A1929" t="s">
        <v>454</v>
      </c>
      <c r="B1929" t="s">
        <v>455</v>
      </c>
      <c r="C1929" t="s">
        <v>230</v>
      </c>
      <c r="D1929" t="s">
        <v>29</v>
      </c>
      <c r="E1929" t="s">
        <v>231</v>
      </c>
      <c r="F1929">
        <v>17661</v>
      </c>
      <c r="G1929">
        <v>0</v>
      </c>
      <c r="H1929">
        <v>8788</v>
      </c>
      <c r="I1929">
        <v>0</v>
      </c>
      <c r="J1929">
        <v>0</v>
      </c>
      <c r="K1929">
        <v>0</v>
      </c>
      <c r="L1929">
        <v>6401</v>
      </c>
      <c r="M1929">
        <v>0</v>
      </c>
      <c r="N1929">
        <v>211</v>
      </c>
      <c r="O1929">
        <v>0</v>
      </c>
      <c r="P1929">
        <v>0</v>
      </c>
      <c r="Q1929">
        <v>0</v>
      </c>
      <c r="R1929">
        <v>1076</v>
      </c>
      <c r="S1929">
        <v>718</v>
      </c>
      <c r="T1929">
        <v>3813</v>
      </c>
      <c r="U1929">
        <v>0</v>
      </c>
      <c r="V1929">
        <v>0</v>
      </c>
      <c r="W1929">
        <v>527</v>
      </c>
      <c r="X1929">
        <f>NHS_AE_2024_2025[[#This Row],[A&amp;E attendances Type 1]]+
NHS_AE_2024_2025[[#This Row],[A&amp;E attendances Type 2]]+
NHS_AE_2024_2025[[#This Row],[A&amp;E attendances Other A&amp;E Department]]</f>
        <v>26449</v>
      </c>
      <c r="Y1929">
        <f t="shared" si="60"/>
        <v>6612</v>
      </c>
      <c r="Z1929">
        <f t="shared" si="61"/>
        <v>4340</v>
      </c>
    </row>
    <row r="1930" spans="1:26" x14ac:dyDescent="0.2">
      <c r="A1930" t="s">
        <v>454</v>
      </c>
      <c r="B1930" t="s">
        <v>455</v>
      </c>
      <c r="C1930" t="s">
        <v>290</v>
      </c>
      <c r="D1930" t="s">
        <v>29</v>
      </c>
      <c r="E1930" t="s">
        <v>291</v>
      </c>
      <c r="F1930">
        <v>8411</v>
      </c>
      <c r="G1930">
        <v>433</v>
      </c>
      <c r="H1930">
        <v>6738</v>
      </c>
      <c r="I1930">
        <v>68</v>
      </c>
      <c r="J1930">
        <v>0</v>
      </c>
      <c r="K1930">
        <v>65</v>
      </c>
      <c r="L1930">
        <v>4967</v>
      </c>
      <c r="M1930">
        <v>0</v>
      </c>
      <c r="N1930">
        <v>713</v>
      </c>
      <c r="O1930">
        <v>31</v>
      </c>
      <c r="P1930">
        <v>0</v>
      </c>
      <c r="Q1930">
        <v>7</v>
      </c>
      <c r="R1930">
        <v>231</v>
      </c>
      <c r="S1930">
        <v>874</v>
      </c>
      <c r="T1930">
        <v>1450</v>
      </c>
      <c r="U1930">
        <v>0</v>
      </c>
      <c r="V1930">
        <v>170</v>
      </c>
      <c r="W1930">
        <v>64</v>
      </c>
      <c r="X1930">
        <f>NHS_AE_2024_2025[[#This Row],[A&amp;E attendances Type 1]]+
NHS_AE_2024_2025[[#This Row],[A&amp;E attendances Type 2]]+
NHS_AE_2024_2025[[#This Row],[A&amp;E attendances Other A&amp;E Department]]</f>
        <v>15582</v>
      </c>
      <c r="Y1930">
        <f t="shared" si="60"/>
        <v>5680</v>
      </c>
      <c r="Z1930">
        <f t="shared" si="61"/>
        <v>1684</v>
      </c>
    </row>
    <row r="1931" spans="1:26" x14ac:dyDescent="0.2">
      <c r="A1931" t="s">
        <v>454</v>
      </c>
      <c r="B1931" t="s">
        <v>455</v>
      </c>
      <c r="C1931" t="s">
        <v>236</v>
      </c>
      <c r="D1931" t="s">
        <v>32</v>
      </c>
      <c r="E1931" t="s">
        <v>237</v>
      </c>
      <c r="F1931">
        <v>9841</v>
      </c>
      <c r="G1931">
        <v>0</v>
      </c>
      <c r="H1931">
        <v>4584</v>
      </c>
      <c r="I1931">
        <v>14</v>
      </c>
      <c r="J1931">
        <v>0</v>
      </c>
      <c r="K1931">
        <v>144</v>
      </c>
      <c r="L1931">
        <v>3490</v>
      </c>
      <c r="M1931">
        <v>0</v>
      </c>
      <c r="N1931">
        <v>291</v>
      </c>
      <c r="O1931">
        <v>4</v>
      </c>
      <c r="P1931">
        <v>0</v>
      </c>
      <c r="Q1931">
        <v>0</v>
      </c>
      <c r="R1931">
        <v>1182</v>
      </c>
      <c r="S1931">
        <v>133</v>
      </c>
      <c r="T1931">
        <v>4115</v>
      </c>
      <c r="U1931">
        <v>0</v>
      </c>
      <c r="V1931">
        <v>0</v>
      </c>
      <c r="W1931">
        <v>863</v>
      </c>
      <c r="X1931">
        <f>NHS_AE_2024_2025[[#This Row],[A&amp;E attendances Type 1]]+
NHS_AE_2024_2025[[#This Row],[A&amp;E attendances Type 2]]+
NHS_AE_2024_2025[[#This Row],[A&amp;E attendances Other A&amp;E Department]]</f>
        <v>14425</v>
      </c>
      <c r="Y1931">
        <f t="shared" si="60"/>
        <v>3781</v>
      </c>
      <c r="Z1931">
        <f t="shared" si="61"/>
        <v>4978</v>
      </c>
    </row>
    <row r="1932" spans="1:26" x14ac:dyDescent="0.2">
      <c r="A1932" t="s">
        <v>454</v>
      </c>
      <c r="B1932" t="s">
        <v>455</v>
      </c>
      <c r="C1932" t="s">
        <v>380</v>
      </c>
      <c r="D1932" t="s">
        <v>55</v>
      </c>
      <c r="E1932" t="s">
        <v>381</v>
      </c>
      <c r="F1932">
        <v>17192</v>
      </c>
      <c r="G1932">
        <v>0</v>
      </c>
      <c r="H1932">
        <v>7066</v>
      </c>
      <c r="I1932">
        <v>439</v>
      </c>
      <c r="J1932">
        <v>0</v>
      </c>
      <c r="K1932">
        <v>0</v>
      </c>
      <c r="L1932">
        <v>6415</v>
      </c>
      <c r="M1932">
        <v>0</v>
      </c>
      <c r="N1932">
        <v>103</v>
      </c>
      <c r="O1932">
        <v>80</v>
      </c>
      <c r="P1932">
        <v>0</v>
      </c>
      <c r="Q1932">
        <v>0</v>
      </c>
      <c r="R1932">
        <v>617</v>
      </c>
      <c r="S1932">
        <v>381</v>
      </c>
      <c r="T1932">
        <v>7587</v>
      </c>
      <c r="U1932">
        <v>0</v>
      </c>
      <c r="V1932">
        <v>0</v>
      </c>
      <c r="W1932">
        <v>620</v>
      </c>
      <c r="X1932">
        <f>NHS_AE_2024_2025[[#This Row],[A&amp;E attendances Type 1]]+
NHS_AE_2024_2025[[#This Row],[A&amp;E attendances Type 2]]+
NHS_AE_2024_2025[[#This Row],[A&amp;E attendances Other A&amp;E Department]]</f>
        <v>24258</v>
      </c>
      <c r="Y1932">
        <f t="shared" si="60"/>
        <v>6518</v>
      </c>
      <c r="Z1932">
        <f t="shared" si="61"/>
        <v>8207</v>
      </c>
    </row>
    <row r="1933" spans="1:26" x14ac:dyDescent="0.2">
      <c r="A1933" t="s">
        <v>454</v>
      </c>
      <c r="B1933" t="s">
        <v>455</v>
      </c>
      <c r="C1933" t="s">
        <v>296</v>
      </c>
      <c r="D1933" t="s">
        <v>70</v>
      </c>
      <c r="E1933" t="s">
        <v>297</v>
      </c>
      <c r="F1933">
        <v>12745</v>
      </c>
      <c r="G1933">
        <v>0</v>
      </c>
      <c r="H1933">
        <v>14789</v>
      </c>
      <c r="I1933">
        <v>707</v>
      </c>
      <c r="J1933">
        <v>0</v>
      </c>
      <c r="K1933">
        <v>539</v>
      </c>
      <c r="L1933">
        <v>7100</v>
      </c>
      <c r="M1933">
        <v>0</v>
      </c>
      <c r="N1933">
        <v>451</v>
      </c>
      <c r="O1933">
        <v>0</v>
      </c>
      <c r="P1933">
        <v>0</v>
      </c>
      <c r="Q1933">
        <v>0</v>
      </c>
      <c r="R1933">
        <v>1105</v>
      </c>
      <c r="S1933">
        <v>440</v>
      </c>
      <c r="T1933">
        <v>6576</v>
      </c>
      <c r="U1933">
        <v>0</v>
      </c>
      <c r="V1933">
        <v>350</v>
      </c>
      <c r="W1933">
        <v>1006</v>
      </c>
      <c r="X1933">
        <f>NHS_AE_2024_2025[[#This Row],[A&amp;E attendances Type 1]]+
NHS_AE_2024_2025[[#This Row],[A&amp;E attendances Type 2]]+
NHS_AE_2024_2025[[#This Row],[A&amp;E attendances Other A&amp;E Department]]</f>
        <v>27534</v>
      </c>
      <c r="Y1933">
        <f t="shared" si="60"/>
        <v>7551</v>
      </c>
      <c r="Z1933">
        <f t="shared" si="61"/>
        <v>7932</v>
      </c>
    </row>
    <row r="1934" spans="1:26" x14ac:dyDescent="0.2">
      <c r="A1934" t="s">
        <v>454</v>
      </c>
      <c r="B1934" t="s">
        <v>455</v>
      </c>
      <c r="C1934" t="s">
        <v>196</v>
      </c>
      <c r="D1934" t="s">
        <v>37</v>
      </c>
      <c r="E1934" t="s">
        <v>197</v>
      </c>
      <c r="F1934">
        <v>22368</v>
      </c>
      <c r="G1934">
        <v>885</v>
      </c>
      <c r="H1934">
        <v>10583</v>
      </c>
      <c r="I1934">
        <v>0</v>
      </c>
      <c r="J1934">
        <v>0</v>
      </c>
      <c r="K1934">
        <v>0</v>
      </c>
      <c r="L1934">
        <v>10181</v>
      </c>
      <c r="M1934">
        <v>4</v>
      </c>
      <c r="N1934">
        <v>164</v>
      </c>
      <c r="O1934">
        <v>0</v>
      </c>
      <c r="P1934">
        <v>0</v>
      </c>
      <c r="Q1934">
        <v>0</v>
      </c>
      <c r="R1934">
        <v>1825</v>
      </c>
      <c r="S1934">
        <v>360</v>
      </c>
      <c r="T1934">
        <v>6253</v>
      </c>
      <c r="U1934">
        <v>0</v>
      </c>
      <c r="V1934">
        <v>0</v>
      </c>
      <c r="W1934">
        <v>94</v>
      </c>
      <c r="X1934">
        <f>NHS_AE_2024_2025[[#This Row],[A&amp;E attendances Type 1]]+
NHS_AE_2024_2025[[#This Row],[A&amp;E attendances Type 2]]+
NHS_AE_2024_2025[[#This Row],[A&amp;E attendances Other A&amp;E Department]]</f>
        <v>33836</v>
      </c>
      <c r="Y1934">
        <f t="shared" si="60"/>
        <v>10349</v>
      </c>
      <c r="Z1934">
        <f t="shared" si="61"/>
        <v>6347</v>
      </c>
    </row>
    <row r="1935" spans="1:26" x14ac:dyDescent="0.2">
      <c r="A1935" t="s">
        <v>454</v>
      </c>
      <c r="B1935" t="s">
        <v>455</v>
      </c>
      <c r="C1935" t="s">
        <v>102</v>
      </c>
      <c r="D1935" t="s">
        <v>55</v>
      </c>
      <c r="E1935" t="s">
        <v>103</v>
      </c>
      <c r="F1935">
        <v>15519</v>
      </c>
      <c r="G1935">
        <v>1791</v>
      </c>
      <c r="H1935">
        <v>8023</v>
      </c>
      <c r="I1935">
        <v>463</v>
      </c>
      <c r="J1935">
        <v>0</v>
      </c>
      <c r="K1935">
        <v>0</v>
      </c>
      <c r="L1935">
        <v>8126</v>
      </c>
      <c r="M1935">
        <v>97</v>
      </c>
      <c r="N1935">
        <v>177</v>
      </c>
      <c r="O1935">
        <v>94</v>
      </c>
      <c r="P1935">
        <v>0</v>
      </c>
      <c r="Q1935">
        <v>0</v>
      </c>
      <c r="R1935">
        <v>2060</v>
      </c>
      <c r="S1935">
        <v>1092</v>
      </c>
      <c r="T1935">
        <v>4588</v>
      </c>
      <c r="U1935">
        <v>0</v>
      </c>
      <c r="V1935">
        <v>0</v>
      </c>
      <c r="W1935">
        <v>2398</v>
      </c>
      <c r="X1935">
        <f>NHS_AE_2024_2025[[#This Row],[A&amp;E attendances Type 1]]+
NHS_AE_2024_2025[[#This Row],[A&amp;E attendances Type 2]]+
NHS_AE_2024_2025[[#This Row],[A&amp;E attendances Other A&amp;E Department]]</f>
        <v>25333</v>
      </c>
      <c r="Y1935">
        <f t="shared" si="60"/>
        <v>8400</v>
      </c>
      <c r="Z1935">
        <f t="shared" si="61"/>
        <v>6986</v>
      </c>
    </row>
    <row r="1936" spans="1:26" x14ac:dyDescent="0.2">
      <c r="A1936" t="s">
        <v>454</v>
      </c>
      <c r="B1936" t="s">
        <v>455</v>
      </c>
      <c r="C1936" t="s">
        <v>298</v>
      </c>
      <c r="D1936" t="s">
        <v>32</v>
      </c>
      <c r="E1936" t="s">
        <v>299</v>
      </c>
      <c r="F1936">
        <v>6922</v>
      </c>
      <c r="G1936">
        <v>0</v>
      </c>
      <c r="H1936">
        <v>5861</v>
      </c>
      <c r="I1936">
        <v>307</v>
      </c>
      <c r="J1936">
        <v>0</v>
      </c>
      <c r="K1936">
        <v>146</v>
      </c>
      <c r="L1936">
        <v>3553</v>
      </c>
      <c r="M1936">
        <v>0</v>
      </c>
      <c r="N1936">
        <v>323</v>
      </c>
      <c r="O1936">
        <v>138</v>
      </c>
      <c r="P1936">
        <v>0</v>
      </c>
      <c r="Q1936">
        <v>18</v>
      </c>
      <c r="R1936">
        <v>961</v>
      </c>
      <c r="S1936">
        <v>192</v>
      </c>
      <c r="T1936">
        <v>2871</v>
      </c>
      <c r="U1936">
        <v>0</v>
      </c>
      <c r="V1936">
        <v>268</v>
      </c>
      <c r="W1936">
        <v>581</v>
      </c>
      <c r="X1936">
        <f>NHS_AE_2024_2025[[#This Row],[A&amp;E attendances Type 1]]+
NHS_AE_2024_2025[[#This Row],[A&amp;E attendances Type 2]]+
NHS_AE_2024_2025[[#This Row],[A&amp;E attendances Other A&amp;E Department]]</f>
        <v>12783</v>
      </c>
      <c r="Y1936">
        <f t="shared" si="60"/>
        <v>3876</v>
      </c>
      <c r="Z1936">
        <f t="shared" si="61"/>
        <v>3720</v>
      </c>
    </row>
    <row r="1937" spans="1:26" x14ac:dyDescent="0.2">
      <c r="A1937" t="s">
        <v>454</v>
      </c>
      <c r="B1937" t="s">
        <v>455</v>
      </c>
      <c r="C1937" t="s">
        <v>244</v>
      </c>
      <c r="D1937" t="s">
        <v>70</v>
      </c>
      <c r="E1937" t="s">
        <v>245</v>
      </c>
      <c r="F1937">
        <v>14924</v>
      </c>
      <c r="G1937">
        <v>0</v>
      </c>
      <c r="H1937">
        <v>4326</v>
      </c>
      <c r="I1937">
        <v>409</v>
      </c>
      <c r="J1937">
        <v>0</v>
      </c>
      <c r="K1937">
        <v>446</v>
      </c>
      <c r="L1937">
        <v>6609</v>
      </c>
      <c r="M1937">
        <v>0</v>
      </c>
      <c r="N1937">
        <v>264</v>
      </c>
      <c r="O1937">
        <v>105</v>
      </c>
      <c r="P1937">
        <v>0</v>
      </c>
      <c r="Q1937">
        <v>23</v>
      </c>
      <c r="R1937">
        <v>526</v>
      </c>
      <c r="S1937">
        <v>809</v>
      </c>
      <c r="T1937">
        <v>3732</v>
      </c>
      <c r="U1937">
        <v>0</v>
      </c>
      <c r="V1937">
        <v>59</v>
      </c>
      <c r="W1937">
        <v>1733</v>
      </c>
      <c r="X1937">
        <f>NHS_AE_2024_2025[[#This Row],[A&amp;E attendances Type 1]]+
NHS_AE_2024_2025[[#This Row],[A&amp;E attendances Type 2]]+
NHS_AE_2024_2025[[#This Row],[A&amp;E attendances Other A&amp;E Department]]</f>
        <v>19250</v>
      </c>
      <c r="Y1937">
        <f t="shared" si="60"/>
        <v>6873</v>
      </c>
      <c r="Z1937">
        <f t="shared" si="61"/>
        <v>5524</v>
      </c>
    </row>
    <row r="1938" spans="1:26" x14ac:dyDescent="0.2">
      <c r="A1938" t="s">
        <v>454</v>
      </c>
      <c r="B1938" t="s">
        <v>455</v>
      </c>
      <c r="C1938" t="s">
        <v>404</v>
      </c>
      <c r="D1938" t="s">
        <v>26</v>
      </c>
      <c r="E1938" t="s">
        <v>405</v>
      </c>
      <c r="F1938">
        <v>12241</v>
      </c>
      <c r="G1938">
        <v>0</v>
      </c>
      <c r="H1938">
        <v>4182</v>
      </c>
      <c r="I1938">
        <v>1280</v>
      </c>
      <c r="J1938">
        <v>0</v>
      </c>
      <c r="K1938">
        <v>65</v>
      </c>
      <c r="L1938">
        <v>5101</v>
      </c>
      <c r="M1938">
        <v>0</v>
      </c>
      <c r="N1938">
        <v>25</v>
      </c>
      <c r="O1938">
        <v>453</v>
      </c>
      <c r="P1938">
        <v>0</v>
      </c>
      <c r="Q1938">
        <v>0</v>
      </c>
      <c r="R1938">
        <v>1445</v>
      </c>
      <c r="S1938">
        <v>87</v>
      </c>
      <c r="T1938">
        <v>4244</v>
      </c>
      <c r="U1938">
        <v>0</v>
      </c>
      <c r="V1938">
        <v>0</v>
      </c>
      <c r="W1938">
        <v>2233</v>
      </c>
      <c r="X1938">
        <f>NHS_AE_2024_2025[[#This Row],[A&amp;E attendances Type 1]]+
NHS_AE_2024_2025[[#This Row],[A&amp;E attendances Type 2]]+
NHS_AE_2024_2025[[#This Row],[A&amp;E attendances Other A&amp;E Department]]</f>
        <v>16423</v>
      </c>
      <c r="Y1938">
        <f t="shared" si="60"/>
        <v>5126</v>
      </c>
      <c r="Z1938">
        <f t="shared" si="61"/>
        <v>6477</v>
      </c>
    </row>
    <row r="1939" spans="1:26" x14ac:dyDescent="0.2">
      <c r="A1939" t="s">
        <v>454</v>
      </c>
      <c r="B1939" t="s">
        <v>455</v>
      </c>
      <c r="C1939" t="s">
        <v>368</v>
      </c>
      <c r="D1939" t="s">
        <v>50</v>
      </c>
      <c r="E1939" t="s">
        <v>369</v>
      </c>
      <c r="F1939">
        <v>9085</v>
      </c>
      <c r="G1939">
        <v>1138</v>
      </c>
      <c r="H1939">
        <v>7648</v>
      </c>
      <c r="I1939">
        <v>333</v>
      </c>
      <c r="J1939">
        <v>2</v>
      </c>
      <c r="K1939">
        <v>948</v>
      </c>
      <c r="L1939">
        <v>5323</v>
      </c>
      <c r="M1939">
        <v>0</v>
      </c>
      <c r="N1939">
        <v>238</v>
      </c>
      <c r="O1939">
        <v>175</v>
      </c>
      <c r="P1939">
        <v>0</v>
      </c>
      <c r="Q1939">
        <v>21</v>
      </c>
      <c r="R1939">
        <v>1482</v>
      </c>
      <c r="S1939">
        <v>16</v>
      </c>
      <c r="T1939">
        <v>3762</v>
      </c>
      <c r="U1939">
        <v>0</v>
      </c>
      <c r="V1939">
        <v>0</v>
      </c>
      <c r="W1939">
        <v>3039</v>
      </c>
      <c r="X1939">
        <f>NHS_AE_2024_2025[[#This Row],[A&amp;E attendances Type 1]]+
NHS_AE_2024_2025[[#This Row],[A&amp;E attendances Type 2]]+
NHS_AE_2024_2025[[#This Row],[A&amp;E attendances Other A&amp;E Department]]</f>
        <v>17871</v>
      </c>
      <c r="Y1939">
        <f t="shared" si="60"/>
        <v>5561</v>
      </c>
      <c r="Z1939">
        <f t="shared" si="61"/>
        <v>6801</v>
      </c>
    </row>
    <row r="1940" spans="1:26" x14ac:dyDescent="0.2">
      <c r="A1940" t="s">
        <v>454</v>
      </c>
      <c r="B1940" t="s">
        <v>455</v>
      </c>
      <c r="C1940" t="s">
        <v>250</v>
      </c>
      <c r="D1940" t="s">
        <v>32</v>
      </c>
      <c r="E1940" t="s">
        <v>251</v>
      </c>
      <c r="F1940">
        <v>10534</v>
      </c>
      <c r="G1940">
        <v>0</v>
      </c>
      <c r="H1940">
        <v>5660</v>
      </c>
      <c r="I1940">
        <v>354</v>
      </c>
      <c r="J1940">
        <v>0</v>
      </c>
      <c r="K1940">
        <v>155</v>
      </c>
      <c r="L1940">
        <v>4958</v>
      </c>
      <c r="M1940">
        <v>0</v>
      </c>
      <c r="N1940">
        <v>435</v>
      </c>
      <c r="O1940">
        <v>203</v>
      </c>
      <c r="P1940">
        <v>0</v>
      </c>
      <c r="Q1940">
        <v>4</v>
      </c>
      <c r="R1940">
        <v>814</v>
      </c>
      <c r="S1940">
        <v>162</v>
      </c>
      <c r="T1940">
        <v>3804</v>
      </c>
      <c r="U1940">
        <v>0</v>
      </c>
      <c r="V1940">
        <v>1</v>
      </c>
      <c r="W1940">
        <v>267</v>
      </c>
      <c r="X1940">
        <f>NHS_AE_2024_2025[[#This Row],[A&amp;E attendances Type 1]]+
NHS_AE_2024_2025[[#This Row],[A&amp;E attendances Type 2]]+
NHS_AE_2024_2025[[#This Row],[A&amp;E attendances Other A&amp;E Department]]</f>
        <v>16194</v>
      </c>
      <c r="Y1940">
        <f t="shared" si="60"/>
        <v>5393</v>
      </c>
      <c r="Z1940">
        <f t="shared" si="61"/>
        <v>4072</v>
      </c>
    </row>
    <row r="1941" spans="1:26" x14ac:dyDescent="0.2">
      <c r="A1941" t="s">
        <v>454</v>
      </c>
      <c r="B1941" t="s">
        <v>455</v>
      </c>
      <c r="C1941" t="s">
        <v>372</v>
      </c>
      <c r="D1941" t="s">
        <v>29</v>
      </c>
      <c r="E1941" t="s">
        <v>373</v>
      </c>
      <c r="F1941">
        <v>9302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2715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251</v>
      </c>
      <c r="S1941">
        <v>233</v>
      </c>
      <c r="T1941">
        <v>1437</v>
      </c>
      <c r="U1941">
        <v>0</v>
      </c>
      <c r="V1941">
        <v>0</v>
      </c>
      <c r="W1941">
        <v>46</v>
      </c>
      <c r="X1941">
        <f>NHS_AE_2024_2025[[#This Row],[A&amp;E attendances Type 1]]+
NHS_AE_2024_2025[[#This Row],[A&amp;E attendances Type 2]]+
NHS_AE_2024_2025[[#This Row],[A&amp;E attendances Other A&amp;E Department]]</f>
        <v>9302</v>
      </c>
      <c r="Y1941">
        <f t="shared" si="60"/>
        <v>2715</v>
      </c>
      <c r="Z1941">
        <f t="shared" si="61"/>
        <v>1483</v>
      </c>
    </row>
    <row r="1942" spans="1:26" x14ac:dyDescent="0.2">
      <c r="A1942" t="s">
        <v>454</v>
      </c>
      <c r="B1942" t="s">
        <v>455</v>
      </c>
      <c r="C1942" t="s">
        <v>316</v>
      </c>
      <c r="D1942" t="s">
        <v>70</v>
      </c>
      <c r="E1942" t="s">
        <v>317</v>
      </c>
      <c r="F1942">
        <v>12235</v>
      </c>
      <c r="G1942">
        <v>0</v>
      </c>
      <c r="H1942">
        <v>8247</v>
      </c>
      <c r="I1942">
        <v>0</v>
      </c>
      <c r="J1942">
        <v>0</v>
      </c>
      <c r="K1942">
        <v>0</v>
      </c>
      <c r="L1942">
        <v>3991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981</v>
      </c>
      <c r="S1942">
        <v>213</v>
      </c>
      <c r="T1942">
        <v>2625</v>
      </c>
      <c r="U1942">
        <v>0</v>
      </c>
      <c r="V1942">
        <v>0</v>
      </c>
      <c r="W1942">
        <v>1658</v>
      </c>
      <c r="X1942">
        <f>NHS_AE_2024_2025[[#This Row],[A&amp;E attendances Type 1]]+
NHS_AE_2024_2025[[#This Row],[A&amp;E attendances Type 2]]+
NHS_AE_2024_2025[[#This Row],[A&amp;E attendances Other A&amp;E Department]]</f>
        <v>20482</v>
      </c>
      <c r="Y1942">
        <f t="shared" si="60"/>
        <v>3992</v>
      </c>
      <c r="Z1942">
        <f t="shared" si="61"/>
        <v>4283</v>
      </c>
    </row>
    <row r="1943" spans="1:26" x14ac:dyDescent="0.2">
      <c r="A1943" t="s">
        <v>454</v>
      </c>
      <c r="B1943" t="s">
        <v>455</v>
      </c>
      <c r="C1943" t="s">
        <v>418</v>
      </c>
      <c r="D1943" t="s">
        <v>55</v>
      </c>
      <c r="E1943" t="s">
        <v>419</v>
      </c>
      <c r="F1943">
        <v>26130</v>
      </c>
      <c r="G1943">
        <v>0</v>
      </c>
      <c r="H1943">
        <v>9115</v>
      </c>
      <c r="I1943">
        <v>0</v>
      </c>
      <c r="J1943">
        <v>0</v>
      </c>
      <c r="K1943">
        <v>0</v>
      </c>
      <c r="L1943">
        <v>12047</v>
      </c>
      <c r="M1943">
        <v>0</v>
      </c>
      <c r="N1943">
        <v>559</v>
      </c>
      <c r="O1943">
        <v>0</v>
      </c>
      <c r="P1943">
        <v>0</v>
      </c>
      <c r="Q1943">
        <v>0</v>
      </c>
      <c r="R1943">
        <v>1252</v>
      </c>
      <c r="S1943">
        <v>1166</v>
      </c>
      <c r="T1943">
        <v>7384</v>
      </c>
      <c r="U1943">
        <v>0</v>
      </c>
      <c r="V1943">
        <v>407</v>
      </c>
      <c r="W1943">
        <v>2012</v>
      </c>
      <c r="X1943">
        <f>NHS_AE_2024_2025[[#This Row],[A&amp;E attendances Type 1]]+
NHS_AE_2024_2025[[#This Row],[A&amp;E attendances Type 2]]+
NHS_AE_2024_2025[[#This Row],[A&amp;E attendances Other A&amp;E Department]]</f>
        <v>35245</v>
      </c>
      <c r="Y1943">
        <f t="shared" si="60"/>
        <v>12606</v>
      </c>
      <c r="Z1943">
        <f t="shared" si="61"/>
        <v>9803</v>
      </c>
    </row>
    <row r="1944" spans="1:26" x14ac:dyDescent="0.2">
      <c r="A1944" t="s">
        <v>454</v>
      </c>
      <c r="B1944" t="s">
        <v>455</v>
      </c>
      <c r="C1944" t="s">
        <v>390</v>
      </c>
      <c r="D1944" t="s">
        <v>26</v>
      </c>
      <c r="E1944" t="s">
        <v>391</v>
      </c>
      <c r="F1944">
        <v>5572</v>
      </c>
      <c r="G1944">
        <v>0</v>
      </c>
      <c r="H1944">
        <v>5356</v>
      </c>
      <c r="I1944">
        <v>0</v>
      </c>
      <c r="J1944">
        <v>0</v>
      </c>
      <c r="K1944">
        <v>0</v>
      </c>
      <c r="L1944">
        <v>2443</v>
      </c>
      <c r="M1944">
        <v>0</v>
      </c>
      <c r="N1944">
        <v>397</v>
      </c>
      <c r="O1944">
        <v>0</v>
      </c>
      <c r="P1944">
        <v>0</v>
      </c>
      <c r="Q1944">
        <v>0</v>
      </c>
      <c r="R1944">
        <v>568</v>
      </c>
      <c r="S1944">
        <v>241</v>
      </c>
      <c r="T1944">
        <v>2425</v>
      </c>
      <c r="U1944">
        <v>0</v>
      </c>
      <c r="V1944">
        <v>0</v>
      </c>
      <c r="W1944">
        <v>1340</v>
      </c>
      <c r="X1944">
        <f>NHS_AE_2024_2025[[#This Row],[A&amp;E attendances Type 1]]+
NHS_AE_2024_2025[[#This Row],[A&amp;E attendances Type 2]]+
NHS_AE_2024_2025[[#This Row],[A&amp;E attendances Other A&amp;E Department]]</f>
        <v>10928</v>
      </c>
      <c r="Y1944">
        <f t="shared" si="60"/>
        <v>2840</v>
      </c>
      <c r="Z1944">
        <f t="shared" si="61"/>
        <v>3765</v>
      </c>
    </row>
    <row r="1945" spans="1:26" x14ac:dyDescent="0.2">
      <c r="A1945" t="s">
        <v>454</v>
      </c>
      <c r="B1945" t="s">
        <v>455</v>
      </c>
      <c r="C1945" t="s">
        <v>158</v>
      </c>
      <c r="D1945" t="s">
        <v>32</v>
      </c>
      <c r="E1945" t="s">
        <v>159</v>
      </c>
      <c r="F1945">
        <v>9439</v>
      </c>
      <c r="G1945">
        <v>0</v>
      </c>
      <c r="H1945">
        <v>5014</v>
      </c>
      <c r="I1945">
        <v>0</v>
      </c>
      <c r="J1945">
        <v>0</v>
      </c>
      <c r="K1945">
        <v>719</v>
      </c>
      <c r="L1945">
        <v>2494</v>
      </c>
      <c r="M1945">
        <v>0</v>
      </c>
      <c r="N1945">
        <v>255</v>
      </c>
      <c r="O1945">
        <v>0</v>
      </c>
      <c r="P1945">
        <v>0</v>
      </c>
      <c r="Q1945">
        <v>0</v>
      </c>
      <c r="R1945">
        <v>2171</v>
      </c>
      <c r="S1945">
        <v>93</v>
      </c>
      <c r="T1945">
        <v>3750</v>
      </c>
      <c r="U1945">
        <v>0</v>
      </c>
      <c r="V1945">
        <v>0</v>
      </c>
      <c r="W1945">
        <v>2291</v>
      </c>
      <c r="X1945">
        <f>NHS_AE_2024_2025[[#This Row],[A&amp;E attendances Type 1]]+
NHS_AE_2024_2025[[#This Row],[A&amp;E attendances Type 2]]+
NHS_AE_2024_2025[[#This Row],[A&amp;E attendances Other A&amp;E Department]]</f>
        <v>14453</v>
      </c>
      <c r="Y1945">
        <f t="shared" si="60"/>
        <v>2749</v>
      </c>
      <c r="Z1945">
        <f t="shared" si="61"/>
        <v>6041</v>
      </c>
    </row>
    <row r="1946" spans="1:26" x14ac:dyDescent="0.2">
      <c r="A1946" t="s">
        <v>454</v>
      </c>
      <c r="B1946" t="s">
        <v>455</v>
      </c>
      <c r="C1946" t="s">
        <v>322</v>
      </c>
      <c r="D1946" t="s">
        <v>50</v>
      </c>
      <c r="E1946" t="s">
        <v>323</v>
      </c>
      <c r="F1946">
        <v>13455</v>
      </c>
      <c r="G1946">
        <v>0</v>
      </c>
      <c r="H1946">
        <v>4061</v>
      </c>
      <c r="I1946">
        <v>0</v>
      </c>
      <c r="J1946">
        <v>0</v>
      </c>
      <c r="K1946">
        <v>0</v>
      </c>
      <c r="L1946">
        <v>4740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946</v>
      </c>
      <c r="S1946">
        <v>153</v>
      </c>
      <c r="T1946">
        <v>4164</v>
      </c>
      <c r="U1946">
        <v>0</v>
      </c>
      <c r="V1946">
        <v>484</v>
      </c>
      <c r="W1946">
        <v>1189</v>
      </c>
      <c r="X1946">
        <f>NHS_AE_2024_2025[[#This Row],[A&amp;E attendances Type 1]]+
NHS_AE_2024_2025[[#This Row],[A&amp;E attendances Type 2]]+
NHS_AE_2024_2025[[#This Row],[A&amp;E attendances Other A&amp;E Department]]</f>
        <v>17516</v>
      </c>
      <c r="Y1946">
        <f t="shared" si="60"/>
        <v>4740</v>
      </c>
      <c r="Z1946">
        <f t="shared" si="61"/>
        <v>5837</v>
      </c>
    </row>
    <row r="1947" spans="1:26" x14ac:dyDescent="0.2">
      <c r="A1947" t="s">
        <v>454</v>
      </c>
      <c r="B1947" t="s">
        <v>455</v>
      </c>
      <c r="C1947" t="s">
        <v>324</v>
      </c>
      <c r="D1947" t="s">
        <v>37</v>
      </c>
      <c r="E1947" t="s">
        <v>325</v>
      </c>
      <c r="F1947">
        <v>9121</v>
      </c>
      <c r="G1947">
        <v>0</v>
      </c>
      <c r="H1947">
        <v>6396</v>
      </c>
      <c r="I1947">
        <v>360</v>
      </c>
      <c r="J1947">
        <v>0</v>
      </c>
      <c r="K1947">
        <v>1254</v>
      </c>
      <c r="L1947">
        <v>3152</v>
      </c>
      <c r="M1947">
        <v>0</v>
      </c>
      <c r="N1947">
        <v>646</v>
      </c>
      <c r="O1947">
        <v>92</v>
      </c>
      <c r="P1947">
        <v>0</v>
      </c>
      <c r="Q1947">
        <v>0</v>
      </c>
      <c r="R1947">
        <v>327</v>
      </c>
      <c r="S1947">
        <v>771</v>
      </c>
      <c r="T1947">
        <v>1690</v>
      </c>
      <c r="U1947">
        <v>0</v>
      </c>
      <c r="V1947">
        <v>0</v>
      </c>
      <c r="W1947">
        <v>602</v>
      </c>
      <c r="X1947">
        <f>NHS_AE_2024_2025[[#This Row],[A&amp;E attendances Type 1]]+
NHS_AE_2024_2025[[#This Row],[A&amp;E attendances Type 2]]+
NHS_AE_2024_2025[[#This Row],[A&amp;E attendances Other A&amp;E Department]]</f>
        <v>15517</v>
      </c>
      <c r="Y1947">
        <f t="shared" si="60"/>
        <v>3798</v>
      </c>
      <c r="Z1947">
        <f t="shared" si="61"/>
        <v>2292</v>
      </c>
    </row>
    <row r="1948" spans="1:26" x14ac:dyDescent="0.2">
      <c r="A1948" t="s">
        <v>454</v>
      </c>
      <c r="B1948" t="s">
        <v>455</v>
      </c>
      <c r="C1948" t="s">
        <v>334</v>
      </c>
      <c r="D1948" t="s">
        <v>26</v>
      </c>
      <c r="E1948" t="s">
        <v>335</v>
      </c>
      <c r="F1948">
        <v>13057</v>
      </c>
      <c r="G1948">
        <v>0</v>
      </c>
      <c r="H1948">
        <v>0</v>
      </c>
      <c r="I1948">
        <v>240</v>
      </c>
      <c r="J1948">
        <v>0</v>
      </c>
      <c r="K1948">
        <v>0</v>
      </c>
      <c r="L1948">
        <v>4981</v>
      </c>
      <c r="M1948">
        <v>0</v>
      </c>
      <c r="N1948">
        <v>0</v>
      </c>
      <c r="O1948">
        <v>75</v>
      </c>
      <c r="P1948">
        <v>0</v>
      </c>
      <c r="Q1948">
        <v>0</v>
      </c>
      <c r="R1948">
        <v>411</v>
      </c>
      <c r="S1948">
        <v>403</v>
      </c>
      <c r="T1948">
        <v>2716</v>
      </c>
      <c r="U1948">
        <v>0</v>
      </c>
      <c r="V1948">
        <v>0</v>
      </c>
      <c r="W1948">
        <v>2226</v>
      </c>
      <c r="X1948">
        <f>NHS_AE_2024_2025[[#This Row],[A&amp;E attendances Type 1]]+
NHS_AE_2024_2025[[#This Row],[A&amp;E attendances Type 2]]+
NHS_AE_2024_2025[[#This Row],[A&amp;E attendances Other A&amp;E Department]]</f>
        <v>13057</v>
      </c>
      <c r="Y1948">
        <f t="shared" si="60"/>
        <v>4981</v>
      </c>
      <c r="Z1948">
        <f t="shared" si="61"/>
        <v>4942</v>
      </c>
    </row>
    <row r="1949" spans="1:26" x14ac:dyDescent="0.2">
      <c r="A1949" t="s">
        <v>454</v>
      </c>
      <c r="B1949" t="s">
        <v>455</v>
      </c>
      <c r="C1949" t="s">
        <v>336</v>
      </c>
      <c r="D1949" t="s">
        <v>50</v>
      </c>
      <c r="E1949" t="s">
        <v>337</v>
      </c>
      <c r="F1949">
        <v>9857</v>
      </c>
      <c r="G1949">
        <v>0</v>
      </c>
      <c r="H1949">
        <v>11634</v>
      </c>
      <c r="I1949">
        <v>0</v>
      </c>
      <c r="J1949">
        <v>0</v>
      </c>
      <c r="K1949">
        <v>0</v>
      </c>
      <c r="L1949">
        <v>2621</v>
      </c>
      <c r="M1949">
        <v>0</v>
      </c>
      <c r="N1949">
        <v>10</v>
      </c>
      <c r="O1949">
        <v>0</v>
      </c>
      <c r="P1949">
        <v>0</v>
      </c>
      <c r="Q1949">
        <v>0</v>
      </c>
      <c r="R1949">
        <v>56</v>
      </c>
      <c r="S1949">
        <v>0</v>
      </c>
      <c r="T1949">
        <v>4042</v>
      </c>
      <c r="U1949">
        <v>0</v>
      </c>
      <c r="V1949">
        <v>40</v>
      </c>
      <c r="W1949">
        <v>450</v>
      </c>
      <c r="X1949">
        <f>NHS_AE_2024_2025[[#This Row],[A&amp;E attendances Type 1]]+
NHS_AE_2024_2025[[#This Row],[A&amp;E attendances Type 2]]+
NHS_AE_2024_2025[[#This Row],[A&amp;E attendances Other A&amp;E Department]]</f>
        <v>21491</v>
      </c>
      <c r="Y1949">
        <f t="shared" si="60"/>
        <v>2631</v>
      </c>
      <c r="Z1949">
        <f t="shared" si="61"/>
        <v>4532</v>
      </c>
    </row>
    <row r="1950" spans="1:26" x14ac:dyDescent="0.2">
      <c r="A1950" t="s">
        <v>454</v>
      </c>
      <c r="B1950" t="s">
        <v>455</v>
      </c>
      <c r="C1950" t="s">
        <v>208</v>
      </c>
      <c r="D1950" t="s">
        <v>32</v>
      </c>
      <c r="E1950" t="s">
        <v>209</v>
      </c>
      <c r="F1950">
        <v>20055</v>
      </c>
      <c r="G1950">
        <v>0</v>
      </c>
      <c r="H1950">
        <v>9846</v>
      </c>
      <c r="I1950">
        <v>1968</v>
      </c>
      <c r="J1950">
        <v>0</v>
      </c>
      <c r="K1950">
        <v>22</v>
      </c>
      <c r="L1950">
        <v>9733</v>
      </c>
      <c r="M1950">
        <v>0</v>
      </c>
      <c r="N1950">
        <v>5</v>
      </c>
      <c r="O1950">
        <v>446</v>
      </c>
      <c r="P1950">
        <v>0</v>
      </c>
      <c r="Q1950">
        <v>0</v>
      </c>
      <c r="R1950">
        <v>1167</v>
      </c>
      <c r="S1950">
        <v>1228</v>
      </c>
      <c r="T1950">
        <v>3984</v>
      </c>
      <c r="U1950">
        <v>0</v>
      </c>
      <c r="V1950">
        <v>0</v>
      </c>
      <c r="W1950">
        <v>1937</v>
      </c>
      <c r="X1950">
        <f>NHS_AE_2024_2025[[#This Row],[A&amp;E attendances Type 1]]+
NHS_AE_2024_2025[[#This Row],[A&amp;E attendances Type 2]]+
NHS_AE_2024_2025[[#This Row],[A&amp;E attendances Other A&amp;E Department]]</f>
        <v>29901</v>
      </c>
      <c r="Y1950">
        <f t="shared" si="60"/>
        <v>9738</v>
      </c>
      <c r="Z1950">
        <f t="shared" si="61"/>
        <v>5921</v>
      </c>
    </row>
    <row r="1951" spans="1:26" x14ac:dyDescent="0.2">
      <c r="A1951" t="s">
        <v>454</v>
      </c>
      <c r="B1951" t="s">
        <v>455</v>
      </c>
      <c r="C1951" t="s">
        <v>210</v>
      </c>
      <c r="D1951" t="s">
        <v>26</v>
      </c>
      <c r="E1951" t="s">
        <v>211</v>
      </c>
      <c r="F1951">
        <v>9087</v>
      </c>
      <c r="G1951">
        <v>0</v>
      </c>
      <c r="H1951">
        <v>0</v>
      </c>
      <c r="I1951">
        <v>12</v>
      </c>
      <c r="J1951">
        <v>0</v>
      </c>
      <c r="K1951">
        <v>0</v>
      </c>
      <c r="L1951">
        <v>4072</v>
      </c>
      <c r="M1951">
        <v>0</v>
      </c>
      <c r="N1951">
        <v>0</v>
      </c>
      <c r="O1951">
        <v>4</v>
      </c>
      <c r="P1951">
        <v>0</v>
      </c>
      <c r="Q1951">
        <v>0</v>
      </c>
      <c r="R1951">
        <v>518</v>
      </c>
      <c r="S1951">
        <v>526</v>
      </c>
      <c r="T1951">
        <v>3000</v>
      </c>
      <c r="U1951">
        <v>0</v>
      </c>
      <c r="V1951">
        <v>0</v>
      </c>
      <c r="W1951">
        <v>2023</v>
      </c>
      <c r="X1951">
        <f>NHS_AE_2024_2025[[#This Row],[A&amp;E attendances Type 1]]+
NHS_AE_2024_2025[[#This Row],[A&amp;E attendances Type 2]]+
NHS_AE_2024_2025[[#This Row],[A&amp;E attendances Other A&amp;E Department]]</f>
        <v>9087</v>
      </c>
      <c r="Y1951">
        <f t="shared" si="60"/>
        <v>4072</v>
      </c>
      <c r="Z1951">
        <f t="shared" si="61"/>
        <v>5023</v>
      </c>
    </row>
    <row r="1952" spans="1:26" x14ac:dyDescent="0.2">
      <c r="A1952" t="s">
        <v>454</v>
      </c>
      <c r="B1952" t="s">
        <v>455</v>
      </c>
      <c r="C1952" t="s">
        <v>264</v>
      </c>
      <c r="D1952" t="s">
        <v>50</v>
      </c>
      <c r="E1952" t="s">
        <v>265</v>
      </c>
      <c r="F1952">
        <v>9659</v>
      </c>
      <c r="G1952">
        <v>0</v>
      </c>
      <c r="H1952">
        <v>4715</v>
      </c>
      <c r="I1952">
        <v>0</v>
      </c>
      <c r="J1952">
        <v>0</v>
      </c>
      <c r="K1952">
        <v>0</v>
      </c>
      <c r="L1952">
        <v>5741</v>
      </c>
      <c r="M1952">
        <v>0</v>
      </c>
      <c r="N1952">
        <v>271</v>
      </c>
      <c r="O1952">
        <v>0</v>
      </c>
      <c r="P1952">
        <v>0</v>
      </c>
      <c r="Q1952">
        <v>0</v>
      </c>
      <c r="R1952">
        <v>976</v>
      </c>
      <c r="S1952">
        <v>481</v>
      </c>
      <c r="T1952">
        <v>3693</v>
      </c>
      <c r="U1952">
        <v>0</v>
      </c>
      <c r="V1952">
        <v>0</v>
      </c>
      <c r="W1952">
        <v>2205</v>
      </c>
      <c r="X1952">
        <f>NHS_AE_2024_2025[[#This Row],[A&amp;E attendances Type 1]]+
NHS_AE_2024_2025[[#This Row],[A&amp;E attendances Type 2]]+
NHS_AE_2024_2025[[#This Row],[A&amp;E attendances Other A&amp;E Department]]</f>
        <v>14374</v>
      </c>
      <c r="Y1952">
        <f t="shared" si="60"/>
        <v>6012</v>
      </c>
      <c r="Z1952">
        <f t="shared" si="61"/>
        <v>5898</v>
      </c>
    </row>
    <row r="1953" spans="1:26" x14ac:dyDescent="0.2">
      <c r="A1953" t="s">
        <v>454</v>
      </c>
      <c r="B1953" t="s">
        <v>455</v>
      </c>
      <c r="C1953" t="s">
        <v>344</v>
      </c>
      <c r="D1953" t="s">
        <v>32</v>
      </c>
      <c r="E1953" t="s">
        <v>436</v>
      </c>
      <c r="F1953">
        <v>10824</v>
      </c>
      <c r="G1953">
        <v>0</v>
      </c>
      <c r="H1953">
        <v>9784</v>
      </c>
      <c r="I1953">
        <v>0</v>
      </c>
      <c r="J1953">
        <v>0</v>
      </c>
      <c r="K1953">
        <v>0</v>
      </c>
      <c r="L1953">
        <v>6337</v>
      </c>
      <c r="M1953">
        <v>0</v>
      </c>
      <c r="N1953">
        <v>1381</v>
      </c>
      <c r="O1953">
        <v>0</v>
      </c>
      <c r="P1953">
        <v>0</v>
      </c>
      <c r="Q1953">
        <v>0</v>
      </c>
      <c r="R1953">
        <v>1214</v>
      </c>
      <c r="S1953">
        <v>874</v>
      </c>
      <c r="T1953">
        <v>4644</v>
      </c>
      <c r="U1953">
        <v>0</v>
      </c>
      <c r="V1953">
        <v>0</v>
      </c>
      <c r="W1953">
        <v>1160</v>
      </c>
      <c r="X1953">
        <f>NHS_AE_2024_2025[[#This Row],[A&amp;E attendances Type 1]]+
NHS_AE_2024_2025[[#This Row],[A&amp;E attendances Type 2]]+
NHS_AE_2024_2025[[#This Row],[A&amp;E attendances Other A&amp;E Department]]</f>
        <v>20608</v>
      </c>
      <c r="Y1953">
        <f t="shared" si="60"/>
        <v>7718</v>
      </c>
      <c r="Z1953">
        <f t="shared" si="61"/>
        <v>5804</v>
      </c>
    </row>
    <row r="1954" spans="1:26" x14ac:dyDescent="0.2">
      <c r="A1954" t="s">
        <v>454</v>
      </c>
      <c r="B1954" t="s">
        <v>455</v>
      </c>
      <c r="C1954" t="s">
        <v>350</v>
      </c>
      <c r="D1954" t="s">
        <v>55</v>
      </c>
      <c r="E1954" t="s">
        <v>351</v>
      </c>
      <c r="F1954">
        <v>6927</v>
      </c>
      <c r="G1954">
        <v>0</v>
      </c>
      <c r="H1954">
        <v>2912</v>
      </c>
      <c r="I1954">
        <v>273</v>
      </c>
      <c r="J1954">
        <v>0</v>
      </c>
      <c r="K1954">
        <v>77</v>
      </c>
      <c r="L1954">
        <v>3572</v>
      </c>
      <c r="M1954">
        <v>0</v>
      </c>
      <c r="N1954">
        <v>107</v>
      </c>
      <c r="O1954">
        <v>88</v>
      </c>
      <c r="P1954">
        <v>0</v>
      </c>
      <c r="Q1954">
        <v>1</v>
      </c>
      <c r="R1954">
        <v>745</v>
      </c>
      <c r="S1954">
        <v>498</v>
      </c>
      <c r="T1954">
        <v>1855</v>
      </c>
      <c r="U1954">
        <v>0</v>
      </c>
      <c r="V1954">
        <v>0</v>
      </c>
      <c r="W1954">
        <v>146</v>
      </c>
      <c r="X1954">
        <f>NHS_AE_2024_2025[[#This Row],[A&amp;E attendances Type 1]]+
NHS_AE_2024_2025[[#This Row],[A&amp;E attendances Type 2]]+
NHS_AE_2024_2025[[#This Row],[A&amp;E attendances Other A&amp;E Department]]</f>
        <v>9839</v>
      </c>
      <c r="Y1954">
        <f t="shared" si="60"/>
        <v>3679</v>
      </c>
      <c r="Z1954">
        <f t="shared" si="61"/>
        <v>2001</v>
      </c>
    </row>
    <row r="1955" spans="1:26" x14ac:dyDescent="0.2">
      <c r="A1955" t="s">
        <v>454</v>
      </c>
      <c r="B1955" t="s">
        <v>455</v>
      </c>
      <c r="C1955" t="s">
        <v>214</v>
      </c>
      <c r="D1955" t="s">
        <v>55</v>
      </c>
      <c r="E1955" t="s">
        <v>215</v>
      </c>
      <c r="F1955">
        <v>12214</v>
      </c>
      <c r="G1955">
        <v>0</v>
      </c>
      <c r="H1955">
        <v>3531</v>
      </c>
      <c r="I1955">
        <v>242</v>
      </c>
      <c r="J1955">
        <v>0</v>
      </c>
      <c r="K1955">
        <v>58</v>
      </c>
      <c r="L1955">
        <v>4689</v>
      </c>
      <c r="M1955">
        <v>0</v>
      </c>
      <c r="N1955">
        <v>96</v>
      </c>
      <c r="O1955">
        <v>38</v>
      </c>
      <c r="P1955">
        <v>0</v>
      </c>
      <c r="Q1955">
        <v>1</v>
      </c>
      <c r="R1955">
        <v>1071</v>
      </c>
      <c r="S1955">
        <v>358</v>
      </c>
      <c r="T1955">
        <v>3302</v>
      </c>
      <c r="U1955">
        <v>0</v>
      </c>
      <c r="V1955">
        <v>101</v>
      </c>
      <c r="W1955">
        <v>1367</v>
      </c>
      <c r="X1955">
        <f>NHS_AE_2024_2025[[#This Row],[A&amp;E attendances Type 1]]+
NHS_AE_2024_2025[[#This Row],[A&amp;E attendances Type 2]]+
NHS_AE_2024_2025[[#This Row],[A&amp;E attendances Other A&amp;E Department]]</f>
        <v>15745</v>
      </c>
      <c r="Y1955">
        <f t="shared" si="60"/>
        <v>4785</v>
      </c>
      <c r="Z1955">
        <f t="shared" si="61"/>
        <v>4770</v>
      </c>
    </row>
    <row r="1956" spans="1:26" x14ac:dyDescent="0.2">
      <c r="A1956" t="s">
        <v>454</v>
      </c>
      <c r="B1956" t="s">
        <v>455</v>
      </c>
      <c r="C1956" t="s">
        <v>358</v>
      </c>
      <c r="D1956" t="s">
        <v>29</v>
      </c>
      <c r="E1956" t="s">
        <v>359</v>
      </c>
      <c r="F1956">
        <v>11799</v>
      </c>
      <c r="G1956">
        <v>3680</v>
      </c>
      <c r="H1956">
        <v>7326</v>
      </c>
      <c r="I1956">
        <v>0</v>
      </c>
      <c r="J1956">
        <v>0</v>
      </c>
      <c r="K1956">
        <v>487</v>
      </c>
      <c r="L1956">
        <v>4774</v>
      </c>
      <c r="M1956">
        <v>50</v>
      </c>
      <c r="N1956">
        <v>456</v>
      </c>
      <c r="O1956">
        <v>0</v>
      </c>
      <c r="P1956">
        <v>0</v>
      </c>
      <c r="Q1956">
        <v>0</v>
      </c>
      <c r="R1956">
        <v>628</v>
      </c>
      <c r="S1956">
        <v>312</v>
      </c>
      <c r="T1956">
        <v>3907</v>
      </c>
      <c r="U1956">
        <v>0</v>
      </c>
      <c r="V1956">
        <v>0</v>
      </c>
      <c r="W1956">
        <v>1097</v>
      </c>
      <c r="X1956">
        <f>NHS_AE_2024_2025[[#This Row],[A&amp;E attendances Type 1]]+
NHS_AE_2024_2025[[#This Row],[A&amp;E attendances Type 2]]+
NHS_AE_2024_2025[[#This Row],[A&amp;E attendances Other A&amp;E Department]]</f>
        <v>22805</v>
      </c>
      <c r="Y1956">
        <f t="shared" si="60"/>
        <v>5280</v>
      </c>
      <c r="Z1956">
        <f t="shared" si="61"/>
        <v>5004</v>
      </c>
    </row>
    <row r="1957" spans="1:26" x14ac:dyDescent="0.2">
      <c r="A1957" t="s">
        <v>454</v>
      </c>
      <c r="B1957" t="s">
        <v>455</v>
      </c>
      <c r="C1957" t="s">
        <v>220</v>
      </c>
      <c r="D1957" t="s">
        <v>50</v>
      </c>
      <c r="E1957" t="s">
        <v>221</v>
      </c>
      <c r="F1957">
        <v>0</v>
      </c>
      <c r="G1957">
        <v>0</v>
      </c>
      <c r="H1957">
        <v>321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f>NHS_AE_2024_2025[[#This Row],[A&amp;E attendances Type 1]]+
NHS_AE_2024_2025[[#This Row],[A&amp;E attendances Type 2]]+
NHS_AE_2024_2025[[#This Row],[A&amp;E attendances Other A&amp;E Department]]</f>
        <v>321</v>
      </c>
      <c r="Y1957">
        <f t="shared" si="60"/>
        <v>0</v>
      </c>
      <c r="Z1957">
        <f t="shared" si="61"/>
        <v>0</v>
      </c>
    </row>
    <row r="1958" spans="1:26" x14ac:dyDescent="0.2">
      <c r="A1958" t="s">
        <v>454</v>
      </c>
      <c r="B1958" t="s">
        <v>455</v>
      </c>
      <c r="C1958" t="s">
        <v>224</v>
      </c>
      <c r="D1958" t="s">
        <v>29</v>
      </c>
      <c r="E1958" t="s">
        <v>225</v>
      </c>
      <c r="F1958">
        <v>25692</v>
      </c>
      <c r="G1958">
        <v>985</v>
      </c>
      <c r="H1958">
        <v>17220</v>
      </c>
      <c r="I1958">
        <v>0</v>
      </c>
      <c r="J1958">
        <v>0</v>
      </c>
      <c r="K1958">
        <v>0</v>
      </c>
      <c r="L1958">
        <v>11813</v>
      </c>
      <c r="M1958">
        <v>58</v>
      </c>
      <c r="N1958">
        <v>1289</v>
      </c>
      <c r="O1958">
        <v>0</v>
      </c>
      <c r="P1958">
        <v>0</v>
      </c>
      <c r="Q1958">
        <v>0</v>
      </c>
      <c r="R1958">
        <v>1139</v>
      </c>
      <c r="S1958">
        <v>1064</v>
      </c>
      <c r="T1958">
        <v>4448</v>
      </c>
      <c r="U1958">
        <v>2</v>
      </c>
      <c r="V1958">
        <v>59</v>
      </c>
      <c r="W1958">
        <v>1124</v>
      </c>
      <c r="X1958">
        <f>NHS_AE_2024_2025[[#This Row],[A&amp;E attendances Type 1]]+
NHS_AE_2024_2025[[#This Row],[A&amp;E attendances Type 2]]+
NHS_AE_2024_2025[[#This Row],[A&amp;E attendances Other A&amp;E Department]]</f>
        <v>43897</v>
      </c>
      <c r="Y1958">
        <f t="shared" si="60"/>
        <v>13160</v>
      </c>
      <c r="Z1958">
        <f t="shared" si="61"/>
        <v>5633</v>
      </c>
    </row>
    <row r="1959" spans="1:26" x14ac:dyDescent="0.2">
      <c r="A1959" t="s">
        <v>454</v>
      </c>
      <c r="B1959" t="s">
        <v>455</v>
      </c>
      <c r="C1959" t="s">
        <v>192</v>
      </c>
      <c r="D1959" t="s">
        <v>55</v>
      </c>
      <c r="E1959" t="s">
        <v>193</v>
      </c>
      <c r="F1959">
        <v>6277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1663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957</v>
      </c>
      <c r="U1959">
        <v>0</v>
      </c>
      <c r="V1959">
        <v>0</v>
      </c>
      <c r="W1959">
        <v>340</v>
      </c>
      <c r="X1959">
        <f>NHS_AE_2024_2025[[#This Row],[A&amp;E attendances Type 1]]+
NHS_AE_2024_2025[[#This Row],[A&amp;E attendances Type 2]]+
NHS_AE_2024_2025[[#This Row],[A&amp;E attendances Other A&amp;E Department]]</f>
        <v>6277</v>
      </c>
      <c r="Y1959">
        <f t="shared" si="60"/>
        <v>1663</v>
      </c>
      <c r="Z1959">
        <f t="shared" si="61"/>
        <v>1297</v>
      </c>
    </row>
    <row r="1960" spans="1:26" x14ac:dyDescent="0.2">
      <c r="A1960" t="s">
        <v>454</v>
      </c>
      <c r="B1960" t="s">
        <v>455</v>
      </c>
      <c r="C1960" t="s">
        <v>362</v>
      </c>
      <c r="D1960" t="s">
        <v>26</v>
      </c>
      <c r="E1960" t="s">
        <v>363</v>
      </c>
      <c r="F1960">
        <v>8488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3715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785</v>
      </c>
      <c r="S1960">
        <v>131</v>
      </c>
      <c r="T1960">
        <v>2484</v>
      </c>
      <c r="U1960">
        <v>0</v>
      </c>
      <c r="V1960">
        <v>7</v>
      </c>
      <c r="W1960">
        <v>1733</v>
      </c>
      <c r="X1960">
        <f>NHS_AE_2024_2025[[#This Row],[A&amp;E attendances Type 1]]+
NHS_AE_2024_2025[[#This Row],[A&amp;E attendances Type 2]]+
NHS_AE_2024_2025[[#This Row],[A&amp;E attendances Other A&amp;E Department]]</f>
        <v>8488</v>
      </c>
      <c r="Y1960">
        <f t="shared" si="60"/>
        <v>3715</v>
      </c>
      <c r="Z1960">
        <f t="shared" si="61"/>
        <v>4224</v>
      </c>
    </row>
    <row r="1961" spans="1:26" x14ac:dyDescent="0.2">
      <c r="A1961" t="s">
        <v>454</v>
      </c>
      <c r="B1961" t="s">
        <v>455</v>
      </c>
      <c r="C1961" t="s">
        <v>122</v>
      </c>
      <c r="D1961" t="s">
        <v>50</v>
      </c>
      <c r="E1961" t="s">
        <v>123</v>
      </c>
      <c r="F1961">
        <v>8946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3391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612</v>
      </c>
      <c r="S1961">
        <v>16</v>
      </c>
      <c r="T1961">
        <v>1941</v>
      </c>
      <c r="U1961">
        <v>0</v>
      </c>
      <c r="V1961">
        <v>0</v>
      </c>
      <c r="W1961">
        <v>368</v>
      </c>
      <c r="X1961">
        <f>NHS_AE_2024_2025[[#This Row],[A&amp;E attendances Type 1]]+
NHS_AE_2024_2025[[#This Row],[A&amp;E attendances Type 2]]+
NHS_AE_2024_2025[[#This Row],[A&amp;E attendances Other A&amp;E Department]]</f>
        <v>8946</v>
      </c>
      <c r="Y1961">
        <f t="shared" si="60"/>
        <v>3391</v>
      </c>
      <c r="Z1961">
        <f t="shared" si="61"/>
        <v>2309</v>
      </c>
    </row>
    <row r="1962" spans="1:26" x14ac:dyDescent="0.2">
      <c r="A1962" t="s">
        <v>454</v>
      </c>
      <c r="B1962" t="s">
        <v>455</v>
      </c>
      <c r="C1962" t="s">
        <v>370</v>
      </c>
      <c r="D1962" t="s">
        <v>29</v>
      </c>
      <c r="E1962" t="s">
        <v>371</v>
      </c>
      <c r="F1962">
        <v>14664</v>
      </c>
      <c r="G1962">
        <v>0</v>
      </c>
      <c r="H1962">
        <v>10734</v>
      </c>
      <c r="I1962">
        <v>0</v>
      </c>
      <c r="J1962">
        <v>0</v>
      </c>
      <c r="K1962">
        <v>0</v>
      </c>
      <c r="L1962">
        <v>7608</v>
      </c>
      <c r="M1962">
        <v>0</v>
      </c>
      <c r="N1962">
        <v>1390</v>
      </c>
      <c r="O1962">
        <v>0</v>
      </c>
      <c r="P1962">
        <v>0</v>
      </c>
      <c r="Q1962">
        <v>0</v>
      </c>
      <c r="R1962">
        <v>1166</v>
      </c>
      <c r="S1962">
        <v>795</v>
      </c>
      <c r="T1962">
        <v>4682</v>
      </c>
      <c r="U1962">
        <v>0</v>
      </c>
      <c r="V1962">
        <v>0</v>
      </c>
      <c r="W1962">
        <v>1369</v>
      </c>
      <c r="X1962">
        <f>NHS_AE_2024_2025[[#This Row],[A&amp;E attendances Type 1]]+
NHS_AE_2024_2025[[#This Row],[A&amp;E attendances Type 2]]+
NHS_AE_2024_2025[[#This Row],[A&amp;E attendances Other A&amp;E Department]]</f>
        <v>25398</v>
      </c>
      <c r="Y1962">
        <f t="shared" si="60"/>
        <v>8998</v>
      </c>
      <c r="Z1962">
        <f t="shared" si="61"/>
        <v>6051</v>
      </c>
    </row>
    <row r="1963" spans="1:26" x14ac:dyDescent="0.2">
      <c r="A1963" t="s">
        <v>454</v>
      </c>
      <c r="B1963" t="s">
        <v>455</v>
      </c>
      <c r="C1963" t="s">
        <v>408</v>
      </c>
      <c r="D1963" t="s">
        <v>50</v>
      </c>
      <c r="E1963" t="s">
        <v>409</v>
      </c>
      <c r="F1963">
        <v>8858</v>
      </c>
      <c r="G1963">
        <v>0</v>
      </c>
      <c r="H1963">
        <v>6963</v>
      </c>
      <c r="I1963">
        <v>0</v>
      </c>
      <c r="J1963">
        <v>0</v>
      </c>
      <c r="K1963">
        <v>396</v>
      </c>
      <c r="L1963">
        <v>4148</v>
      </c>
      <c r="M1963">
        <v>0</v>
      </c>
      <c r="N1963">
        <v>55</v>
      </c>
      <c r="O1963">
        <v>0</v>
      </c>
      <c r="P1963">
        <v>0</v>
      </c>
      <c r="Q1963">
        <v>6</v>
      </c>
      <c r="R1963">
        <v>607</v>
      </c>
      <c r="S1963">
        <v>699</v>
      </c>
      <c r="T1963">
        <v>5656</v>
      </c>
      <c r="U1963">
        <v>0</v>
      </c>
      <c r="V1963">
        <v>0</v>
      </c>
      <c r="W1963">
        <v>492</v>
      </c>
      <c r="X1963">
        <f>NHS_AE_2024_2025[[#This Row],[A&amp;E attendances Type 1]]+
NHS_AE_2024_2025[[#This Row],[A&amp;E attendances Type 2]]+
NHS_AE_2024_2025[[#This Row],[A&amp;E attendances Other A&amp;E Department]]</f>
        <v>15821</v>
      </c>
      <c r="Y1963">
        <f t="shared" si="60"/>
        <v>4203</v>
      </c>
      <c r="Z1963">
        <f t="shared" si="61"/>
        <v>6148</v>
      </c>
    </row>
    <row r="1964" spans="1:26" x14ac:dyDescent="0.2">
      <c r="A1964" t="s">
        <v>454</v>
      </c>
      <c r="B1964" t="s">
        <v>455</v>
      </c>
      <c r="C1964" t="s">
        <v>258</v>
      </c>
      <c r="D1964" t="s">
        <v>50</v>
      </c>
      <c r="E1964" t="s">
        <v>259</v>
      </c>
      <c r="F1964">
        <v>6257</v>
      </c>
      <c r="G1964">
        <v>0</v>
      </c>
      <c r="H1964">
        <v>3351</v>
      </c>
      <c r="I1964">
        <v>20</v>
      </c>
      <c r="J1964">
        <v>0</v>
      </c>
      <c r="K1964">
        <v>3</v>
      </c>
      <c r="L1964">
        <v>2570</v>
      </c>
      <c r="M1964">
        <v>0</v>
      </c>
      <c r="N1964">
        <v>19</v>
      </c>
      <c r="O1964">
        <v>9</v>
      </c>
      <c r="P1964">
        <v>0</v>
      </c>
      <c r="Q1964">
        <v>0</v>
      </c>
      <c r="R1964">
        <v>1028</v>
      </c>
      <c r="S1964">
        <v>1</v>
      </c>
      <c r="T1964">
        <v>1592</v>
      </c>
      <c r="U1964">
        <v>0</v>
      </c>
      <c r="V1964">
        <v>0</v>
      </c>
      <c r="W1964">
        <v>54</v>
      </c>
      <c r="X1964">
        <f>NHS_AE_2024_2025[[#This Row],[A&amp;E attendances Type 1]]+
NHS_AE_2024_2025[[#This Row],[A&amp;E attendances Type 2]]+
NHS_AE_2024_2025[[#This Row],[A&amp;E attendances Other A&amp;E Department]]</f>
        <v>9608</v>
      </c>
      <c r="Y1964">
        <f t="shared" si="60"/>
        <v>2589</v>
      </c>
      <c r="Z1964">
        <f t="shared" si="61"/>
        <v>1646</v>
      </c>
    </row>
    <row r="1965" spans="1:26" x14ac:dyDescent="0.2">
      <c r="A1965" t="s">
        <v>454</v>
      </c>
      <c r="B1965" t="s">
        <v>455</v>
      </c>
      <c r="C1965" t="s">
        <v>340</v>
      </c>
      <c r="D1965" t="s">
        <v>29</v>
      </c>
      <c r="E1965" t="s">
        <v>341</v>
      </c>
      <c r="F1965">
        <v>11520</v>
      </c>
      <c r="G1965">
        <v>314</v>
      </c>
      <c r="H1965">
        <v>1354</v>
      </c>
      <c r="I1965">
        <v>461</v>
      </c>
      <c r="J1965">
        <v>0</v>
      </c>
      <c r="K1965">
        <v>36</v>
      </c>
      <c r="L1965">
        <v>3620</v>
      </c>
      <c r="M1965">
        <v>0</v>
      </c>
      <c r="N1965">
        <v>99</v>
      </c>
      <c r="O1965">
        <v>73</v>
      </c>
      <c r="P1965">
        <v>0</v>
      </c>
      <c r="Q1965">
        <v>0</v>
      </c>
      <c r="R1965">
        <v>381</v>
      </c>
      <c r="S1965">
        <v>652</v>
      </c>
      <c r="T1965">
        <v>2072</v>
      </c>
      <c r="U1965">
        <v>2</v>
      </c>
      <c r="V1965">
        <v>0</v>
      </c>
      <c r="W1965">
        <v>131</v>
      </c>
      <c r="X1965">
        <f>NHS_AE_2024_2025[[#This Row],[A&amp;E attendances Type 1]]+
NHS_AE_2024_2025[[#This Row],[A&amp;E attendances Type 2]]+
NHS_AE_2024_2025[[#This Row],[A&amp;E attendances Other A&amp;E Department]]</f>
        <v>13188</v>
      </c>
      <c r="Y1965">
        <f t="shared" si="60"/>
        <v>3719</v>
      </c>
      <c r="Z1965">
        <f t="shared" si="61"/>
        <v>2205</v>
      </c>
    </row>
    <row r="1966" spans="1:26" x14ac:dyDescent="0.2">
      <c r="A1966" t="s">
        <v>454</v>
      </c>
      <c r="B1966" t="s">
        <v>455</v>
      </c>
      <c r="C1966" t="s">
        <v>170</v>
      </c>
      <c r="D1966" t="s">
        <v>32</v>
      </c>
      <c r="E1966" t="s">
        <v>171</v>
      </c>
      <c r="F1966">
        <v>16379</v>
      </c>
      <c r="G1966">
        <v>1715</v>
      </c>
      <c r="H1966">
        <v>266</v>
      </c>
      <c r="I1966">
        <v>0</v>
      </c>
      <c r="J1966">
        <v>0</v>
      </c>
      <c r="K1966">
        <v>0</v>
      </c>
      <c r="L1966">
        <v>8610</v>
      </c>
      <c r="M1966">
        <v>278</v>
      </c>
      <c r="N1966">
        <v>19</v>
      </c>
      <c r="O1966">
        <v>0</v>
      </c>
      <c r="P1966">
        <v>0</v>
      </c>
      <c r="Q1966">
        <v>0</v>
      </c>
      <c r="R1966">
        <v>381</v>
      </c>
      <c r="S1966">
        <v>387</v>
      </c>
      <c r="T1966">
        <v>4581</v>
      </c>
      <c r="U1966">
        <v>0</v>
      </c>
      <c r="V1966">
        <v>0</v>
      </c>
      <c r="W1966">
        <v>4498</v>
      </c>
      <c r="X1966">
        <f>NHS_AE_2024_2025[[#This Row],[A&amp;E attendances Type 1]]+
NHS_AE_2024_2025[[#This Row],[A&amp;E attendances Type 2]]+
NHS_AE_2024_2025[[#This Row],[A&amp;E attendances Other A&amp;E Department]]</f>
        <v>18360</v>
      </c>
      <c r="Y1966">
        <f t="shared" si="60"/>
        <v>8907</v>
      </c>
      <c r="Z1966">
        <f t="shared" si="61"/>
        <v>9079</v>
      </c>
    </row>
    <row r="1967" spans="1:26" x14ac:dyDescent="0.2">
      <c r="A1967" t="s">
        <v>454</v>
      </c>
      <c r="B1967" t="s">
        <v>455</v>
      </c>
      <c r="C1967" t="s">
        <v>150</v>
      </c>
      <c r="D1967" t="s">
        <v>55</v>
      </c>
      <c r="E1967" t="s">
        <v>151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681</v>
      </c>
      <c r="X1967">
        <f>NHS_AE_2024_2025[[#This Row],[A&amp;E attendances Type 1]]+
NHS_AE_2024_2025[[#This Row],[A&amp;E attendances Type 2]]+
NHS_AE_2024_2025[[#This Row],[A&amp;E attendances Other A&amp;E Department]]</f>
        <v>0</v>
      </c>
      <c r="Y1967">
        <f t="shared" si="60"/>
        <v>0</v>
      </c>
      <c r="Z1967">
        <f t="shared" si="61"/>
        <v>681</v>
      </c>
    </row>
    <row r="1968" spans="1:26" x14ac:dyDescent="0.2">
      <c r="A1968" t="s">
        <v>454</v>
      </c>
      <c r="B1968" t="s">
        <v>455</v>
      </c>
      <c r="C1968" t="s">
        <v>242</v>
      </c>
      <c r="D1968" t="s">
        <v>70</v>
      </c>
      <c r="E1968" t="s">
        <v>243</v>
      </c>
      <c r="F1968">
        <v>8345</v>
      </c>
      <c r="G1968">
        <v>0</v>
      </c>
      <c r="H1968">
        <v>5293</v>
      </c>
      <c r="I1968">
        <v>589</v>
      </c>
      <c r="J1968">
        <v>0</v>
      </c>
      <c r="K1968">
        <v>159</v>
      </c>
      <c r="L1968">
        <v>3457</v>
      </c>
      <c r="M1968">
        <v>0</v>
      </c>
      <c r="N1968">
        <v>214</v>
      </c>
      <c r="O1968">
        <v>239</v>
      </c>
      <c r="P1968">
        <v>0</v>
      </c>
      <c r="Q1968">
        <v>0</v>
      </c>
      <c r="R1968">
        <v>717</v>
      </c>
      <c r="S1968">
        <v>0</v>
      </c>
      <c r="T1968">
        <v>2069</v>
      </c>
      <c r="U1968">
        <v>0</v>
      </c>
      <c r="V1968">
        <v>0</v>
      </c>
      <c r="W1968">
        <v>553</v>
      </c>
      <c r="X1968">
        <f>NHS_AE_2024_2025[[#This Row],[A&amp;E attendances Type 1]]+
NHS_AE_2024_2025[[#This Row],[A&amp;E attendances Type 2]]+
NHS_AE_2024_2025[[#This Row],[A&amp;E attendances Other A&amp;E Department]]</f>
        <v>13638</v>
      </c>
      <c r="Y1968">
        <f t="shared" si="60"/>
        <v>3671</v>
      </c>
      <c r="Z1968">
        <f t="shared" si="61"/>
        <v>2622</v>
      </c>
    </row>
    <row r="1969" spans="1:26" x14ac:dyDescent="0.2">
      <c r="A1969" t="s">
        <v>454</v>
      </c>
      <c r="B1969" t="s">
        <v>455</v>
      </c>
      <c r="C1969" t="s">
        <v>420</v>
      </c>
      <c r="D1969" t="s">
        <v>37</v>
      </c>
      <c r="E1969" t="s">
        <v>421</v>
      </c>
      <c r="F1969">
        <v>9838</v>
      </c>
      <c r="G1969">
        <v>758</v>
      </c>
      <c r="H1969">
        <v>2829</v>
      </c>
      <c r="I1969">
        <v>1451</v>
      </c>
      <c r="J1969">
        <v>0</v>
      </c>
      <c r="K1969">
        <v>792</v>
      </c>
      <c r="L1969">
        <v>4855</v>
      </c>
      <c r="M1969">
        <v>4</v>
      </c>
      <c r="N1969">
        <v>55</v>
      </c>
      <c r="O1969">
        <v>780</v>
      </c>
      <c r="P1969">
        <v>0</v>
      </c>
      <c r="Q1969">
        <v>6</v>
      </c>
      <c r="R1969">
        <v>1441</v>
      </c>
      <c r="S1969">
        <v>58</v>
      </c>
      <c r="T1969">
        <v>3387</v>
      </c>
      <c r="U1969">
        <v>0</v>
      </c>
      <c r="V1969">
        <v>0</v>
      </c>
      <c r="W1969">
        <v>2649</v>
      </c>
      <c r="X1969">
        <f>NHS_AE_2024_2025[[#This Row],[A&amp;E attendances Type 1]]+
NHS_AE_2024_2025[[#This Row],[A&amp;E attendances Type 2]]+
NHS_AE_2024_2025[[#This Row],[A&amp;E attendances Other A&amp;E Department]]</f>
        <v>13425</v>
      </c>
      <c r="Y1969">
        <f t="shared" si="60"/>
        <v>4914</v>
      </c>
      <c r="Z1969">
        <f t="shared" si="61"/>
        <v>6036</v>
      </c>
    </row>
    <row r="1970" spans="1:26" x14ac:dyDescent="0.2">
      <c r="A1970" t="s">
        <v>454</v>
      </c>
      <c r="B1970" t="s">
        <v>455</v>
      </c>
      <c r="C1970" t="s">
        <v>178</v>
      </c>
      <c r="D1970" t="s">
        <v>55</v>
      </c>
      <c r="E1970" t="s">
        <v>179</v>
      </c>
      <c r="F1970">
        <v>0</v>
      </c>
      <c r="G1970">
        <v>0</v>
      </c>
      <c r="H1970">
        <v>2989</v>
      </c>
      <c r="I1970">
        <v>0</v>
      </c>
      <c r="J1970">
        <v>0</v>
      </c>
      <c r="K1970">
        <v>174</v>
      </c>
      <c r="L1970">
        <v>0</v>
      </c>
      <c r="M1970">
        <v>0</v>
      </c>
      <c r="N1970">
        <v>72</v>
      </c>
      <c r="O1970">
        <v>0</v>
      </c>
      <c r="P1970">
        <v>0</v>
      </c>
      <c r="Q1970">
        <v>3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f>NHS_AE_2024_2025[[#This Row],[A&amp;E attendances Type 1]]+
NHS_AE_2024_2025[[#This Row],[A&amp;E attendances Type 2]]+
NHS_AE_2024_2025[[#This Row],[A&amp;E attendances Other A&amp;E Department]]</f>
        <v>2989</v>
      </c>
      <c r="Y1970">
        <f t="shared" si="60"/>
        <v>72</v>
      </c>
      <c r="Z1970">
        <f t="shared" si="61"/>
        <v>0</v>
      </c>
    </row>
    <row r="1971" spans="1:26" x14ac:dyDescent="0.2">
      <c r="A1971" t="s">
        <v>454</v>
      </c>
      <c r="B1971" t="s">
        <v>455</v>
      </c>
      <c r="C1971" t="s">
        <v>59</v>
      </c>
      <c r="D1971" t="s">
        <v>37</v>
      </c>
      <c r="E1971" t="s">
        <v>60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f>NHS_AE_2024_2025[[#This Row],[A&amp;E attendances Type 1]]+
NHS_AE_2024_2025[[#This Row],[A&amp;E attendances Type 2]]+
NHS_AE_2024_2025[[#This Row],[A&amp;E attendances Other A&amp;E Department]]</f>
        <v>0</v>
      </c>
      <c r="Y1971">
        <f t="shared" si="60"/>
        <v>0</v>
      </c>
      <c r="Z1971">
        <f t="shared" si="61"/>
        <v>0</v>
      </c>
    </row>
    <row r="1972" spans="1:26" x14ac:dyDescent="0.2">
      <c r="A1972" t="s">
        <v>454</v>
      </c>
      <c r="B1972" t="s">
        <v>455</v>
      </c>
      <c r="C1972" t="s">
        <v>238</v>
      </c>
      <c r="D1972" t="s">
        <v>50</v>
      </c>
      <c r="E1972" t="s">
        <v>239</v>
      </c>
      <c r="F1972">
        <v>10945</v>
      </c>
      <c r="G1972">
        <v>361</v>
      </c>
      <c r="H1972">
        <v>6330</v>
      </c>
      <c r="I1972">
        <v>0</v>
      </c>
      <c r="J1972">
        <v>0</v>
      </c>
      <c r="K1972">
        <v>0</v>
      </c>
      <c r="L1972">
        <v>6389</v>
      </c>
      <c r="M1972">
        <v>0</v>
      </c>
      <c r="N1972">
        <v>245</v>
      </c>
      <c r="O1972">
        <v>0</v>
      </c>
      <c r="P1972">
        <v>0</v>
      </c>
      <c r="Q1972">
        <v>0</v>
      </c>
      <c r="R1972">
        <v>850</v>
      </c>
      <c r="S1972">
        <v>883</v>
      </c>
      <c r="T1972">
        <v>4655</v>
      </c>
      <c r="U1972">
        <v>0</v>
      </c>
      <c r="V1972">
        <v>0</v>
      </c>
      <c r="W1972">
        <v>1651</v>
      </c>
      <c r="X1972">
        <f>NHS_AE_2024_2025[[#This Row],[A&amp;E attendances Type 1]]+
NHS_AE_2024_2025[[#This Row],[A&amp;E attendances Type 2]]+
NHS_AE_2024_2025[[#This Row],[A&amp;E attendances Other A&amp;E Department]]</f>
        <v>17636</v>
      </c>
      <c r="Y1972">
        <f t="shared" si="60"/>
        <v>6634</v>
      </c>
      <c r="Z1972">
        <f t="shared" si="61"/>
        <v>6306</v>
      </c>
    </row>
    <row r="1973" spans="1:26" x14ac:dyDescent="0.2">
      <c r="A1973" t="s">
        <v>454</v>
      </c>
      <c r="B1973" t="s">
        <v>455</v>
      </c>
      <c r="C1973" t="s">
        <v>388</v>
      </c>
      <c r="D1973" t="s">
        <v>55</v>
      </c>
      <c r="E1973" t="s">
        <v>389</v>
      </c>
      <c r="F1973">
        <v>8295</v>
      </c>
      <c r="G1973">
        <v>0</v>
      </c>
      <c r="H1973">
        <v>3598</v>
      </c>
      <c r="I1973">
        <v>55</v>
      </c>
      <c r="J1973">
        <v>0</v>
      </c>
      <c r="K1973">
        <v>50</v>
      </c>
      <c r="L1973">
        <v>4308</v>
      </c>
      <c r="M1973">
        <v>0</v>
      </c>
      <c r="N1973">
        <v>170</v>
      </c>
      <c r="O1973">
        <v>19</v>
      </c>
      <c r="P1973">
        <v>0</v>
      </c>
      <c r="Q1973">
        <v>1</v>
      </c>
      <c r="R1973">
        <v>512</v>
      </c>
      <c r="S1973">
        <v>585</v>
      </c>
      <c r="T1973">
        <v>2480</v>
      </c>
      <c r="U1973">
        <v>0</v>
      </c>
      <c r="V1973">
        <v>84</v>
      </c>
      <c r="W1973">
        <v>796</v>
      </c>
      <c r="X1973">
        <f>NHS_AE_2024_2025[[#This Row],[A&amp;E attendances Type 1]]+
NHS_AE_2024_2025[[#This Row],[A&amp;E attendances Type 2]]+
NHS_AE_2024_2025[[#This Row],[A&amp;E attendances Other A&amp;E Department]]</f>
        <v>11893</v>
      </c>
      <c r="Y1973">
        <f t="shared" si="60"/>
        <v>4478</v>
      </c>
      <c r="Z1973">
        <f t="shared" si="61"/>
        <v>3360</v>
      </c>
    </row>
    <row r="1974" spans="1:26" x14ac:dyDescent="0.2">
      <c r="A1974" t="s">
        <v>454</v>
      </c>
      <c r="B1974" t="s">
        <v>455</v>
      </c>
      <c r="C1974" t="s">
        <v>398</v>
      </c>
      <c r="D1974" t="s">
        <v>55</v>
      </c>
      <c r="E1974" t="s">
        <v>399</v>
      </c>
      <c r="F1974">
        <v>5970</v>
      </c>
      <c r="G1974">
        <v>0</v>
      </c>
      <c r="H1974">
        <v>3067</v>
      </c>
      <c r="I1974">
        <v>0</v>
      </c>
      <c r="J1974">
        <v>0</v>
      </c>
      <c r="K1974">
        <v>195</v>
      </c>
      <c r="L1974">
        <v>3101</v>
      </c>
      <c r="M1974">
        <v>0</v>
      </c>
      <c r="N1974">
        <v>29</v>
      </c>
      <c r="O1974">
        <v>0</v>
      </c>
      <c r="P1974">
        <v>0</v>
      </c>
      <c r="Q1974">
        <v>1</v>
      </c>
      <c r="R1974">
        <v>303</v>
      </c>
      <c r="S1974">
        <v>693</v>
      </c>
      <c r="T1974">
        <v>1549</v>
      </c>
      <c r="U1974">
        <v>0</v>
      </c>
      <c r="V1974">
        <v>0</v>
      </c>
      <c r="W1974">
        <v>1491</v>
      </c>
      <c r="X1974">
        <f>NHS_AE_2024_2025[[#This Row],[A&amp;E attendances Type 1]]+
NHS_AE_2024_2025[[#This Row],[A&amp;E attendances Type 2]]+
NHS_AE_2024_2025[[#This Row],[A&amp;E attendances Other A&amp;E Department]]</f>
        <v>9037</v>
      </c>
      <c r="Y1974">
        <f t="shared" si="60"/>
        <v>3130</v>
      </c>
      <c r="Z1974">
        <f t="shared" si="61"/>
        <v>3040</v>
      </c>
    </row>
    <row r="1975" spans="1:26" x14ac:dyDescent="0.2">
      <c r="A1975" t="s">
        <v>454</v>
      </c>
      <c r="B1975" t="s">
        <v>455</v>
      </c>
      <c r="C1975" t="s">
        <v>384</v>
      </c>
      <c r="D1975" t="s">
        <v>55</v>
      </c>
      <c r="E1975" t="s">
        <v>385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191</v>
      </c>
      <c r="X1975">
        <f>NHS_AE_2024_2025[[#This Row],[A&amp;E attendances Type 1]]+
NHS_AE_2024_2025[[#This Row],[A&amp;E attendances Type 2]]+
NHS_AE_2024_2025[[#This Row],[A&amp;E attendances Other A&amp;E Department]]</f>
        <v>0</v>
      </c>
      <c r="Y1975">
        <f t="shared" si="60"/>
        <v>0</v>
      </c>
      <c r="Z1975">
        <f t="shared" si="61"/>
        <v>191</v>
      </c>
    </row>
    <row r="1976" spans="1:26" x14ac:dyDescent="0.2">
      <c r="A1976" t="s">
        <v>454</v>
      </c>
      <c r="B1976" t="s">
        <v>455</v>
      </c>
      <c r="C1976" t="s">
        <v>406</v>
      </c>
      <c r="D1976" t="s">
        <v>37</v>
      </c>
      <c r="E1976" t="s">
        <v>407</v>
      </c>
      <c r="F1976">
        <v>11076</v>
      </c>
      <c r="G1976">
        <v>2259</v>
      </c>
      <c r="H1976">
        <v>1332</v>
      </c>
      <c r="I1976">
        <v>904</v>
      </c>
      <c r="J1976">
        <v>24</v>
      </c>
      <c r="K1976">
        <v>0</v>
      </c>
      <c r="L1976">
        <v>4378</v>
      </c>
      <c r="M1976">
        <v>15</v>
      </c>
      <c r="N1976">
        <v>0</v>
      </c>
      <c r="O1976">
        <v>306</v>
      </c>
      <c r="P1976">
        <v>0</v>
      </c>
      <c r="Q1976">
        <v>0</v>
      </c>
      <c r="R1976">
        <v>545</v>
      </c>
      <c r="S1976">
        <v>1</v>
      </c>
      <c r="T1976">
        <v>2477</v>
      </c>
      <c r="U1976">
        <v>0</v>
      </c>
      <c r="V1976">
        <v>0</v>
      </c>
      <c r="W1976">
        <v>368</v>
      </c>
      <c r="X1976">
        <f>NHS_AE_2024_2025[[#This Row],[A&amp;E attendances Type 1]]+
NHS_AE_2024_2025[[#This Row],[A&amp;E attendances Type 2]]+
NHS_AE_2024_2025[[#This Row],[A&amp;E attendances Other A&amp;E Department]]</f>
        <v>14667</v>
      </c>
      <c r="Y1976">
        <f t="shared" si="60"/>
        <v>4393</v>
      </c>
      <c r="Z1976">
        <f t="shared" si="61"/>
        <v>2845</v>
      </c>
    </row>
    <row r="1977" spans="1:26" x14ac:dyDescent="0.2">
      <c r="A1977" t="s">
        <v>454</v>
      </c>
      <c r="B1977" t="s">
        <v>455</v>
      </c>
      <c r="C1977" t="s">
        <v>306</v>
      </c>
      <c r="D1977" t="s">
        <v>29</v>
      </c>
      <c r="E1977" t="s">
        <v>307</v>
      </c>
      <c r="F1977">
        <v>9271</v>
      </c>
      <c r="G1977">
        <v>0</v>
      </c>
      <c r="H1977">
        <v>3242</v>
      </c>
      <c r="I1977">
        <v>560</v>
      </c>
      <c r="J1977">
        <v>0</v>
      </c>
      <c r="K1977">
        <v>0</v>
      </c>
      <c r="L1977">
        <v>3019</v>
      </c>
      <c r="M1977">
        <v>0</v>
      </c>
      <c r="N1977">
        <v>0</v>
      </c>
      <c r="O1977">
        <v>105</v>
      </c>
      <c r="P1977">
        <v>0</v>
      </c>
      <c r="Q1977">
        <v>0</v>
      </c>
      <c r="R1977">
        <v>574</v>
      </c>
      <c r="S1977">
        <v>689</v>
      </c>
      <c r="T1977">
        <v>2709</v>
      </c>
      <c r="U1977">
        <v>0</v>
      </c>
      <c r="V1977">
        <v>0</v>
      </c>
      <c r="W1977">
        <v>801</v>
      </c>
      <c r="X1977">
        <f>NHS_AE_2024_2025[[#This Row],[A&amp;E attendances Type 1]]+
NHS_AE_2024_2025[[#This Row],[A&amp;E attendances Type 2]]+
NHS_AE_2024_2025[[#This Row],[A&amp;E attendances Other A&amp;E Department]]</f>
        <v>12513</v>
      </c>
      <c r="Y1977">
        <f t="shared" si="60"/>
        <v>3019</v>
      </c>
      <c r="Z1977">
        <f t="shared" si="61"/>
        <v>3510</v>
      </c>
    </row>
    <row r="1978" spans="1:26" x14ac:dyDescent="0.2">
      <c r="A1978" t="s">
        <v>454</v>
      </c>
      <c r="B1978" t="s">
        <v>455</v>
      </c>
      <c r="C1978" t="s">
        <v>410</v>
      </c>
      <c r="D1978" t="s">
        <v>32</v>
      </c>
      <c r="E1978" t="s">
        <v>411</v>
      </c>
      <c r="F1978">
        <v>6522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2458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</v>
      </c>
      <c r="S1978">
        <v>52</v>
      </c>
      <c r="T1978">
        <v>1196</v>
      </c>
      <c r="U1978">
        <v>0</v>
      </c>
      <c r="V1978">
        <v>0</v>
      </c>
      <c r="W1978">
        <v>151</v>
      </c>
      <c r="X1978">
        <f>NHS_AE_2024_2025[[#This Row],[A&amp;E attendances Type 1]]+
NHS_AE_2024_2025[[#This Row],[A&amp;E attendances Type 2]]+
NHS_AE_2024_2025[[#This Row],[A&amp;E attendances Other A&amp;E Department]]</f>
        <v>6522</v>
      </c>
      <c r="Y1978">
        <f t="shared" si="60"/>
        <v>2458</v>
      </c>
      <c r="Z1978">
        <f t="shared" si="61"/>
        <v>1347</v>
      </c>
    </row>
    <row r="1979" spans="1:26" x14ac:dyDescent="0.2">
      <c r="A1979" t="s">
        <v>454</v>
      </c>
      <c r="B1979" t="s">
        <v>455</v>
      </c>
      <c r="C1979" t="s">
        <v>302</v>
      </c>
      <c r="D1979" t="s">
        <v>29</v>
      </c>
      <c r="E1979" t="s">
        <v>303</v>
      </c>
      <c r="F1979">
        <v>10740</v>
      </c>
      <c r="G1979">
        <v>777</v>
      </c>
      <c r="H1979">
        <v>7075</v>
      </c>
      <c r="I1979">
        <v>0</v>
      </c>
      <c r="J1979">
        <v>0</v>
      </c>
      <c r="K1979">
        <v>0</v>
      </c>
      <c r="L1979">
        <v>4483</v>
      </c>
      <c r="M1979">
        <v>29</v>
      </c>
      <c r="N1979">
        <v>253</v>
      </c>
      <c r="O1979">
        <v>0</v>
      </c>
      <c r="P1979">
        <v>0</v>
      </c>
      <c r="Q1979">
        <v>0</v>
      </c>
      <c r="R1979">
        <v>144</v>
      </c>
      <c r="S1979">
        <v>75</v>
      </c>
      <c r="T1979">
        <v>2255</v>
      </c>
      <c r="U1979">
        <v>0</v>
      </c>
      <c r="V1979">
        <v>0</v>
      </c>
      <c r="W1979">
        <v>264</v>
      </c>
      <c r="X1979">
        <f>NHS_AE_2024_2025[[#This Row],[A&amp;E attendances Type 1]]+
NHS_AE_2024_2025[[#This Row],[A&amp;E attendances Type 2]]+
NHS_AE_2024_2025[[#This Row],[A&amp;E attendances Other A&amp;E Department]]</f>
        <v>18592</v>
      </c>
      <c r="Y1979">
        <f t="shared" si="60"/>
        <v>4765</v>
      </c>
      <c r="Z1979">
        <f t="shared" si="61"/>
        <v>2519</v>
      </c>
    </row>
    <row r="1980" spans="1:26" x14ac:dyDescent="0.2">
      <c r="A1980" t="s">
        <v>454</v>
      </c>
      <c r="B1980" t="s">
        <v>455</v>
      </c>
      <c r="C1980" t="s">
        <v>424</v>
      </c>
      <c r="D1980" t="s">
        <v>37</v>
      </c>
      <c r="E1980" t="s">
        <v>425</v>
      </c>
      <c r="F1980">
        <v>12714</v>
      </c>
      <c r="G1980">
        <v>1760</v>
      </c>
      <c r="H1980">
        <v>2407</v>
      </c>
      <c r="I1980">
        <v>1737</v>
      </c>
      <c r="J1980">
        <v>0</v>
      </c>
      <c r="K1980">
        <v>147</v>
      </c>
      <c r="L1980">
        <v>5265</v>
      </c>
      <c r="M1980">
        <v>0</v>
      </c>
      <c r="N1980">
        <v>5</v>
      </c>
      <c r="O1980">
        <v>579</v>
      </c>
      <c r="P1980">
        <v>0</v>
      </c>
      <c r="Q1980">
        <v>1</v>
      </c>
      <c r="R1980">
        <v>1032</v>
      </c>
      <c r="S1980">
        <v>0</v>
      </c>
      <c r="T1980">
        <v>4782</v>
      </c>
      <c r="U1980">
        <v>114</v>
      </c>
      <c r="V1980">
        <v>14</v>
      </c>
      <c r="W1980">
        <v>4342</v>
      </c>
      <c r="X1980">
        <f>NHS_AE_2024_2025[[#This Row],[A&amp;E attendances Type 1]]+
NHS_AE_2024_2025[[#This Row],[A&amp;E attendances Type 2]]+
NHS_AE_2024_2025[[#This Row],[A&amp;E attendances Other A&amp;E Department]]</f>
        <v>16881</v>
      </c>
      <c r="Y1980">
        <f t="shared" si="60"/>
        <v>5270</v>
      </c>
      <c r="Z1980">
        <f t="shared" si="61"/>
        <v>9252</v>
      </c>
    </row>
    <row r="1981" spans="1:26" x14ac:dyDescent="0.2">
      <c r="A1981" t="s">
        <v>454</v>
      </c>
      <c r="B1981" t="s">
        <v>455</v>
      </c>
      <c r="C1981" t="s">
        <v>270</v>
      </c>
      <c r="D1981" t="s">
        <v>32</v>
      </c>
      <c r="E1981" t="s">
        <v>271</v>
      </c>
      <c r="F1981">
        <v>12424</v>
      </c>
      <c r="G1981">
        <v>1139</v>
      </c>
      <c r="H1981">
        <v>9388</v>
      </c>
      <c r="I1981">
        <v>566</v>
      </c>
      <c r="J1981">
        <v>0</v>
      </c>
      <c r="K1981">
        <v>0</v>
      </c>
      <c r="L1981">
        <v>5856</v>
      </c>
      <c r="M1981">
        <v>231</v>
      </c>
      <c r="N1981">
        <v>492</v>
      </c>
      <c r="O1981">
        <v>0</v>
      </c>
      <c r="P1981">
        <v>0</v>
      </c>
      <c r="Q1981">
        <v>0</v>
      </c>
      <c r="R1981">
        <v>962</v>
      </c>
      <c r="S1981">
        <v>113</v>
      </c>
      <c r="T1981">
        <v>2638</v>
      </c>
      <c r="U1981">
        <v>0</v>
      </c>
      <c r="V1981">
        <v>0</v>
      </c>
      <c r="W1981">
        <v>543</v>
      </c>
      <c r="X1981">
        <f>NHS_AE_2024_2025[[#This Row],[A&amp;E attendances Type 1]]+
NHS_AE_2024_2025[[#This Row],[A&amp;E attendances Type 2]]+
NHS_AE_2024_2025[[#This Row],[A&amp;E attendances Other A&amp;E Department]]</f>
        <v>22951</v>
      </c>
      <c r="Y1981">
        <f t="shared" si="60"/>
        <v>6579</v>
      </c>
      <c r="Z1981">
        <f t="shared" si="61"/>
        <v>3181</v>
      </c>
    </row>
    <row r="1982" spans="1:26" x14ac:dyDescent="0.2">
      <c r="A1982" t="s">
        <v>454</v>
      </c>
      <c r="B1982" t="s">
        <v>455</v>
      </c>
      <c r="C1982" t="s">
        <v>394</v>
      </c>
      <c r="D1982" t="s">
        <v>55</v>
      </c>
      <c r="E1982" t="s">
        <v>395</v>
      </c>
      <c r="F1982">
        <v>26244</v>
      </c>
      <c r="G1982">
        <v>2817</v>
      </c>
      <c r="H1982">
        <v>11453</v>
      </c>
      <c r="I1982">
        <v>3394</v>
      </c>
      <c r="J1982">
        <v>456</v>
      </c>
      <c r="K1982">
        <v>1013</v>
      </c>
      <c r="L1982">
        <v>13551</v>
      </c>
      <c r="M1982">
        <v>87</v>
      </c>
      <c r="N1982">
        <v>850</v>
      </c>
      <c r="O1982">
        <v>1707</v>
      </c>
      <c r="P1982">
        <v>9</v>
      </c>
      <c r="Q1982">
        <v>115</v>
      </c>
      <c r="R1982">
        <v>4172</v>
      </c>
      <c r="S1982">
        <v>263</v>
      </c>
      <c r="T1982">
        <v>5795</v>
      </c>
      <c r="U1982">
        <v>131</v>
      </c>
      <c r="V1982">
        <v>167</v>
      </c>
      <c r="W1982">
        <v>445</v>
      </c>
      <c r="X1982">
        <f>NHS_AE_2024_2025[[#This Row],[A&amp;E attendances Type 1]]+
NHS_AE_2024_2025[[#This Row],[A&amp;E attendances Type 2]]+
NHS_AE_2024_2025[[#This Row],[A&amp;E attendances Other A&amp;E Department]]</f>
        <v>40514</v>
      </c>
      <c r="Y1982">
        <f t="shared" si="60"/>
        <v>14488</v>
      </c>
      <c r="Z1982">
        <f t="shared" si="61"/>
        <v>6538</v>
      </c>
    </row>
    <row r="1983" spans="1:26" x14ac:dyDescent="0.2">
      <c r="A1983" t="s">
        <v>454</v>
      </c>
      <c r="B1983" t="s">
        <v>455</v>
      </c>
      <c r="C1983" t="s">
        <v>352</v>
      </c>
      <c r="D1983" t="s">
        <v>50</v>
      </c>
      <c r="E1983" t="s">
        <v>353</v>
      </c>
      <c r="F1983">
        <v>16762</v>
      </c>
      <c r="G1983">
        <v>106</v>
      </c>
      <c r="H1983">
        <v>5926</v>
      </c>
      <c r="I1983">
        <v>120</v>
      </c>
      <c r="J1983">
        <v>0</v>
      </c>
      <c r="K1983">
        <v>84</v>
      </c>
      <c r="L1983">
        <v>7212</v>
      </c>
      <c r="M1983">
        <v>0</v>
      </c>
      <c r="N1983">
        <v>396</v>
      </c>
      <c r="O1983">
        <v>2</v>
      </c>
      <c r="P1983">
        <v>0</v>
      </c>
      <c r="Q1983">
        <v>0</v>
      </c>
      <c r="R1983">
        <v>2286</v>
      </c>
      <c r="S1983">
        <v>736</v>
      </c>
      <c r="T1983">
        <v>3492</v>
      </c>
      <c r="U1983">
        <v>0</v>
      </c>
      <c r="V1983">
        <v>153</v>
      </c>
      <c r="W1983">
        <v>897</v>
      </c>
      <c r="X1983">
        <f>NHS_AE_2024_2025[[#This Row],[A&amp;E attendances Type 1]]+
NHS_AE_2024_2025[[#This Row],[A&amp;E attendances Type 2]]+
NHS_AE_2024_2025[[#This Row],[A&amp;E attendances Other A&amp;E Department]]</f>
        <v>22794</v>
      </c>
      <c r="Y1983">
        <f t="shared" si="60"/>
        <v>7608</v>
      </c>
      <c r="Z1983">
        <f t="shared" si="61"/>
        <v>4542</v>
      </c>
    </row>
    <row r="1984" spans="1:26" x14ac:dyDescent="0.2">
      <c r="A1984" t="s">
        <v>454</v>
      </c>
      <c r="B1984" t="s">
        <v>455</v>
      </c>
      <c r="C1984" t="s">
        <v>31</v>
      </c>
      <c r="D1984" t="s">
        <v>32</v>
      </c>
      <c r="E1984" t="s">
        <v>33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2011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f>NHS_AE_2024_2025[[#This Row],[A&amp;E attendances Type 1]]+
NHS_AE_2024_2025[[#This Row],[A&amp;E attendances Type 2]]+
NHS_AE_2024_2025[[#This Row],[A&amp;E attendances Other A&amp;E Department]]</f>
        <v>0</v>
      </c>
      <c r="Y1984">
        <f t="shared" si="60"/>
        <v>0</v>
      </c>
      <c r="Z1984">
        <f t="shared" si="61"/>
        <v>0</v>
      </c>
    </row>
    <row r="1985" spans="1:26" x14ac:dyDescent="0.2">
      <c r="A1985" t="s">
        <v>454</v>
      </c>
      <c r="B1985" t="s">
        <v>455</v>
      </c>
      <c r="C1985" t="s">
        <v>65</v>
      </c>
      <c r="D1985" t="s">
        <v>32</v>
      </c>
      <c r="E1985" t="s">
        <v>66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2520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f>NHS_AE_2024_2025[[#This Row],[A&amp;E attendances Type 1]]+
NHS_AE_2024_2025[[#This Row],[A&amp;E attendances Type 2]]+
NHS_AE_2024_2025[[#This Row],[A&amp;E attendances Other A&amp;E Department]]</f>
        <v>0</v>
      </c>
      <c r="Y1985">
        <f t="shared" si="60"/>
        <v>0</v>
      </c>
      <c r="Z1985">
        <f t="shared" si="61"/>
        <v>0</v>
      </c>
    </row>
    <row r="1986" spans="1:26" x14ac:dyDescent="0.2">
      <c r="A1986" t="s">
        <v>454</v>
      </c>
      <c r="B1986" t="s">
        <v>455</v>
      </c>
      <c r="C1986" t="s">
        <v>34</v>
      </c>
      <c r="D1986" t="s">
        <v>29</v>
      </c>
      <c r="E1986" t="s">
        <v>35</v>
      </c>
      <c r="F1986">
        <v>0</v>
      </c>
      <c r="G1986">
        <v>0</v>
      </c>
      <c r="H1986">
        <v>3498</v>
      </c>
      <c r="I1986">
        <v>0</v>
      </c>
      <c r="J1986">
        <v>0</v>
      </c>
      <c r="K1986">
        <v>271</v>
      </c>
      <c r="L1986">
        <v>0</v>
      </c>
      <c r="M1986">
        <v>0</v>
      </c>
      <c r="N1986">
        <v>57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f>NHS_AE_2024_2025[[#This Row],[A&amp;E attendances Type 1]]+
NHS_AE_2024_2025[[#This Row],[A&amp;E attendances Type 2]]+
NHS_AE_2024_2025[[#This Row],[A&amp;E attendances Other A&amp;E Department]]</f>
        <v>3498</v>
      </c>
      <c r="Y1986">
        <f t="shared" ref="Y1986:Y2049" si="62">L1986+M1986+N1986</f>
        <v>57</v>
      </c>
      <c r="Z1986">
        <f t="shared" ref="Z1986:Z2049" si="63">T1986+U1986+V1986+W1986</f>
        <v>0</v>
      </c>
    </row>
    <row r="1987" spans="1:26" x14ac:dyDescent="0.2">
      <c r="A1987" t="s">
        <v>454</v>
      </c>
      <c r="B1987" t="s">
        <v>455</v>
      </c>
      <c r="C1987" t="s">
        <v>288</v>
      </c>
      <c r="D1987" t="s">
        <v>29</v>
      </c>
      <c r="E1987" t="s">
        <v>289</v>
      </c>
      <c r="F1987">
        <v>13834</v>
      </c>
      <c r="G1987">
        <v>0</v>
      </c>
      <c r="H1987">
        <v>15339</v>
      </c>
      <c r="I1987">
        <v>0</v>
      </c>
      <c r="J1987">
        <v>0</v>
      </c>
      <c r="K1987">
        <v>0</v>
      </c>
      <c r="L1987">
        <v>7833</v>
      </c>
      <c r="M1987">
        <v>0</v>
      </c>
      <c r="N1987">
        <v>369</v>
      </c>
      <c r="O1987">
        <v>0</v>
      </c>
      <c r="P1987">
        <v>0</v>
      </c>
      <c r="Q1987">
        <v>0</v>
      </c>
      <c r="R1987">
        <v>753</v>
      </c>
      <c r="S1987">
        <v>557</v>
      </c>
      <c r="T1987">
        <v>6245</v>
      </c>
      <c r="U1987">
        <v>0</v>
      </c>
      <c r="V1987">
        <v>0</v>
      </c>
      <c r="W1987">
        <v>316</v>
      </c>
      <c r="X1987">
        <f>NHS_AE_2024_2025[[#This Row],[A&amp;E attendances Type 1]]+
NHS_AE_2024_2025[[#This Row],[A&amp;E attendances Type 2]]+
NHS_AE_2024_2025[[#This Row],[A&amp;E attendances Other A&amp;E Department]]</f>
        <v>29173</v>
      </c>
      <c r="Y1987">
        <f t="shared" si="62"/>
        <v>8202</v>
      </c>
      <c r="Z1987">
        <f t="shared" si="63"/>
        <v>6561</v>
      </c>
    </row>
    <row r="1988" spans="1:26" x14ac:dyDescent="0.2">
      <c r="A1988" t="s">
        <v>454</v>
      </c>
      <c r="B1988" t="s">
        <v>431</v>
      </c>
      <c r="C1988" t="s">
        <v>431</v>
      </c>
      <c r="D1988" t="s">
        <v>431</v>
      </c>
      <c r="E1988" t="s">
        <v>431</v>
      </c>
      <c r="F1988">
        <v>1396858</v>
      </c>
      <c r="G1988">
        <v>46656</v>
      </c>
      <c r="H1988">
        <v>791064</v>
      </c>
      <c r="I1988">
        <v>31192</v>
      </c>
      <c r="J1988">
        <v>607</v>
      </c>
      <c r="K1988">
        <v>48621</v>
      </c>
      <c r="L1988">
        <v>605301</v>
      </c>
      <c r="M1988">
        <v>2007</v>
      </c>
      <c r="N1988">
        <v>27102</v>
      </c>
      <c r="O1988">
        <v>9021</v>
      </c>
      <c r="P1988">
        <v>9</v>
      </c>
      <c r="Q1988">
        <v>556</v>
      </c>
      <c r="R1988">
        <v>94991</v>
      </c>
      <c r="S1988">
        <v>45791</v>
      </c>
      <c r="T1988">
        <v>407955</v>
      </c>
      <c r="U1988">
        <v>1267</v>
      </c>
      <c r="V1988">
        <v>4887</v>
      </c>
      <c r="W1988">
        <v>138052</v>
      </c>
      <c r="X1988">
        <f>NHS_AE_2024_2025[[#This Row],[A&amp;E attendances Type 1]]+
NHS_AE_2024_2025[[#This Row],[A&amp;E attendances Type 2]]+
NHS_AE_2024_2025[[#This Row],[A&amp;E attendances Other A&amp;E Department]]</f>
        <v>2234578</v>
      </c>
      <c r="Y1988">
        <f t="shared" si="62"/>
        <v>634410</v>
      </c>
      <c r="Z1988">
        <f t="shared" si="63"/>
        <v>552161</v>
      </c>
    </row>
    <row r="1989" spans="1:26" x14ac:dyDescent="0.2">
      <c r="A1989" t="s">
        <v>456</v>
      </c>
      <c r="B1989" t="s">
        <v>457</v>
      </c>
      <c r="C1989" t="s">
        <v>59</v>
      </c>
      <c r="D1989" t="s">
        <v>37</v>
      </c>
      <c r="E1989" t="s">
        <v>60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f>NHS_AE_2024_2025[[#This Row],[A&amp;E attendances Type 1]]+
NHS_AE_2024_2025[[#This Row],[A&amp;E attendances Type 2]]+
NHS_AE_2024_2025[[#This Row],[A&amp;E attendances Other A&amp;E Department]]</f>
        <v>0</v>
      </c>
      <c r="Y1989">
        <f t="shared" si="62"/>
        <v>0</v>
      </c>
      <c r="Z1989">
        <f t="shared" si="63"/>
        <v>0</v>
      </c>
    </row>
    <row r="1990" spans="1:26" x14ac:dyDescent="0.2">
      <c r="A1990" t="s">
        <v>456</v>
      </c>
      <c r="B1990" t="s">
        <v>457</v>
      </c>
      <c r="C1990" t="s">
        <v>130</v>
      </c>
      <c r="D1990" t="s">
        <v>70</v>
      </c>
      <c r="E1990" t="s">
        <v>131</v>
      </c>
      <c r="F1990">
        <v>0</v>
      </c>
      <c r="G1990">
        <v>0</v>
      </c>
      <c r="H1990">
        <v>2787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f>NHS_AE_2024_2025[[#This Row],[A&amp;E attendances Type 1]]+
NHS_AE_2024_2025[[#This Row],[A&amp;E attendances Type 2]]+
NHS_AE_2024_2025[[#This Row],[A&amp;E attendances Other A&amp;E Department]]</f>
        <v>2787</v>
      </c>
      <c r="Y1990">
        <f t="shared" si="62"/>
        <v>0</v>
      </c>
      <c r="Z1990">
        <f t="shared" si="63"/>
        <v>0</v>
      </c>
    </row>
    <row r="1991" spans="1:26" x14ac:dyDescent="0.2">
      <c r="A1991" t="s">
        <v>456</v>
      </c>
      <c r="B1991" t="s">
        <v>457</v>
      </c>
      <c r="C1991" t="s">
        <v>63</v>
      </c>
      <c r="D1991" t="s">
        <v>32</v>
      </c>
      <c r="E1991" t="s">
        <v>64</v>
      </c>
      <c r="F1991">
        <v>0</v>
      </c>
      <c r="G1991">
        <v>0</v>
      </c>
      <c r="H1991">
        <v>6852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f>NHS_AE_2024_2025[[#This Row],[A&amp;E attendances Type 1]]+
NHS_AE_2024_2025[[#This Row],[A&amp;E attendances Type 2]]+
NHS_AE_2024_2025[[#This Row],[A&amp;E attendances Other A&amp;E Department]]</f>
        <v>6852</v>
      </c>
      <c r="Y1991">
        <f t="shared" si="62"/>
        <v>0</v>
      </c>
      <c r="Z1991">
        <f t="shared" si="63"/>
        <v>0</v>
      </c>
    </row>
    <row r="1992" spans="1:26" x14ac:dyDescent="0.2">
      <c r="A1992" t="s">
        <v>456</v>
      </c>
      <c r="B1992" t="s">
        <v>457</v>
      </c>
      <c r="C1992" t="s">
        <v>36</v>
      </c>
      <c r="D1992" t="s">
        <v>37</v>
      </c>
      <c r="E1992" t="s">
        <v>38</v>
      </c>
      <c r="F1992">
        <v>0</v>
      </c>
      <c r="G1992">
        <v>0</v>
      </c>
      <c r="H1992">
        <v>2755</v>
      </c>
      <c r="I1992">
        <v>0</v>
      </c>
      <c r="J1992">
        <v>0</v>
      </c>
      <c r="K1992">
        <v>9</v>
      </c>
      <c r="L1992">
        <v>0</v>
      </c>
      <c r="M1992">
        <v>0</v>
      </c>
      <c r="N1992">
        <v>13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f>NHS_AE_2024_2025[[#This Row],[A&amp;E attendances Type 1]]+
NHS_AE_2024_2025[[#This Row],[A&amp;E attendances Type 2]]+
NHS_AE_2024_2025[[#This Row],[A&amp;E attendances Other A&amp;E Department]]</f>
        <v>2755</v>
      </c>
      <c r="Y1992">
        <f t="shared" si="62"/>
        <v>13</v>
      </c>
      <c r="Z1992">
        <f t="shared" si="63"/>
        <v>0</v>
      </c>
    </row>
    <row r="1993" spans="1:26" x14ac:dyDescent="0.2">
      <c r="A1993" t="s">
        <v>456</v>
      </c>
      <c r="B1993" t="s">
        <v>457</v>
      </c>
      <c r="C1993" t="s">
        <v>278</v>
      </c>
      <c r="D1993" t="s">
        <v>32</v>
      </c>
      <c r="E1993" t="s">
        <v>279</v>
      </c>
      <c r="F1993">
        <v>0</v>
      </c>
      <c r="G1993">
        <v>0</v>
      </c>
      <c r="H1993">
        <v>266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f>NHS_AE_2024_2025[[#This Row],[A&amp;E attendances Type 1]]+
NHS_AE_2024_2025[[#This Row],[A&amp;E attendances Type 2]]+
NHS_AE_2024_2025[[#This Row],[A&amp;E attendances Other A&amp;E Department]]</f>
        <v>266</v>
      </c>
      <c r="Y1993">
        <f t="shared" si="62"/>
        <v>0</v>
      </c>
      <c r="Z1993">
        <f t="shared" si="63"/>
        <v>0</v>
      </c>
    </row>
    <row r="1994" spans="1:26" x14ac:dyDescent="0.2">
      <c r="A1994" t="s">
        <v>456</v>
      </c>
      <c r="B1994" t="s">
        <v>457</v>
      </c>
      <c r="C1994" t="s">
        <v>39</v>
      </c>
      <c r="D1994" t="s">
        <v>26</v>
      </c>
      <c r="E1994" t="s">
        <v>40</v>
      </c>
      <c r="F1994">
        <v>0</v>
      </c>
      <c r="G1994">
        <v>0</v>
      </c>
      <c r="H1994">
        <v>82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f>NHS_AE_2024_2025[[#This Row],[A&amp;E attendances Type 1]]+
NHS_AE_2024_2025[[#This Row],[A&amp;E attendances Type 2]]+
NHS_AE_2024_2025[[#This Row],[A&amp;E attendances Other A&amp;E Department]]</f>
        <v>82</v>
      </c>
      <c r="Y1994">
        <f t="shared" si="62"/>
        <v>0</v>
      </c>
      <c r="Z1994">
        <f t="shared" si="63"/>
        <v>0</v>
      </c>
    </row>
    <row r="1995" spans="1:26" x14ac:dyDescent="0.2">
      <c r="A1995" t="s">
        <v>456</v>
      </c>
      <c r="B1995" t="s">
        <v>457</v>
      </c>
      <c r="C1995" t="s">
        <v>134</v>
      </c>
      <c r="D1995" t="s">
        <v>37</v>
      </c>
      <c r="E1995" t="s">
        <v>135</v>
      </c>
      <c r="F1995">
        <v>0</v>
      </c>
      <c r="G1995">
        <v>0</v>
      </c>
      <c r="H1995">
        <v>2300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f>NHS_AE_2024_2025[[#This Row],[A&amp;E attendances Type 1]]+
NHS_AE_2024_2025[[#This Row],[A&amp;E attendances Type 2]]+
NHS_AE_2024_2025[[#This Row],[A&amp;E attendances Other A&amp;E Department]]</f>
        <v>2300</v>
      </c>
      <c r="Y1995">
        <f t="shared" si="62"/>
        <v>0</v>
      </c>
      <c r="Z1995">
        <f t="shared" si="63"/>
        <v>0</v>
      </c>
    </row>
    <row r="1996" spans="1:26" x14ac:dyDescent="0.2">
      <c r="A1996" t="s">
        <v>456</v>
      </c>
      <c r="B1996" t="s">
        <v>457</v>
      </c>
      <c r="C1996" t="s">
        <v>72</v>
      </c>
      <c r="D1996" t="s">
        <v>55</v>
      </c>
      <c r="E1996" t="s">
        <v>73</v>
      </c>
      <c r="F1996">
        <v>0</v>
      </c>
      <c r="G1996">
        <v>0</v>
      </c>
      <c r="H1996">
        <v>1873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12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f>NHS_AE_2024_2025[[#This Row],[A&amp;E attendances Type 1]]+
NHS_AE_2024_2025[[#This Row],[A&amp;E attendances Type 2]]+
NHS_AE_2024_2025[[#This Row],[A&amp;E attendances Other A&amp;E Department]]</f>
        <v>1873</v>
      </c>
      <c r="Y1996">
        <f t="shared" si="62"/>
        <v>12</v>
      </c>
      <c r="Z1996">
        <f t="shared" si="63"/>
        <v>0</v>
      </c>
    </row>
    <row r="1997" spans="1:26" x14ac:dyDescent="0.2">
      <c r="A1997" t="s">
        <v>456</v>
      </c>
      <c r="B1997" t="s">
        <v>457</v>
      </c>
      <c r="C1997" t="s">
        <v>74</v>
      </c>
      <c r="D1997" t="s">
        <v>26</v>
      </c>
      <c r="E1997" t="s">
        <v>75</v>
      </c>
      <c r="F1997">
        <v>0</v>
      </c>
      <c r="G1997">
        <v>0</v>
      </c>
      <c r="H1997">
        <v>1044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6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f>NHS_AE_2024_2025[[#This Row],[A&amp;E attendances Type 1]]+
NHS_AE_2024_2025[[#This Row],[A&amp;E attendances Type 2]]+
NHS_AE_2024_2025[[#This Row],[A&amp;E attendances Other A&amp;E Department]]</f>
        <v>1044</v>
      </c>
      <c r="Y1997">
        <f t="shared" si="62"/>
        <v>6</v>
      </c>
      <c r="Z1997">
        <f t="shared" si="63"/>
        <v>0</v>
      </c>
    </row>
    <row r="1998" spans="1:26" x14ac:dyDescent="0.2">
      <c r="A1998" t="s">
        <v>456</v>
      </c>
      <c r="B1998" t="s">
        <v>457</v>
      </c>
      <c r="C1998" t="s">
        <v>41</v>
      </c>
      <c r="D1998" t="s">
        <v>32</v>
      </c>
      <c r="E1998" t="s">
        <v>42</v>
      </c>
      <c r="F1998">
        <v>0</v>
      </c>
      <c r="G1998">
        <v>0</v>
      </c>
      <c r="H1998">
        <v>3204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f>NHS_AE_2024_2025[[#This Row],[A&amp;E attendances Type 1]]+
NHS_AE_2024_2025[[#This Row],[A&amp;E attendances Type 2]]+
NHS_AE_2024_2025[[#This Row],[A&amp;E attendances Other A&amp;E Department]]</f>
        <v>3204</v>
      </c>
      <c r="Y1998">
        <f t="shared" si="62"/>
        <v>0</v>
      </c>
      <c r="Z1998">
        <f t="shared" si="63"/>
        <v>0</v>
      </c>
    </row>
    <row r="1999" spans="1:26" x14ac:dyDescent="0.2">
      <c r="A1999" t="s">
        <v>456</v>
      </c>
      <c r="B1999" t="s">
        <v>457</v>
      </c>
      <c r="C1999" t="s">
        <v>78</v>
      </c>
      <c r="D1999" t="s">
        <v>37</v>
      </c>
      <c r="E1999" t="s">
        <v>79</v>
      </c>
      <c r="F1999">
        <v>0</v>
      </c>
      <c r="G1999">
        <v>0</v>
      </c>
      <c r="H1999">
        <v>2395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47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f>NHS_AE_2024_2025[[#This Row],[A&amp;E attendances Type 1]]+
NHS_AE_2024_2025[[#This Row],[A&amp;E attendances Type 2]]+
NHS_AE_2024_2025[[#This Row],[A&amp;E attendances Other A&amp;E Department]]</f>
        <v>2395</v>
      </c>
      <c r="Y1999">
        <f t="shared" si="62"/>
        <v>47</v>
      </c>
      <c r="Z1999">
        <f t="shared" si="63"/>
        <v>0</v>
      </c>
    </row>
    <row r="2000" spans="1:26" x14ac:dyDescent="0.2">
      <c r="A2000" t="s">
        <v>456</v>
      </c>
      <c r="B2000" t="s">
        <v>457</v>
      </c>
      <c r="C2000" t="s">
        <v>80</v>
      </c>
      <c r="D2000" t="s">
        <v>37</v>
      </c>
      <c r="E2000" t="s">
        <v>81</v>
      </c>
      <c r="F2000">
        <v>0</v>
      </c>
      <c r="G2000">
        <v>0</v>
      </c>
      <c r="H2000">
        <v>2422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47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f>NHS_AE_2024_2025[[#This Row],[A&amp;E attendances Type 1]]+
NHS_AE_2024_2025[[#This Row],[A&amp;E attendances Type 2]]+
NHS_AE_2024_2025[[#This Row],[A&amp;E attendances Other A&amp;E Department]]</f>
        <v>2422</v>
      </c>
      <c r="Y2000">
        <f t="shared" si="62"/>
        <v>47</v>
      </c>
      <c r="Z2000">
        <f t="shared" si="63"/>
        <v>0</v>
      </c>
    </row>
    <row r="2001" spans="1:26" x14ac:dyDescent="0.2">
      <c r="A2001" t="s">
        <v>456</v>
      </c>
      <c r="B2001" t="s">
        <v>457</v>
      </c>
      <c r="C2001" t="s">
        <v>28</v>
      </c>
      <c r="D2001" t="s">
        <v>29</v>
      </c>
      <c r="E2001" t="s">
        <v>30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41</v>
      </c>
      <c r="X2001">
        <f>NHS_AE_2024_2025[[#This Row],[A&amp;E attendances Type 1]]+
NHS_AE_2024_2025[[#This Row],[A&amp;E attendances Type 2]]+
NHS_AE_2024_2025[[#This Row],[A&amp;E attendances Other A&amp;E Department]]</f>
        <v>0</v>
      </c>
      <c r="Y2001">
        <f t="shared" si="62"/>
        <v>0</v>
      </c>
      <c r="Z2001">
        <f t="shared" si="63"/>
        <v>41</v>
      </c>
    </row>
    <row r="2002" spans="1:26" x14ac:dyDescent="0.2">
      <c r="A2002" t="s">
        <v>456</v>
      </c>
      <c r="B2002" t="s">
        <v>457</v>
      </c>
      <c r="C2002" t="s">
        <v>292</v>
      </c>
      <c r="D2002" t="s">
        <v>55</v>
      </c>
      <c r="E2002" t="s">
        <v>293</v>
      </c>
      <c r="F2002">
        <v>7453</v>
      </c>
      <c r="G2002">
        <v>0</v>
      </c>
      <c r="H2002">
        <v>2880</v>
      </c>
      <c r="I2002">
        <v>0</v>
      </c>
      <c r="J2002">
        <v>0</v>
      </c>
      <c r="K2002">
        <v>72</v>
      </c>
      <c r="L2002">
        <v>4423</v>
      </c>
      <c r="M2002">
        <v>0</v>
      </c>
      <c r="N2002">
        <v>43</v>
      </c>
      <c r="O2002">
        <v>0</v>
      </c>
      <c r="P2002">
        <v>0</v>
      </c>
      <c r="Q2002">
        <v>9</v>
      </c>
      <c r="R2002">
        <v>605</v>
      </c>
      <c r="S2002">
        <v>636</v>
      </c>
      <c r="T2002">
        <v>2615</v>
      </c>
      <c r="U2002">
        <v>0</v>
      </c>
      <c r="V2002">
        <v>0</v>
      </c>
      <c r="W2002">
        <v>1171</v>
      </c>
      <c r="X2002">
        <f>NHS_AE_2024_2025[[#This Row],[A&amp;E attendances Type 1]]+
NHS_AE_2024_2025[[#This Row],[A&amp;E attendances Type 2]]+
NHS_AE_2024_2025[[#This Row],[A&amp;E attendances Other A&amp;E Department]]</f>
        <v>10333</v>
      </c>
      <c r="Y2002">
        <f t="shared" si="62"/>
        <v>4466</v>
      </c>
      <c r="Z2002">
        <f t="shared" si="63"/>
        <v>3786</v>
      </c>
    </row>
    <row r="2003" spans="1:26" x14ac:dyDescent="0.2">
      <c r="A2003" t="s">
        <v>456</v>
      </c>
      <c r="B2003" t="s">
        <v>457</v>
      </c>
      <c r="C2003" t="s">
        <v>45</v>
      </c>
      <c r="D2003" t="s">
        <v>26</v>
      </c>
      <c r="E2003" t="s">
        <v>46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2</v>
      </c>
      <c r="W2003">
        <v>2</v>
      </c>
      <c r="X2003">
        <f>NHS_AE_2024_2025[[#This Row],[A&amp;E attendances Type 1]]+
NHS_AE_2024_2025[[#This Row],[A&amp;E attendances Type 2]]+
NHS_AE_2024_2025[[#This Row],[A&amp;E attendances Other A&amp;E Department]]</f>
        <v>0</v>
      </c>
      <c r="Y2003">
        <f t="shared" si="62"/>
        <v>0</v>
      </c>
      <c r="Z2003">
        <f t="shared" si="63"/>
        <v>4</v>
      </c>
    </row>
    <row r="2004" spans="1:26" x14ac:dyDescent="0.2">
      <c r="A2004" t="s">
        <v>456</v>
      </c>
      <c r="B2004" t="s">
        <v>457</v>
      </c>
      <c r="C2004" t="s">
        <v>164</v>
      </c>
      <c r="D2004" t="s">
        <v>37</v>
      </c>
      <c r="E2004" t="s">
        <v>165</v>
      </c>
      <c r="F2004">
        <v>10996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4244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579</v>
      </c>
      <c r="S2004">
        <v>582</v>
      </c>
      <c r="T2004">
        <v>3052</v>
      </c>
      <c r="U2004">
        <v>0</v>
      </c>
      <c r="V2004">
        <v>0</v>
      </c>
      <c r="W2004">
        <v>912</v>
      </c>
      <c r="X2004">
        <f>NHS_AE_2024_2025[[#This Row],[A&amp;E attendances Type 1]]+
NHS_AE_2024_2025[[#This Row],[A&amp;E attendances Type 2]]+
NHS_AE_2024_2025[[#This Row],[A&amp;E attendances Other A&amp;E Department]]</f>
        <v>10996</v>
      </c>
      <c r="Y2004">
        <f t="shared" si="62"/>
        <v>4244</v>
      </c>
      <c r="Z2004">
        <f t="shared" si="63"/>
        <v>3964</v>
      </c>
    </row>
    <row r="2005" spans="1:26" x14ac:dyDescent="0.2">
      <c r="A2005" t="s">
        <v>456</v>
      </c>
      <c r="B2005" t="s">
        <v>457</v>
      </c>
      <c r="C2005" t="s">
        <v>124</v>
      </c>
      <c r="D2005" t="s">
        <v>37</v>
      </c>
      <c r="E2005" t="s">
        <v>434</v>
      </c>
      <c r="F2005">
        <v>0</v>
      </c>
      <c r="G2005">
        <v>0</v>
      </c>
      <c r="H2005">
        <v>2922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18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2</v>
      </c>
      <c r="W2005">
        <v>126</v>
      </c>
      <c r="X2005">
        <f>NHS_AE_2024_2025[[#This Row],[A&amp;E attendances Type 1]]+
NHS_AE_2024_2025[[#This Row],[A&amp;E attendances Type 2]]+
NHS_AE_2024_2025[[#This Row],[A&amp;E attendances Other A&amp;E Department]]</f>
        <v>2922</v>
      </c>
      <c r="Y2005">
        <f t="shared" si="62"/>
        <v>18</v>
      </c>
      <c r="Z2005">
        <f t="shared" si="63"/>
        <v>128</v>
      </c>
    </row>
    <row r="2006" spans="1:26" x14ac:dyDescent="0.2">
      <c r="A2006" t="s">
        <v>456</v>
      </c>
      <c r="B2006" t="s">
        <v>457</v>
      </c>
      <c r="C2006" t="s">
        <v>49</v>
      </c>
      <c r="D2006" t="s">
        <v>50</v>
      </c>
      <c r="E2006" t="s">
        <v>51</v>
      </c>
      <c r="F2006">
        <v>15686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5137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1329</v>
      </c>
      <c r="S2006">
        <v>3</v>
      </c>
      <c r="T2006">
        <v>3198</v>
      </c>
      <c r="U2006">
        <v>0</v>
      </c>
      <c r="V2006">
        <v>0</v>
      </c>
      <c r="W2006">
        <v>316</v>
      </c>
      <c r="X2006">
        <f>NHS_AE_2024_2025[[#This Row],[A&amp;E attendances Type 1]]+
NHS_AE_2024_2025[[#This Row],[A&amp;E attendances Type 2]]+
NHS_AE_2024_2025[[#This Row],[A&amp;E attendances Other A&amp;E Department]]</f>
        <v>15686</v>
      </c>
      <c r="Y2006">
        <f t="shared" si="62"/>
        <v>5137</v>
      </c>
      <c r="Z2006">
        <f t="shared" si="63"/>
        <v>3514</v>
      </c>
    </row>
    <row r="2007" spans="1:26" x14ac:dyDescent="0.2">
      <c r="A2007" t="s">
        <v>456</v>
      </c>
      <c r="B2007" t="s">
        <v>457</v>
      </c>
      <c r="C2007" t="s">
        <v>54</v>
      </c>
      <c r="D2007" t="s">
        <v>55</v>
      </c>
      <c r="E2007" t="s">
        <v>56</v>
      </c>
      <c r="F2007">
        <v>0</v>
      </c>
      <c r="G2007">
        <v>0</v>
      </c>
      <c r="H2007">
        <v>4591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155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f>NHS_AE_2024_2025[[#This Row],[A&amp;E attendances Type 1]]+
NHS_AE_2024_2025[[#This Row],[A&amp;E attendances Type 2]]+
NHS_AE_2024_2025[[#This Row],[A&amp;E attendances Other A&amp;E Department]]</f>
        <v>4591</v>
      </c>
      <c r="Y2007">
        <f t="shared" si="62"/>
        <v>155</v>
      </c>
      <c r="Z2007">
        <f t="shared" si="63"/>
        <v>0</v>
      </c>
    </row>
    <row r="2008" spans="1:26" x14ac:dyDescent="0.2">
      <c r="A2008" t="s">
        <v>456</v>
      </c>
      <c r="B2008" t="s">
        <v>457</v>
      </c>
      <c r="C2008" t="s">
        <v>180</v>
      </c>
      <c r="D2008" t="s">
        <v>26</v>
      </c>
      <c r="E2008" t="s">
        <v>181</v>
      </c>
      <c r="F2008">
        <v>0</v>
      </c>
      <c r="G2008">
        <v>0</v>
      </c>
      <c r="H2008">
        <v>1598</v>
      </c>
      <c r="I2008">
        <v>0</v>
      </c>
      <c r="J2008">
        <v>0</v>
      </c>
      <c r="K2008">
        <v>7</v>
      </c>
      <c r="L2008">
        <v>0</v>
      </c>
      <c r="M2008">
        <v>0</v>
      </c>
      <c r="N2008">
        <v>69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f>NHS_AE_2024_2025[[#This Row],[A&amp;E attendances Type 1]]+
NHS_AE_2024_2025[[#This Row],[A&amp;E attendances Type 2]]+
NHS_AE_2024_2025[[#This Row],[A&amp;E attendances Other A&amp;E Department]]</f>
        <v>1598</v>
      </c>
      <c r="Y2008">
        <f t="shared" si="62"/>
        <v>69</v>
      </c>
      <c r="Z2008">
        <f t="shared" si="63"/>
        <v>0</v>
      </c>
    </row>
    <row r="2009" spans="1:26" x14ac:dyDescent="0.2">
      <c r="A2009" t="s">
        <v>456</v>
      </c>
      <c r="B2009" t="s">
        <v>457</v>
      </c>
      <c r="C2009" t="s">
        <v>61</v>
      </c>
      <c r="D2009" t="s">
        <v>55</v>
      </c>
      <c r="E2009" t="s">
        <v>62</v>
      </c>
      <c r="F2009">
        <v>0</v>
      </c>
      <c r="G2009">
        <v>0</v>
      </c>
      <c r="H2009">
        <v>1595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f>NHS_AE_2024_2025[[#This Row],[A&amp;E attendances Type 1]]+
NHS_AE_2024_2025[[#This Row],[A&amp;E attendances Type 2]]+
NHS_AE_2024_2025[[#This Row],[A&amp;E attendances Other A&amp;E Department]]</f>
        <v>1595</v>
      </c>
      <c r="Y2009">
        <f t="shared" si="62"/>
        <v>0</v>
      </c>
      <c r="Z2009">
        <f t="shared" si="63"/>
        <v>0</v>
      </c>
    </row>
    <row r="2010" spans="1:26" x14ac:dyDescent="0.2">
      <c r="A2010" t="s">
        <v>456</v>
      </c>
      <c r="B2010" t="s">
        <v>457</v>
      </c>
      <c r="C2010" t="s">
        <v>67</v>
      </c>
      <c r="D2010" t="s">
        <v>29</v>
      </c>
      <c r="E2010" t="s">
        <v>68</v>
      </c>
      <c r="F2010">
        <v>0</v>
      </c>
      <c r="G2010">
        <v>0</v>
      </c>
      <c r="H2010">
        <v>1107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f>NHS_AE_2024_2025[[#This Row],[A&amp;E attendances Type 1]]+
NHS_AE_2024_2025[[#This Row],[A&amp;E attendances Type 2]]+
NHS_AE_2024_2025[[#This Row],[A&amp;E attendances Other A&amp;E Department]]</f>
        <v>1107</v>
      </c>
      <c r="Y2010">
        <f t="shared" si="62"/>
        <v>0</v>
      </c>
      <c r="Z2010">
        <f t="shared" si="63"/>
        <v>0</v>
      </c>
    </row>
    <row r="2011" spans="1:26" x14ac:dyDescent="0.2">
      <c r="A2011" t="s">
        <v>456</v>
      </c>
      <c r="B2011" t="s">
        <v>457</v>
      </c>
      <c r="C2011" t="s">
        <v>108</v>
      </c>
      <c r="D2011" t="s">
        <v>37</v>
      </c>
      <c r="E2011" t="s">
        <v>109</v>
      </c>
      <c r="F2011">
        <v>0</v>
      </c>
      <c r="G2011">
        <v>0</v>
      </c>
      <c r="H2011">
        <v>2043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f>NHS_AE_2024_2025[[#This Row],[A&amp;E attendances Type 1]]+
NHS_AE_2024_2025[[#This Row],[A&amp;E attendances Type 2]]+
NHS_AE_2024_2025[[#This Row],[A&amp;E attendances Other A&amp;E Department]]</f>
        <v>2043</v>
      </c>
      <c r="Y2011">
        <f t="shared" si="62"/>
        <v>0</v>
      </c>
      <c r="Z2011">
        <f t="shared" si="63"/>
        <v>0</v>
      </c>
    </row>
    <row r="2012" spans="1:26" x14ac:dyDescent="0.2">
      <c r="A2012" t="s">
        <v>456</v>
      </c>
      <c r="B2012" t="s">
        <v>457</v>
      </c>
      <c r="C2012" t="s">
        <v>25</v>
      </c>
      <c r="D2012" t="s">
        <v>26</v>
      </c>
      <c r="E2012" t="s">
        <v>27</v>
      </c>
      <c r="F2012">
        <v>0</v>
      </c>
      <c r="G2012">
        <v>0</v>
      </c>
      <c r="H2012">
        <v>499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f>NHS_AE_2024_2025[[#This Row],[A&amp;E attendances Type 1]]+
NHS_AE_2024_2025[[#This Row],[A&amp;E attendances Type 2]]+
NHS_AE_2024_2025[[#This Row],[A&amp;E attendances Other A&amp;E Department]]</f>
        <v>499</v>
      </c>
      <c r="Y2012">
        <f t="shared" si="62"/>
        <v>0</v>
      </c>
      <c r="Z2012">
        <f t="shared" si="63"/>
        <v>0</v>
      </c>
    </row>
    <row r="2013" spans="1:26" x14ac:dyDescent="0.2">
      <c r="A2013" t="s">
        <v>456</v>
      </c>
      <c r="B2013" t="s">
        <v>457</v>
      </c>
      <c r="C2013" t="s">
        <v>94</v>
      </c>
      <c r="D2013" t="s">
        <v>32</v>
      </c>
      <c r="E2013" t="s">
        <v>95</v>
      </c>
      <c r="F2013">
        <v>0</v>
      </c>
      <c r="G2013">
        <v>0</v>
      </c>
      <c r="H2013">
        <v>324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f>NHS_AE_2024_2025[[#This Row],[A&amp;E attendances Type 1]]+
NHS_AE_2024_2025[[#This Row],[A&amp;E attendances Type 2]]+
NHS_AE_2024_2025[[#This Row],[A&amp;E attendances Other A&amp;E Department]]</f>
        <v>324</v>
      </c>
      <c r="Y2013">
        <f t="shared" si="62"/>
        <v>0</v>
      </c>
      <c r="Z2013">
        <f t="shared" si="63"/>
        <v>0</v>
      </c>
    </row>
    <row r="2014" spans="1:26" x14ac:dyDescent="0.2">
      <c r="A2014" t="s">
        <v>456</v>
      </c>
      <c r="B2014" t="s">
        <v>457</v>
      </c>
      <c r="C2014" t="s">
        <v>69</v>
      </c>
      <c r="D2014" t="s">
        <v>70</v>
      </c>
      <c r="E2014" t="s">
        <v>71</v>
      </c>
      <c r="F2014">
        <v>0</v>
      </c>
      <c r="G2014">
        <v>0</v>
      </c>
      <c r="H2014">
        <v>2202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60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f>NHS_AE_2024_2025[[#This Row],[A&amp;E attendances Type 1]]+
NHS_AE_2024_2025[[#This Row],[A&amp;E attendances Type 2]]+
NHS_AE_2024_2025[[#This Row],[A&amp;E attendances Other A&amp;E Department]]</f>
        <v>2202</v>
      </c>
      <c r="Y2014">
        <f t="shared" si="62"/>
        <v>60</v>
      </c>
      <c r="Z2014">
        <f t="shared" si="63"/>
        <v>0</v>
      </c>
    </row>
    <row r="2015" spans="1:26" x14ac:dyDescent="0.2">
      <c r="A2015" t="s">
        <v>456</v>
      </c>
      <c r="B2015" t="s">
        <v>457</v>
      </c>
      <c r="C2015" t="s">
        <v>96</v>
      </c>
      <c r="D2015" t="s">
        <v>29</v>
      </c>
      <c r="E2015" t="s">
        <v>97</v>
      </c>
      <c r="F2015">
        <v>0</v>
      </c>
      <c r="G2015">
        <v>0</v>
      </c>
      <c r="H2015">
        <v>3009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8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f>NHS_AE_2024_2025[[#This Row],[A&amp;E attendances Type 1]]+
NHS_AE_2024_2025[[#This Row],[A&amp;E attendances Type 2]]+
NHS_AE_2024_2025[[#This Row],[A&amp;E attendances Other A&amp;E Department]]</f>
        <v>3009</v>
      </c>
      <c r="Y2015">
        <f t="shared" si="62"/>
        <v>8</v>
      </c>
      <c r="Z2015">
        <f t="shared" si="63"/>
        <v>0</v>
      </c>
    </row>
    <row r="2016" spans="1:26" x14ac:dyDescent="0.2">
      <c r="A2016" t="s">
        <v>456</v>
      </c>
      <c r="B2016" t="s">
        <v>457</v>
      </c>
      <c r="C2016" t="s">
        <v>98</v>
      </c>
      <c r="D2016" t="s">
        <v>29</v>
      </c>
      <c r="E2016" t="s">
        <v>99</v>
      </c>
      <c r="F2016">
        <v>0</v>
      </c>
      <c r="G2016">
        <v>0</v>
      </c>
      <c r="H2016">
        <v>2924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f>NHS_AE_2024_2025[[#This Row],[A&amp;E attendances Type 1]]+
NHS_AE_2024_2025[[#This Row],[A&amp;E attendances Type 2]]+
NHS_AE_2024_2025[[#This Row],[A&amp;E attendances Other A&amp;E Department]]</f>
        <v>2924</v>
      </c>
      <c r="Y2016">
        <f t="shared" si="62"/>
        <v>10</v>
      </c>
      <c r="Z2016">
        <f t="shared" si="63"/>
        <v>0</v>
      </c>
    </row>
    <row r="2017" spans="1:26" x14ac:dyDescent="0.2">
      <c r="A2017" t="s">
        <v>456</v>
      </c>
      <c r="B2017" t="s">
        <v>457</v>
      </c>
      <c r="C2017" t="s">
        <v>112</v>
      </c>
      <c r="D2017" t="s">
        <v>55</v>
      </c>
      <c r="E2017" t="s">
        <v>113</v>
      </c>
      <c r="F2017">
        <v>4608</v>
      </c>
      <c r="G2017">
        <v>0</v>
      </c>
      <c r="H2017">
        <v>0</v>
      </c>
      <c r="I2017">
        <v>75</v>
      </c>
      <c r="J2017">
        <v>0</v>
      </c>
      <c r="K2017">
        <v>45</v>
      </c>
      <c r="L2017">
        <v>2299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220</v>
      </c>
      <c r="S2017">
        <v>252</v>
      </c>
      <c r="T2017">
        <v>918</v>
      </c>
      <c r="U2017">
        <v>0</v>
      </c>
      <c r="V2017">
        <v>0</v>
      </c>
      <c r="W2017">
        <v>251</v>
      </c>
      <c r="X2017">
        <f>NHS_AE_2024_2025[[#This Row],[A&amp;E attendances Type 1]]+
NHS_AE_2024_2025[[#This Row],[A&amp;E attendances Type 2]]+
NHS_AE_2024_2025[[#This Row],[A&amp;E attendances Other A&amp;E Department]]</f>
        <v>4608</v>
      </c>
      <c r="Y2017">
        <f t="shared" si="62"/>
        <v>2299</v>
      </c>
      <c r="Z2017">
        <f t="shared" si="63"/>
        <v>1169</v>
      </c>
    </row>
    <row r="2018" spans="1:26" x14ac:dyDescent="0.2">
      <c r="A2018" t="s">
        <v>456</v>
      </c>
      <c r="B2018" t="s">
        <v>457</v>
      </c>
      <c r="C2018" t="s">
        <v>248</v>
      </c>
      <c r="D2018" t="s">
        <v>55</v>
      </c>
      <c r="E2018" t="s">
        <v>249</v>
      </c>
      <c r="F2018">
        <v>5106</v>
      </c>
      <c r="G2018">
        <v>0</v>
      </c>
      <c r="H2018">
        <v>2425</v>
      </c>
      <c r="I2018">
        <v>0</v>
      </c>
      <c r="J2018">
        <v>0</v>
      </c>
      <c r="K2018">
        <v>0</v>
      </c>
      <c r="L2018">
        <v>2859</v>
      </c>
      <c r="M2018">
        <v>0</v>
      </c>
      <c r="N2018">
        <v>208</v>
      </c>
      <c r="O2018">
        <v>0</v>
      </c>
      <c r="P2018">
        <v>0</v>
      </c>
      <c r="Q2018">
        <v>0</v>
      </c>
      <c r="R2018">
        <v>253</v>
      </c>
      <c r="S2018">
        <v>717</v>
      </c>
      <c r="T2018">
        <v>1730</v>
      </c>
      <c r="U2018">
        <v>0</v>
      </c>
      <c r="V2018">
        <v>0</v>
      </c>
      <c r="W2018">
        <v>1558</v>
      </c>
      <c r="X2018">
        <f>NHS_AE_2024_2025[[#This Row],[A&amp;E attendances Type 1]]+
NHS_AE_2024_2025[[#This Row],[A&amp;E attendances Type 2]]+
NHS_AE_2024_2025[[#This Row],[A&amp;E attendances Other A&amp;E Department]]</f>
        <v>7531</v>
      </c>
      <c r="Y2018">
        <f t="shared" si="62"/>
        <v>3067</v>
      </c>
      <c r="Z2018">
        <f t="shared" si="63"/>
        <v>3288</v>
      </c>
    </row>
    <row r="2019" spans="1:26" x14ac:dyDescent="0.2">
      <c r="A2019" t="s">
        <v>456</v>
      </c>
      <c r="B2019" t="s">
        <v>457</v>
      </c>
      <c r="C2019" t="s">
        <v>132</v>
      </c>
      <c r="D2019" t="s">
        <v>37</v>
      </c>
      <c r="E2019" t="s">
        <v>133</v>
      </c>
      <c r="F2019">
        <v>0</v>
      </c>
      <c r="G2019">
        <v>0</v>
      </c>
      <c r="H2019">
        <v>6208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f>NHS_AE_2024_2025[[#This Row],[A&amp;E attendances Type 1]]+
NHS_AE_2024_2025[[#This Row],[A&amp;E attendances Type 2]]+
NHS_AE_2024_2025[[#This Row],[A&amp;E attendances Other A&amp;E Department]]</f>
        <v>6208</v>
      </c>
      <c r="Y2019">
        <f t="shared" si="62"/>
        <v>0</v>
      </c>
      <c r="Z2019">
        <f t="shared" si="63"/>
        <v>0</v>
      </c>
    </row>
    <row r="2020" spans="1:26" x14ac:dyDescent="0.2">
      <c r="A2020" t="s">
        <v>456</v>
      </c>
      <c r="B2020" t="s">
        <v>457</v>
      </c>
      <c r="C2020" t="s">
        <v>82</v>
      </c>
      <c r="D2020" t="s">
        <v>55</v>
      </c>
      <c r="E2020" t="s">
        <v>83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173</v>
      </c>
      <c r="X2020">
        <f>NHS_AE_2024_2025[[#This Row],[A&amp;E attendances Type 1]]+
NHS_AE_2024_2025[[#This Row],[A&amp;E attendances Type 2]]+
NHS_AE_2024_2025[[#This Row],[A&amp;E attendances Other A&amp;E Department]]</f>
        <v>0</v>
      </c>
      <c r="Y2020">
        <f t="shared" si="62"/>
        <v>0</v>
      </c>
      <c r="Z2020">
        <f t="shared" si="63"/>
        <v>173</v>
      </c>
    </row>
    <row r="2021" spans="1:26" x14ac:dyDescent="0.2">
      <c r="A2021" t="s">
        <v>456</v>
      </c>
      <c r="B2021" t="s">
        <v>457</v>
      </c>
      <c r="C2021" t="s">
        <v>116</v>
      </c>
      <c r="D2021" t="s">
        <v>55</v>
      </c>
      <c r="E2021" t="s">
        <v>117</v>
      </c>
      <c r="F2021">
        <v>0</v>
      </c>
      <c r="G2021">
        <v>0</v>
      </c>
      <c r="H2021">
        <v>14327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411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55</v>
      </c>
      <c r="X2021">
        <f>NHS_AE_2024_2025[[#This Row],[A&amp;E attendances Type 1]]+
NHS_AE_2024_2025[[#This Row],[A&amp;E attendances Type 2]]+
NHS_AE_2024_2025[[#This Row],[A&amp;E attendances Other A&amp;E Department]]</f>
        <v>14327</v>
      </c>
      <c r="Y2021">
        <f t="shared" si="62"/>
        <v>411</v>
      </c>
      <c r="Z2021">
        <f t="shared" si="63"/>
        <v>55</v>
      </c>
    </row>
    <row r="2022" spans="1:26" x14ac:dyDescent="0.2">
      <c r="A2022" t="s">
        <v>456</v>
      </c>
      <c r="B2022" t="s">
        <v>457</v>
      </c>
      <c r="C2022" t="s">
        <v>412</v>
      </c>
      <c r="D2022" t="s">
        <v>32</v>
      </c>
      <c r="E2022" t="s">
        <v>413</v>
      </c>
      <c r="F2022">
        <v>0</v>
      </c>
      <c r="G2022">
        <v>0</v>
      </c>
      <c r="H2022">
        <v>434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f>NHS_AE_2024_2025[[#This Row],[A&amp;E attendances Type 1]]+
NHS_AE_2024_2025[[#This Row],[A&amp;E attendances Type 2]]+
NHS_AE_2024_2025[[#This Row],[A&amp;E attendances Other A&amp;E Department]]</f>
        <v>434</v>
      </c>
      <c r="Y2022">
        <f t="shared" si="62"/>
        <v>0</v>
      </c>
      <c r="Z2022">
        <f t="shared" si="63"/>
        <v>1</v>
      </c>
    </row>
    <row r="2023" spans="1:26" x14ac:dyDescent="0.2">
      <c r="A2023" t="s">
        <v>456</v>
      </c>
      <c r="B2023" t="s">
        <v>457</v>
      </c>
      <c r="C2023" t="s">
        <v>102</v>
      </c>
      <c r="D2023" t="s">
        <v>55</v>
      </c>
      <c r="E2023" t="s">
        <v>103</v>
      </c>
      <c r="F2023">
        <v>16042</v>
      </c>
      <c r="G2023">
        <v>1858</v>
      </c>
      <c r="H2023">
        <v>8708</v>
      </c>
      <c r="I2023">
        <v>551</v>
      </c>
      <c r="J2023">
        <v>0</v>
      </c>
      <c r="K2023">
        <v>0</v>
      </c>
      <c r="L2023">
        <v>8082</v>
      </c>
      <c r="M2023">
        <v>81</v>
      </c>
      <c r="N2023">
        <v>339</v>
      </c>
      <c r="O2023">
        <v>114</v>
      </c>
      <c r="P2023">
        <v>0</v>
      </c>
      <c r="Q2023">
        <v>0</v>
      </c>
      <c r="R2023">
        <v>2014</v>
      </c>
      <c r="S2023">
        <v>1021</v>
      </c>
      <c r="T2023">
        <v>5136</v>
      </c>
      <c r="U2023">
        <v>0</v>
      </c>
      <c r="V2023">
        <v>0</v>
      </c>
      <c r="W2023">
        <v>3252</v>
      </c>
      <c r="X2023">
        <f>NHS_AE_2024_2025[[#This Row],[A&amp;E attendances Type 1]]+
NHS_AE_2024_2025[[#This Row],[A&amp;E attendances Type 2]]+
NHS_AE_2024_2025[[#This Row],[A&amp;E attendances Other A&amp;E Department]]</f>
        <v>26608</v>
      </c>
      <c r="Y2023">
        <f t="shared" si="62"/>
        <v>8502</v>
      </c>
      <c r="Z2023">
        <f t="shared" si="63"/>
        <v>8388</v>
      </c>
    </row>
    <row r="2024" spans="1:26" x14ac:dyDescent="0.2">
      <c r="A2024" t="s">
        <v>456</v>
      </c>
      <c r="B2024" t="s">
        <v>457</v>
      </c>
      <c r="C2024" t="s">
        <v>408</v>
      </c>
      <c r="D2024" t="s">
        <v>50</v>
      </c>
      <c r="E2024" t="s">
        <v>409</v>
      </c>
      <c r="F2024">
        <v>8854</v>
      </c>
      <c r="G2024">
        <v>0</v>
      </c>
      <c r="H2024">
        <v>6531</v>
      </c>
      <c r="I2024">
        <v>0</v>
      </c>
      <c r="J2024">
        <v>0</v>
      </c>
      <c r="K2024">
        <v>435</v>
      </c>
      <c r="L2024">
        <v>4323</v>
      </c>
      <c r="M2024">
        <v>0</v>
      </c>
      <c r="N2024">
        <v>40</v>
      </c>
      <c r="O2024">
        <v>0</v>
      </c>
      <c r="P2024">
        <v>0</v>
      </c>
      <c r="Q2024">
        <v>1</v>
      </c>
      <c r="R2024">
        <v>653</v>
      </c>
      <c r="S2024">
        <v>859</v>
      </c>
      <c r="T2024">
        <v>5610</v>
      </c>
      <c r="U2024">
        <v>0</v>
      </c>
      <c r="V2024">
        <v>0</v>
      </c>
      <c r="W2024">
        <v>497</v>
      </c>
      <c r="X2024">
        <f>NHS_AE_2024_2025[[#This Row],[A&amp;E attendances Type 1]]+
NHS_AE_2024_2025[[#This Row],[A&amp;E attendances Type 2]]+
NHS_AE_2024_2025[[#This Row],[A&amp;E attendances Other A&amp;E Department]]</f>
        <v>15385</v>
      </c>
      <c r="Y2024">
        <f t="shared" si="62"/>
        <v>4363</v>
      </c>
      <c r="Z2024">
        <f t="shared" si="63"/>
        <v>6107</v>
      </c>
    </row>
    <row r="2025" spans="1:26" x14ac:dyDescent="0.2">
      <c r="A2025" t="s">
        <v>456</v>
      </c>
      <c r="B2025" t="s">
        <v>457</v>
      </c>
      <c r="C2025" t="s">
        <v>104</v>
      </c>
      <c r="D2025" t="s">
        <v>29</v>
      </c>
      <c r="E2025" t="s">
        <v>105</v>
      </c>
      <c r="F2025">
        <v>11338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2134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229</v>
      </c>
      <c r="S2025">
        <v>26</v>
      </c>
      <c r="T2025">
        <v>1843</v>
      </c>
      <c r="U2025">
        <v>0</v>
      </c>
      <c r="V2025">
        <v>0</v>
      </c>
      <c r="W2025">
        <v>370</v>
      </c>
      <c r="X2025">
        <f>NHS_AE_2024_2025[[#This Row],[A&amp;E attendances Type 1]]+
NHS_AE_2024_2025[[#This Row],[A&amp;E attendances Type 2]]+
NHS_AE_2024_2025[[#This Row],[A&amp;E attendances Other A&amp;E Department]]</f>
        <v>11338</v>
      </c>
      <c r="Y2025">
        <f t="shared" si="62"/>
        <v>2134</v>
      </c>
      <c r="Z2025">
        <f t="shared" si="63"/>
        <v>2213</v>
      </c>
    </row>
    <row r="2026" spans="1:26" x14ac:dyDescent="0.2">
      <c r="A2026" t="s">
        <v>456</v>
      </c>
      <c r="B2026" t="s">
        <v>457</v>
      </c>
      <c r="C2026" t="s">
        <v>196</v>
      </c>
      <c r="D2026" t="s">
        <v>37</v>
      </c>
      <c r="E2026" t="s">
        <v>197</v>
      </c>
      <c r="F2026">
        <v>23210</v>
      </c>
      <c r="G2026">
        <v>1062</v>
      </c>
      <c r="H2026">
        <v>11372</v>
      </c>
      <c r="I2026">
        <v>0</v>
      </c>
      <c r="J2026">
        <v>0</v>
      </c>
      <c r="K2026">
        <v>0</v>
      </c>
      <c r="L2026">
        <v>11292</v>
      </c>
      <c r="M2026">
        <v>1</v>
      </c>
      <c r="N2026">
        <v>135</v>
      </c>
      <c r="O2026">
        <v>0</v>
      </c>
      <c r="P2026">
        <v>0</v>
      </c>
      <c r="Q2026">
        <v>0</v>
      </c>
      <c r="R2026">
        <v>2018</v>
      </c>
      <c r="S2026">
        <v>259</v>
      </c>
      <c r="T2026">
        <v>6400</v>
      </c>
      <c r="U2026">
        <v>0</v>
      </c>
      <c r="V2026">
        <v>0</v>
      </c>
      <c r="W2026">
        <v>108</v>
      </c>
      <c r="X2026">
        <f>NHS_AE_2024_2025[[#This Row],[A&amp;E attendances Type 1]]+
NHS_AE_2024_2025[[#This Row],[A&amp;E attendances Type 2]]+
NHS_AE_2024_2025[[#This Row],[A&amp;E attendances Other A&amp;E Department]]</f>
        <v>35644</v>
      </c>
      <c r="Y2026">
        <f t="shared" si="62"/>
        <v>11428</v>
      </c>
      <c r="Z2026">
        <f t="shared" si="63"/>
        <v>6508</v>
      </c>
    </row>
    <row r="2027" spans="1:26" x14ac:dyDescent="0.2">
      <c r="A2027" t="s">
        <v>456</v>
      </c>
      <c r="B2027" t="s">
        <v>457</v>
      </c>
      <c r="C2027" t="s">
        <v>52</v>
      </c>
      <c r="D2027" t="s">
        <v>37</v>
      </c>
      <c r="E2027" t="s">
        <v>53</v>
      </c>
      <c r="F2027">
        <v>11010</v>
      </c>
      <c r="G2027">
        <v>1194</v>
      </c>
      <c r="H2027">
        <v>3747</v>
      </c>
      <c r="I2027">
        <v>0</v>
      </c>
      <c r="J2027">
        <v>0</v>
      </c>
      <c r="K2027">
        <v>0</v>
      </c>
      <c r="L2027">
        <v>4402</v>
      </c>
      <c r="M2027">
        <v>0</v>
      </c>
      <c r="N2027">
        <v>287</v>
      </c>
      <c r="O2027">
        <v>0</v>
      </c>
      <c r="P2027">
        <v>0</v>
      </c>
      <c r="Q2027">
        <v>0</v>
      </c>
      <c r="R2027">
        <v>323</v>
      </c>
      <c r="S2027">
        <v>347</v>
      </c>
      <c r="T2027">
        <v>4054</v>
      </c>
      <c r="U2027">
        <v>805</v>
      </c>
      <c r="V2027">
        <v>0</v>
      </c>
      <c r="W2027">
        <v>2106</v>
      </c>
      <c r="X2027">
        <f>NHS_AE_2024_2025[[#This Row],[A&amp;E attendances Type 1]]+
NHS_AE_2024_2025[[#This Row],[A&amp;E attendances Type 2]]+
NHS_AE_2024_2025[[#This Row],[A&amp;E attendances Other A&amp;E Department]]</f>
        <v>15951</v>
      </c>
      <c r="Y2027">
        <f t="shared" si="62"/>
        <v>4689</v>
      </c>
      <c r="Z2027">
        <f t="shared" si="63"/>
        <v>6965</v>
      </c>
    </row>
    <row r="2028" spans="1:26" x14ac:dyDescent="0.2">
      <c r="A2028" t="s">
        <v>456</v>
      </c>
      <c r="B2028" t="s">
        <v>457</v>
      </c>
      <c r="C2028" t="s">
        <v>84</v>
      </c>
      <c r="D2028" t="s">
        <v>50</v>
      </c>
      <c r="E2028" t="s">
        <v>85</v>
      </c>
      <c r="F2028">
        <v>9029</v>
      </c>
      <c r="G2028">
        <v>0</v>
      </c>
      <c r="H2028">
        <v>0</v>
      </c>
      <c r="I2028">
        <v>42</v>
      </c>
      <c r="J2028">
        <v>0</v>
      </c>
      <c r="K2028">
        <v>0</v>
      </c>
      <c r="L2028">
        <v>3373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511</v>
      </c>
      <c r="S2028">
        <v>0</v>
      </c>
      <c r="T2028">
        <v>3045</v>
      </c>
      <c r="U2028">
        <v>0</v>
      </c>
      <c r="V2028">
        <v>0</v>
      </c>
      <c r="W2028">
        <v>559</v>
      </c>
      <c r="X2028">
        <f>NHS_AE_2024_2025[[#This Row],[A&amp;E attendances Type 1]]+
NHS_AE_2024_2025[[#This Row],[A&amp;E attendances Type 2]]+
NHS_AE_2024_2025[[#This Row],[A&amp;E attendances Other A&amp;E Department]]</f>
        <v>9029</v>
      </c>
      <c r="Y2028">
        <f t="shared" si="62"/>
        <v>3373</v>
      </c>
      <c r="Z2028">
        <f t="shared" si="63"/>
        <v>3604</v>
      </c>
    </row>
    <row r="2029" spans="1:26" x14ac:dyDescent="0.2">
      <c r="A2029" t="s">
        <v>456</v>
      </c>
      <c r="B2029" t="s">
        <v>457</v>
      </c>
      <c r="C2029" t="s">
        <v>222</v>
      </c>
      <c r="D2029" t="s">
        <v>32</v>
      </c>
      <c r="E2029" t="s">
        <v>223</v>
      </c>
      <c r="F2029">
        <v>0</v>
      </c>
      <c r="G2029">
        <v>0</v>
      </c>
      <c r="H2029">
        <v>3896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f>NHS_AE_2024_2025[[#This Row],[A&amp;E attendances Type 1]]+
NHS_AE_2024_2025[[#This Row],[A&amp;E attendances Type 2]]+
NHS_AE_2024_2025[[#This Row],[A&amp;E attendances Other A&amp;E Department]]</f>
        <v>3896</v>
      </c>
      <c r="Y2029">
        <f t="shared" si="62"/>
        <v>0</v>
      </c>
      <c r="Z2029">
        <f t="shared" si="63"/>
        <v>0</v>
      </c>
    </row>
    <row r="2030" spans="1:26" x14ac:dyDescent="0.2">
      <c r="A2030" t="s">
        <v>456</v>
      </c>
      <c r="B2030" t="s">
        <v>457</v>
      </c>
      <c r="C2030" t="s">
        <v>122</v>
      </c>
      <c r="D2030" t="s">
        <v>50</v>
      </c>
      <c r="E2030" t="s">
        <v>123</v>
      </c>
      <c r="F2030">
        <v>9227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3451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788</v>
      </c>
      <c r="S2030">
        <v>24</v>
      </c>
      <c r="T2030">
        <v>2005</v>
      </c>
      <c r="U2030">
        <v>0</v>
      </c>
      <c r="V2030">
        <v>0</v>
      </c>
      <c r="W2030">
        <v>390</v>
      </c>
      <c r="X2030">
        <f>NHS_AE_2024_2025[[#This Row],[A&amp;E attendances Type 1]]+
NHS_AE_2024_2025[[#This Row],[A&amp;E attendances Type 2]]+
NHS_AE_2024_2025[[#This Row],[A&amp;E attendances Other A&amp;E Department]]</f>
        <v>9227</v>
      </c>
      <c r="Y2030">
        <f t="shared" si="62"/>
        <v>3451</v>
      </c>
      <c r="Z2030">
        <f t="shared" si="63"/>
        <v>2395</v>
      </c>
    </row>
    <row r="2031" spans="1:26" x14ac:dyDescent="0.2">
      <c r="A2031" t="s">
        <v>456</v>
      </c>
      <c r="B2031" t="s">
        <v>457</v>
      </c>
      <c r="C2031" t="s">
        <v>154</v>
      </c>
      <c r="D2031" t="s">
        <v>70</v>
      </c>
      <c r="E2031" t="s">
        <v>155</v>
      </c>
      <c r="F2031">
        <v>7574</v>
      </c>
      <c r="G2031">
        <v>0</v>
      </c>
      <c r="H2031">
        <v>1382</v>
      </c>
      <c r="I2031">
        <v>0</v>
      </c>
      <c r="J2031">
        <v>0</v>
      </c>
      <c r="K2031">
        <v>0</v>
      </c>
      <c r="L2031">
        <v>3200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637</v>
      </c>
      <c r="S2031">
        <v>444</v>
      </c>
      <c r="T2031">
        <v>1714</v>
      </c>
      <c r="U2031">
        <v>0</v>
      </c>
      <c r="V2031">
        <v>0</v>
      </c>
      <c r="W2031">
        <v>509</v>
      </c>
      <c r="X2031">
        <f>NHS_AE_2024_2025[[#This Row],[A&amp;E attendances Type 1]]+
NHS_AE_2024_2025[[#This Row],[A&amp;E attendances Type 2]]+
NHS_AE_2024_2025[[#This Row],[A&amp;E attendances Other A&amp;E Department]]</f>
        <v>8956</v>
      </c>
      <c r="Y2031">
        <f t="shared" si="62"/>
        <v>3200</v>
      </c>
      <c r="Z2031">
        <f t="shared" si="63"/>
        <v>2223</v>
      </c>
    </row>
    <row r="2032" spans="1:26" x14ac:dyDescent="0.2">
      <c r="A2032" t="s">
        <v>456</v>
      </c>
      <c r="B2032" t="s">
        <v>457</v>
      </c>
      <c r="C2032" t="s">
        <v>416</v>
      </c>
      <c r="D2032" t="s">
        <v>70</v>
      </c>
      <c r="E2032" t="s">
        <v>417</v>
      </c>
      <c r="F2032">
        <v>7823</v>
      </c>
      <c r="G2032">
        <v>0</v>
      </c>
      <c r="H2032">
        <v>650</v>
      </c>
      <c r="I2032">
        <v>31</v>
      </c>
      <c r="J2032">
        <v>0</v>
      </c>
      <c r="K2032">
        <v>0</v>
      </c>
      <c r="L2032">
        <v>2997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511</v>
      </c>
      <c r="S2032">
        <v>512</v>
      </c>
      <c r="T2032">
        <v>1885</v>
      </c>
      <c r="U2032">
        <v>0</v>
      </c>
      <c r="V2032">
        <v>0</v>
      </c>
      <c r="W2032">
        <v>375</v>
      </c>
      <c r="X2032">
        <f>NHS_AE_2024_2025[[#This Row],[A&amp;E attendances Type 1]]+
NHS_AE_2024_2025[[#This Row],[A&amp;E attendances Type 2]]+
NHS_AE_2024_2025[[#This Row],[A&amp;E attendances Other A&amp;E Department]]</f>
        <v>8473</v>
      </c>
      <c r="Y2032">
        <f t="shared" si="62"/>
        <v>2997</v>
      </c>
      <c r="Z2032">
        <f t="shared" si="63"/>
        <v>2260</v>
      </c>
    </row>
    <row r="2033" spans="1:26" x14ac:dyDescent="0.2">
      <c r="A2033" t="s">
        <v>456</v>
      </c>
      <c r="B2033" t="s">
        <v>457</v>
      </c>
      <c r="C2033" t="s">
        <v>204</v>
      </c>
      <c r="D2033" t="s">
        <v>32</v>
      </c>
      <c r="E2033" t="s">
        <v>205</v>
      </c>
      <c r="F2033">
        <v>6115</v>
      </c>
      <c r="G2033">
        <v>1155</v>
      </c>
      <c r="H2033">
        <v>123</v>
      </c>
      <c r="I2033">
        <v>175</v>
      </c>
      <c r="J2033">
        <v>0</v>
      </c>
      <c r="K2033">
        <v>0</v>
      </c>
      <c r="L2033">
        <v>2555</v>
      </c>
      <c r="M2033">
        <v>0</v>
      </c>
      <c r="N2033">
        <v>0</v>
      </c>
      <c r="O2033">
        <v>31</v>
      </c>
      <c r="P2033">
        <v>0</v>
      </c>
      <c r="Q2033">
        <v>0</v>
      </c>
      <c r="R2033">
        <v>459</v>
      </c>
      <c r="S2033">
        <v>270</v>
      </c>
      <c r="T2033">
        <v>1429</v>
      </c>
      <c r="U2033">
        <v>0</v>
      </c>
      <c r="V2033">
        <v>0</v>
      </c>
      <c r="W2033">
        <v>152</v>
      </c>
      <c r="X2033">
        <f>NHS_AE_2024_2025[[#This Row],[A&amp;E attendances Type 1]]+
NHS_AE_2024_2025[[#This Row],[A&amp;E attendances Type 2]]+
NHS_AE_2024_2025[[#This Row],[A&amp;E attendances Other A&amp;E Department]]</f>
        <v>7393</v>
      </c>
      <c r="Y2033">
        <f t="shared" si="62"/>
        <v>2555</v>
      </c>
      <c r="Z2033">
        <f t="shared" si="63"/>
        <v>1581</v>
      </c>
    </row>
    <row r="2034" spans="1:26" x14ac:dyDescent="0.2">
      <c r="A2034" t="s">
        <v>456</v>
      </c>
      <c r="B2034" t="s">
        <v>457</v>
      </c>
      <c r="C2034" t="s">
        <v>86</v>
      </c>
      <c r="D2034" t="s">
        <v>37</v>
      </c>
      <c r="E2034" t="s">
        <v>87</v>
      </c>
      <c r="F2034">
        <v>0</v>
      </c>
      <c r="G2034">
        <v>0</v>
      </c>
      <c r="H2034">
        <v>1499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19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6</v>
      </c>
      <c r="W2034">
        <v>551</v>
      </c>
      <c r="X2034">
        <f>NHS_AE_2024_2025[[#This Row],[A&amp;E attendances Type 1]]+
NHS_AE_2024_2025[[#This Row],[A&amp;E attendances Type 2]]+
NHS_AE_2024_2025[[#This Row],[A&amp;E attendances Other A&amp;E Department]]</f>
        <v>1499</v>
      </c>
      <c r="Y2034">
        <f t="shared" si="62"/>
        <v>19</v>
      </c>
      <c r="Z2034">
        <f t="shared" si="63"/>
        <v>557</v>
      </c>
    </row>
    <row r="2035" spans="1:26" x14ac:dyDescent="0.2">
      <c r="A2035" t="s">
        <v>456</v>
      </c>
      <c r="B2035" t="s">
        <v>457</v>
      </c>
      <c r="C2035" t="s">
        <v>174</v>
      </c>
      <c r="D2035" t="s">
        <v>50</v>
      </c>
      <c r="E2035" t="s">
        <v>175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111</v>
      </c>
      <c r="X2035">
        <f>NHS_AE_2024_2025[[#This Row],[A&amp;E attendances Type 1]]+
NHS_AE_2024_2025[[#This Row],[A&amp;E attendances Type 2]]+
NHS_AE_2024_2025[[#This Row],[A&amp;E attendances Other A&amp;E Department]]</f>
        <v>0</v>
      </c>
      <c r="Y2035">
        <f t="shared" si="62"/>
        <v>0</v>
      </c>
      <c r="Z2035">
        <f t="shared" si="63"/>
        <v>111</v>
      </c>
    </row>
    <row r="2036" spans="1:26" x14ac:dyDescent="0.2">
      <c r="A2036" t="s">
        <v>456</v>
      </c>
      <c r="B2036" t="s">
        <v>457</v>
      </c>
      <c r="C2036" t="s">
        <v>274</v>
      </c>
      <c r="D2036" t="s">
        <v>32</v>
      </c>
      <c r="E2036" t="s">
        <v>275</v>
      </c>
      <c r="F2036">
        <v>0</v>
      </c>
      <c r="G2036">
        <v>0</v>
      </c>
      <c r="H2036">
        <v>8429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300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f>NHS_AE_2024_2025[[#This Row],[A&amp;E attendances Type 1]]+
NHS_AE_2024_2025[[#This Row],[A&amp;E attendances Type 2]]+
NHS_AE_2024_2025[[#This Row],[A&amp;E attendances Other A&amp;E Department]]</f>
        <v>8429</v>
      </c>
      <c r="Y2036">
        <f t="shared" si="62"/>
        <v>300</v>
      </c>
      <c r="Z2036">
        <f t="shared" si="63"/>
        <v>0</v>
      </c>
    </row>
    <row r="2037" spans="1:26" x14ac:dyDescent="0.2">
      <c r="A2037" t="s">
        <v>456</v>
      </c>
      <c r="B2037" t="s">
        <v>457</v>
      </c>
      <c r="C2037" t="s">
        <v>57</v>
      </c>
      <c r="D2037" t="s">
        <v>32</v>
      </c>
      <c r="E2037" t="s">
        <v>58</v>
      </c>
      <c r="F2037">
        <v>0</v>
      </c>
      <c r="G2037">
        <v>0</v>
      </c>
      <c r="H2037">
        <v>6205</v>
      </c>
      <c r="I2037">
        <v>0</v>
      </c>
      <c r="J2037">
        <v>0</v>
      </c>
      <c r="K2037">
        <v>1787</v>
      </c>
      <c r="L2037">
        <v>0</v>
      </c>
      <c r="M2037">
        <v>0</v>
      </c>
      <c r="N2037">
        <v>48</v>
      </c>
      <c r="O2037">
        <v>0</v>
      </c>
      <c r="P2037">
        <v>0</v>
      </c>
      <c r="Q2037">
        <v>6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f>NHS_AE_2024_2025[[#This Row],[A&amp;E attendances Type 1]]+
NHS_AE_2024_2025[[#This Row],[A&amp;E attendances Type 2]]+
NHS_AE_2024_2025[[#This Row],[A&amp;E attendances Other A&amp;E Department]]</f>
        <v>6205</v>
      </c>
      <c r="Y2037">
        <f t="shared" si="62"/>
        <v>48</v>
      </c>
      <c r="Z2037">
        <f t="shared" si="63"/>
        <v>0</v>
      </c>
    </row>
    <row r="2038" spans="1:26" x14ac:dyDescent="0.2">
      <c r="A2038" t="s">
        <v>456</v>
      </c>
      <c r="B2038" t="s">
        <v>457</v>
      </c>
      <c r="C2038" t="s">
        <v>31</v>
      </c>
      <c r="D2038" t="s">
        <v>32</v>
      </c>
      <c r="E2038" t="s">
        <v>33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2242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f>NHS_AE_2024_2025[[#This Row],[A&amp;E attendances Type 1]]+
NHS_AE_2024_2025[[#This Row],[A&amp;E attendances Type 2]]+
NHS_AE_2024_2025[[#This Row],[A&amp;E attendances Other A&amp;E Department]]</f>
        <v>0</v>
      </c>
      <c r="Y2038">
        <f t="shared" si="62"/>
        <v>0</v>
      </c>
      <c r="Z2038">
        <f t="shared" si="63"/>
        <v>0</v>
      </c>
    </row>
    <row r="2039" spans="1:26" x14ac:dyDescent="0.2">
      <c r="A2039" t="s">
        <v>456</v>
      </c>
      <c r="B2039" t="s">
        <v>457</v>
      </c>
      <c r="C2039" t="s">
        <v>92</v>
      </c>
      <c r="D2039" t="s">
        <v>26</v>
      </c>
      <c r="E2039" t="s">
        <v>93</v>
      </c>
      <c r="F2039">
        <v>0</v>
      </c>
      <c r="G2039">
        <v>0</v>
      </c>
      <c r="H2039">
        <v>2461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58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f>NHS_AE_2024_2025[[#This Row],[A&amp;E attendances Type 1]]+
NHS_AE_2024_2025[[#This Row],[A&amp;E attendances Type 2]]+
NHS_AE_2024_2025[[#This Row],[A&amp;E attendances Other A&amp;E Department]]</f>
        <v>2461</v>
      </c>
      <c r="Y2039">
        <f t="shared" si="62"/>
        <v>58</v>
      </c>
      <c r="Z2039">
        <f t="shared" si="63"/>
        <v>0</v>
      </c>
    </row>
    <row r="2040" spans="1:26" x14ac:dyDescent="0.2">
      <c r="A2040" t="s">
        <v>456</v>
      </c>
      <c r="B2040" t="s">
        <v>457</v>
      </c>
      <c r="C2040" t="s">
        <v>422</v>
      </c>
      <c r="D2040" t="s">
        <v>26</v>
      </c>
      <c r="E2040" t="s">
        <v>423</v>
      </c>
      <c r="F2040">
        <v>0</v>
      </c>
      <c r="G2040">
        <v>0</v>
      </c>
      <c r="H2040">
        <v>8546</v>
      </c>
      <c r="I2040">
        <v>0</v>
      </c>
      <c r="J2040">
        <v>0</v>
      </c>
      <c r="K2040">
        <v>327</v>
      </c>
      <c r="L2040">
        <v>0</v>
      </c>
      <c r="M2040">
        <v>0</v>
      </c>
      <c r="N2040">
        <v>516</v>
      </c>
      <c r="O2040">
        <v>0</v>
      </c>
      <c r="P2040">
        <v>0</v>
      </c>
      <c r="Q2040">
        <v>41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f>NHS_AE_2024_2025[[#This Row],[A&amp;E attendances Type 1]]+
NHS_AE_2024_2025[[#This Row],[A&amp;E attendances Type 2]]+
NHS_AE_2024_2025[[#This Row],[A&amp;E attendances Other A&amp;E Department]]</f>
        <v>8546</v>
      </c>
      <c r="Y2040">
        <f t="shared" si="62"/>
        <v>516</v>
      </c>
      <c r="Z2040">
        <f t="shared" si="63"/>
        <v>0</v>
      </c>
    </row>
    <row r="2041" spans="1:26" x14ac:dyDescent="0.2">
      <c r="A2041" t="s">
        <v>456</v>
      </c>
      <c r="B2041" t="s">
        <v>457</v>
      </c>
      <c r="C2041" t="s">
        <v>138</v>
      </c>
      <c r="D2041" t="s">
        <v>32</v>
      </c>
      <c r="E2041" t="s">
        <v>139</v>
      </c>
      <c r="F2041">
        <v>0</v>
      </c>
      <c r="G2041">
        <v>0</v>
      </c>
      <c r="H2041">
        <v>210</v>
      </c>
      <c r="I2041">
        <v>0</v>
      </c>
      <c r="J2041">
        <v>0</v>
      </c>
      <c r="K2041">
        <v>2194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f>NHS_AE_2024_2025[[#This Row],[A&amp;E attendances Type 1]]+
NHS_AE_2024_2025[[#This Row],[A&amp;E attendances Type 2]]+
NHS_AE_2024_2025[[#This Row],[A&amp;E attendances Other A&amp;E Department]]</f>
        <v>210</v>
      </c>
      <c r="Y2041">
        <f t="shared" si="62"/>
        <v>1</v>
      </c>
      <c r="Z2041">
        <f t="shared" si="63"/>
        <v>0</v>
      </c>
    </row>
    <row r="2042" spans="1:26" x14ac:dyDescent="0.2">
      <c r="A2042" t="s">
        <v>456</v>
      </c>
      <c r="B2042" t="s">
        <v>457</v>
      </c>
      <c r="C2042" t="s">
        <v>140</v>
      </c>
      <c r="D2042" t="s">
        <v>32</v>
      </c>
      <c r="E2042" t="s">
        <v>141</v>
      </c>
      <c r="F2042">
        <v>0</v>
      </c>
      <c r="G2042">
        <v>0</v>
      </c>
      <c r="H2042">
        <v>85</v>
      </c>
      <c r="I2042">
        <v>0</v>
      </c>
      <c r="J2042">
        <v>0</v>
      </c>
      <c r="K2042">
        <v>340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f>NHS_AE_2024_2025[[#This Row],[A&amp;E attendances Type 1]]+
NHS_AE_2024_2025[[#This Row],[A&amp;E attendances Type 2]]+
NHS_AE_2024_2025[[#This Row],[A&amp;E attendances Other A&amp;E Department]]</f>
        <v>85</v>
      </c>
      <c r="Y2042">
        <f t="shared" si="62"/>
        <v>0</v>
      </c>
      <c r="Z2042">
        <f t="shared" si="63"/>
        <v>0</v>
      </c>
    </row>
    <row r="2043" spans="1:26" x14ac:dyDescent="0.2">
      <c r="A2043" t="s">
        <v>456</v>
      </c>
      <c r="B2043" t="s">
        <v>457</v>
      </c>
      <c r="C2043" t="s">
        <v>142</v>
      </c>
      <c r="D2043" t="s">
        <v>32</v>
      </c>
      <c r="E2043" t="s">
        <v>143</v>
      </c>
      <c r="F2043">
        <v>0</v>
      </c>
      <c r="G2043">
        <v>0</v>
      </c>
      <c r="H2043">
        <v>69</v>
      </c>
      <c r="I2043">
        <v>0</v>
      </c>
      <c r="J2043">
        <v>0</v>
      </c>
      <c r="K2043">
        <v>370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f>NHS_AE_2024_2025[[#This Row],[A&amp;E attendances Type 1]]+
NHS_AE_2024_2025[[#This Row],[A&amp;E attendances Type 2]]+
NHS_AE_2024_2025[[#This Row],[A&amp;E attendances Other A&amp;E Department]]</f>
        <v>69</v>
      </c>
      <c r="Y2043">
        <f t="shared" si="62"/>
        <v>0</v>
      </c>
      <c r="Z2043">
        <f t="shared" si="63"/>
        <v>0</v>
      </c>
    </row>
    <row r="2044" spans="1:26" x14ac:dyDescent="0.2">
      <c r="A2044" t="s">
        <v>456</v>
      </c>
      <c r="B2044" t="s">
        <v>457</v>
      </c>
      <c r="C2044" t="s">
        <v>414</v>
      </c>
      <c r="D2044" t="s">
        <v>32</v>
      </c>
      <c r="E2044" t="s">
        <v>415</v>
      </c>
      <c r="F2044">
        <v>0</v>
      </c>
      <c r="G2044">
        <v>0</v>
      </c>
      <c r="H2044">
        <v>526</v>
      </c>
      <c r="I2044">
        <v>0</v>
      </c>
      <c r="J2044">
        <v>0</v>
      </c>
      <c r="K2044">
        <v>2484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f>NHS_AE_2024_2025[[#This Row],[A&amp;E attendances Type 1]]+
NHS_AE_2024_2025[[#This Row],[A&amp;E attendances Type 2]]+
NHS_AE_2024_2025[[#This Row],[A&amp;E attendances Other A&amp;E Department]]</f>
        <v>526</v>
      </c>
      <c r="Y2044">
        <f t="shared" si="62"/>
        <v>0</v>
      </c>
      <c r="Z2044">
        <f t="shared" si="63"/>
        <v>0</v>
      </c>
    </row>
    <row r="2045" spans="1:26" x14ac:dyDescent="0.2">
      <c r="A2045" t="s">
        <v>456</v>
      </c>
      <c r="B2045" t="s">
        <v>457</v>
      </c>
      <c r="C2045" t="s">
        <v>144</v>
      </c>
      <c r="D2045" t="s">
        <v>32</v>
      </c>
      <c r="E2045" t="s">
        <v>145</v>
      </c>
      <c r="F2045">
        <v>0</v>
      </c>
      <c r="G2045">
        <v>0</v>
      </c>
      <c r="H2045">
        <v>57</v>
      </c>
      <c r="I2045">
        <v>0</v>
      </c>
      <c r="J2045">
        <v>0</v>
      </c>
      <c r="K2045">
        <v>362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f>NHS_AE_2024_2025[[#This Row],[A&amp;E attendances Type 1]]+
NHS_AE_2024_2025[[#This Row],[A&amp;E attendances Type 2]]+
NHS_AE_2024_2025[[#This Row],[A&amp;E attendances Other A&amp;E Department]]</f>
        <v>57</v>
      </c>
      <c r="Y2045">
        <f t="shared" si="62"/>
        <v>0</v>
      </c>
      <c r="Z2045">
        <f t="shared" si="63"/>
        <v>0</v>
      </c>
    </row>
    <row r="2046" spans="1:26" x14ac:dyDescent="0.2">
      <c r="A2046" t="s">
        <v>456</v>
      </c>
      <c r="B2046" t="s">
        <v>457</v>
      </c>
      <c r="C2046" t="s">
        <v>118</v>
      </c>
      <c r="D2046" t="s">
        <v>32</v>
      </c>
      <c r="E2046" t="s">
        <v>119</v>
      </c>
      <c r="F2046">
        <v>0</v>
      </c>
      <c r="G2046">
        <v>0</v>
      </c>
      <c r="H2046">
        <v>1960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f>NHS_AE_2024_2025[[#This Row],[A&amp;E attendances Type 1]]+
NHS_AE_2024_2025[[#This Row],[A&amp;E attendances Type 2]]+
NHS_AE_2024_2025[[#This Row],[A&amp;E attendances Other A&amp;E Department]]</f>
        <v>1960</v>
      </c>
      <c r="Y2046">
        <f t="shared" si="62"/>
        <v>0</v>
      </c>
      <c r="Z2046">
        <f t="shared" si="63"/>
        <v>0</v>
      </c>
    </row>
    <row r="2047" spans="1:26" x14ac:dyDescent="0.2">
      <c r="A2047" t="s">
        <v>456</v>
      </c>
      <c r="B2047" t="s">
        <v>457</v>
      </c>
      <c r="C2047" t="s">
        <v>146</v>
      </c>
      <c r="D2047" t="s">
        <v>32</v>
      </c>
      <c r="E2047" t="s">
        <v>147</v>
      </c>
      <c r="F2047">
        <v>0</v>
      </c>
      <c r="G2047">
        <v>0</v>
      </c>
      <c r="H2047">
        <v>5696</v>
      </c>
      <c r="I2047">
        <v>0</v>
      </c>
      <c r="J2047">
        <v>0</v>
      </c>
      <c r="K2047">
        <v>257</v>
      </c>
      <c r="L2047">
        <v>0</v>
      </c>
      <c r="M2047">
        <v>0</v>
      </c>
      <c r="N2047">
        <v>381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f>NHS_AE_2024_2025[[#This Row],[A&amp;E attendances Type 1]]+
NHS_AE_2024_2025[[#This Row],[A&amp;E attendances Type 2]]+
NHS_AE_2024_2025[[#This Row],[A&amp;E attendances Other A&amp;E Department]]</f>
        <v>5696</v>
      </c>
      <c r="Y2047">
        <f t="shared" si="62"/>
        <v>381</v>
      </c>
      <c r="Z2047">
        <f t="shared" si="63"/>
        <v>0</v>
      </c>
    </row>
    <row r="2048" spans="1:26" x14ac:dyDescent="0.2">
      <c r="A2048" t="s">
        <v>456</v>
      </c>
      <c r="B2048" t="s">
        <v>457</v>
      </c>
      <c r="C2048" t="s">
        <v>76</v>
      </c>
      <c r="D2048" t="s">
        <v>37</v>
      </c>
      <c r="E2048" t="s">
        <v>77</v>
      </c>
      <c r="F2048">
        <v>0</v>
      </c>
      <c r="G2048">
        <v>0</v>
      </c>
      <c r="H2048">
        <v>5788</v>
      </c>
      <c r="I2048">
        <v>0</v>
      </c>
      <c r="J2048">
        <v>0</v>
      </c>
      <c r="K2048">
        <v>197</v>
      </c>
      <c r="L2048">
        <v>0</v>
      </c>
      <c r="M2048">
        <v>0</v>
      </c>
      <c r="N2048">
        <v>88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f>NHS_AE_2024_2025[[#This Row],[A&amp;E attendances Type 1]]+
NHS_AE_2024_2025[[#This Row],[A&amp;E attendances Type 2]]+
NHS_AE_2024_2025[[#This Row],[A&amp;E attendances Other A&amp;E Department]]</f>
        <v>5788</v>
      </c>
      <c r="Y2048">
        <f t="shared" si="62"/>
        <v>88</v>
      </c>
      <c r="Z2048">
        <f t="shared" si="63"/>
        <v>0</v>
      </c>
    </row>
    <row r="2049" spans="1:26" x14ac:dyDescent="0.2">
      <c r="A2049" t="s">
        <v>456</v>
      </c>
      <c r="B2049" t="s">
        <v>457</v>
      </c>
      <c r="C2049" t="s">
        <v>184</v>
      </c>
      <c r="D2049" t="s">
        <v>55</v>
      </c>
      <c r="E2049" t="s">
        <v>185</v>
      </c>
      <c r="F2049">
        <v>0</v>
      </c>
      <c r="G2049">
        <v>0</v>
      </c>
      <c r="H2049">
        <v>1037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f>NHS_AE_2024_2025[[#This Row],[A&amp;E attendances Type 1]]+
NHS_AE_2024_2025[[#This Row],[A&amp;E attendances Type 2]]+
NHS_AE_2024_2025[[#This Row],[A&amp;E attendances Other A&amp;E Department]]</f>
        <v>1037</v>
      </c>
      <c r="Y2049">
        <f t="shared" si="62"/>
        <v>0</v>
      </c>
      <c r="Z2049">
        <f t="shared" si="63"/>
        <v>0</v>
      </c>
    </row>
    <row r="2050" spans="1:26" x14ac:dyDescent="0.2">
      <c r="A2050" t="s">
        <v>456</v>
      </c>
      <c r="B2050" t="s">
        <v>457</v>
      </c>
      <c r="C2050" t="s">
        <v>394</v>
      </c>
      <c r="D2050" t="s">
        <v>55</v>
      </c>
      <c r="E2050" t="s">
        <v>395</v>
      </c>
      <c r="F2050">
        <v>25876</v>
      </c>
      <c r="G2050">
        <v>2943</v>
      </c>
      <c r="H2050">
        <v>11962</v>
      </c>
      <c r="I2050">
        <v>3669</v>
      </c>
      <c r="J2050">
        <v>534</v>
      </c>
      <c r="K2050">
        <v>887</v>
      </c>
      <c r="L2050">
        <v>12120</v>
      </c>
      <c r="M2050">
        <v>75</v>
      </c>
      <c r="N2050">
        <v>632</v>
      </c>
      <c r="O2050">
        <v>1631</v>
      </c>
      <c r="P2050">
        <v>20</v>
      </c>
      <c r="Q2050">
        <v>90</v>
      </c>
      <c r="R2050">
        <v>4129</v>
      </c>
      <c r="S2050">
        <v>278</v>
      </c>
      <c r="T2050">
        <v>5939</v>
      </c>
      <c r="U2050">
        <v>136</v>
      </c>
      <c r="V2050">
        <v>173</v>
      </c>
      <c r="W2050">
        <v>457</v>
      </c>
      <c r="X2050">
        <f>NHS_AE_2024_2025[[#This Row],[A&amp;E attendances Type 1]]+
NHS_AE_2024_2025[[#This Row],[A&amp;E attendances Type 2]]+
NHS_AE_2024_2025[[#This Row],[A&amp;E attendances Other A&amp;E Department]]</f>
        <v>40781</v>
      </c>
      <c r="Y2050">
        <f t="shared" ref="Y2050:Y2113" si="64">L2050+M2050+N2050</f>
        <v>12827</v>
      </c>
      <c r="Z2050">
        <f t="shared" ref="Z2050:Z2113" si="65">T2050+U2050+V2050+W2050</f>
        <v>6705</v>
      </c>
    </row>
    <row r="2051" spans="1:26" x14ac:dyDescent="0.2">
      <c r="A2051" t="s">
        <v>456</v>
      </c>
      <c r="B2051" t="s">
        <v>457</v>
      </c>
      <c r="C2051" t="s">
        <v>188</v>
      </c>
      <c r="D2051" t="s">
        <v>26</v>
      </c>
      <c r="E2051" t="s">
        <v>189</v>
      </c>
      <c r="F2051">
        <v>16097</v>
      </c>
      <c r="G2051">
        <v>2388</v>
      </c>
      <c r="H2051">
        <v>0</v>
      </c>
      <c r="I2051">
        <v>0</v>
      </c>
      <c r="J2051">
        <v>0</v>
      </c>
      <c r="K2051">
        <v>0</v>
      </c>
      <c r="L2051">
        <v>5977</v>
      </c>
      <c r="M2051">
        <v>232</v>
      </c>
      <c r="N2051">
        <v>0</v>
      </c>
      <c r="O2051">
        <v>0</v>
      </c>
      <c r="P2051">
        <v>0</v>
      </c>
      <c r="Q2051">
        <v>0</v>
      </c>
      <c r="R2051">
        <v>1286</v>
      </c>
      <c r="S2051">
        <v>440</v>
      </c>
      <c r="T2051">
        <v>5485</v>
      </c>
      <c r="U2051">
        <v>12</v>
      </c>
      <c r="V2051">
        <v>0</v>
      </c>
      <c r="W2051">
        <v>1522</v>
      </c>
      <c r="X2051">
        <f>NHS_AE_2024_2025[[#This Row],[A&amp;E attendances Type 1]]+
NHS_AE_2024_2025[[#This Row],[A&amp;E attendances Type 2]]+
NHS_AE_2024_2025[[#This Row],[A&amp;E attendances Other A&amp;E Department]]</f>
        <v>18485</v>
      </c>
      <c r="Y2051">
        <f t="shared" si="64"/>
        <v>6209</v>
      </c>
      <c r="Z2051">
        <f t="shared" si="65"/>
        <v>7019</v>
      </c>
    </row>
    <row r="2052" spans="1:26" x14ac:dyDescent="0.2">
      <c r="A2052" t="s">
        <v>456</v>
      </c>
      <c r="B2052" t="s">
        <v>457</v>
      </c>
      <c r="C2052" t="s">
        <v>43</v>
      </c>
      <c r="D2052" t="s">
        <v>26</v>
      </c>
      <c r="E2052" t="s">
        <v>44</v>
      </c>
      <c r="F2052">
        <v>6217</v>
      </c>
      <c r="G2052">
        <v>0</v>
      </c>
      <c r="H2052">
        <v>3264</v>
      </c>
      <c r="I2052">
        <v>388</v>
      </c>
      <c r="J2052">
        <v>0</v>
      </c>
      <c r="K2052">
        <v>139</v>
      </c>
      <c r="L2052">
        <v>2976</v>
      </c>
      <c r="M2052">
        <v>0</v>
      </c>
      <c r="N2052">
        <v>12</v>
      </c>
      <c r="O2052">
        <v>143</v>
      </c>
      <c r="P2052">
        <v>0</v>
      </c>
      <c r="Q2052">
        <v>0</v>
      </c>
      <c r="R2052">
        <v>397</v>
      </c>
      <c r="S2052">
        <v>149</v>
      </c>
      <c r="T2052">
        <v>2091</v>
      </c>
      <c r="U2052">
        <v>0</v>
      </c>
      <c r="V2052">
        <v>0</v>
      </c>
      <c r="W2052">
        <v>1249</v>
      </c>
      <c r="X2052">
        <f>NHS_AE_2024_2025[[#This Row],[A&amp;E attendances Type 1]]+
NHS_AE_2024_2025[[#This Row],[A&amp;E attendances Type 2]]+
NHS_AE_2024_2025[[#This Row],[A&amp;E attendances Other A&amp;E Department]]</f>
        <v>9481</v>
      </c>
      <c r="Y2052">
        <f t="shared" si="64"/>
        <v>2988</v>
      </c>
      <c r="Z2052">
        <f t="shared" si="65"/>
        <v>3340</v>
      </c>
    </row>
    <row r="2053" spans="1:26" x14ac:dyDescent="0.2">
      <c r="A2053" t="s">
        <v>456</v>
      </c>
      <c r="B2053" t="s">
        <v>457</v>
      </c>
      <c r="C2053" t="s">
        <v>232</v>
      </c>
      <c r="D2053" t="s">
        <v>29</v>
      </c>
      <c r="E2053" t="s">
        <v>233</v>
      </c>
      <c r="F2053">
        <v>7198</v>
      </c>
      <c r="G2053">
        <v>0</v>
      </c>
      <c r="H2053">
        <v>8157</v>
      </c>
      <c r="I2053">
        <v>0</v>
      </c>
      <c r="J2053">
        <v>0</v>
      </c>
      <c r="K2053">
        <v>0</v>
      </c>
      <c r="L2053">
        <v>3440</v>
      </c>
      <c r="M2053">
        <v>0</v>
      </c>
      <c r="N2053">
        <v>271</v>
      </c>
      <c r="O2053">
        <v>0</v>
      </c>
      <c r="P2053">
        <v>0</v>
      </c>
      <c r="Q2053">
        <v>0</v>
      </c>
      <c r="R2053">
        <v>264</v>
      </c>
      <c r="S2053">
        <v>421</v>
      </c>
      <c r="T2053">
        <v>2347</v>
      </c>
      <c r="U2053">
        <v>0</v>
      </c>
      <c r="V2053">
        <v>199</v>
      </c>
      <c r="W2053">
        <v>288</v>
      </c>
      <c r="X2053">
        <f>NHS_AE_2024_2025[[#This Row],[A&amp;E attendances Type 1]]+
NHS_AE_2024_2025[[#This Row],[A&amp;E attendances Type 2]]+
NHS_AE_2024_2025[[#This Row],[A&amp;E attendances Other A&amp;E Department]]</f>
        <v>15355</v>
      </c>
      <c r="Y2053">
        <f t="shared" si="64"/>
        <v>3711</v>
      </c>
      <c r="Z2053">
        <f t="shared" si="65"/>
        <v>2834</v>
      </c>
    </row>
    <row r="2054" spans="1:26" x14ac:dyDescent="0.2">
      <c r="A2054" t="s">
        <v>456</v>
      </c>
      <c r="B2054" t="s">
        <v>457</v>
      </c>
      <c r="C2054" t="s">
        <v>400</v>
      </c>
      <c r="D2054" t="s">
        <v>50</v>
      </c>
      <c r="E2054" t="s">
        <v>401</v>
      </c>
      <c r="F2054">
        <v>5070</v>
      </c>
      <c r="G2054">
        <v>0</v>
      </c>
      <c r="H2054">
        <v>900</v>
      </c>
      <c r="I2054">
        <v>330</v>
      </c>
      <c r="J2054">
        <v>0</v>
      </c>
      <c r="K2054">
        <v>15</v>
      </c>
      <c r="L2054">
        <v>1663</v>
      </c>
      <c r="M2054">
        <v>0</v>
      </c>
      <c r="N2054">
        <v>0</v>
      </c>
      <c r="O2054">
        <v>76</v>
      </c>
      <c r="P2054">
        <v>0</v>
      </c>
      <c r="Q2054">
        <v>0</v>
      </c>
      <c r="R2054">
        <v>430</v>
      </c>
      <c r="S2054">
        <v>52</v>
      </c>
      <c r="T2054">
        <v>1145</v>
      </c>
      <c r="U2054">
        <v>0</v>
      </c>
      <c r="V2054">
        <v>0</v>
      </c>
      <c r="W2054">
        <v>331</v>
      </c>
      <c r="X2054">
        <f>NHS_AE_2024_2025[[#This Row],[A&amp;E attendances Type 1]]+
NHS_AE_2024_2025[[#This Row],[A&amp;E attendances Type 2]]+
NHS_AE_2024_2025[[#This Row],[A&amp;E attendances Other A&amp;E Department]]</f>
        <v>5970</v>
      </c>
      <c r="Y2054">
        <f t="shared" si="64"/>
        <v>1663</v>
      </c>
      <c r="Z2054">
        <f t="shared" si="65"/>
        <v>1476</v>
      </c>
    </row>
    <row r="2055" spans="1:26" x14ac:dyDescent="0.2">
      <c r="A2055" t="s">
        <v>456</v>
      </c>
      <c r="B2055" t="s">
        <v>457</v>
      </c>
      <c r="C2055" t="s">
        <v>402</v>
      </c>
      <c r="D2055" t="s">
        <v>70</v>
      </c>
      <c r="E2055" t="s">
        <v>403</v>
      </c>
      <c r="F2055">
        <v>6749</v>
      </c>
      <c r="G2055">
        <v>0</v>
      </c>
      <c r="H2055">
        <v>1170</v>
      </c>
      <c r="I2055">
        <v>0</v>
      </c>
      <c r="J2055">
        <v>0</v>
      </c>
      <c r="K2055">
        <v>0</v>
      </c>
      <c r="L2055">
        <v>2652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328</v>
      </c>
      <c r="S2055">
        <v>95</v>
      </c>
      <c r="T2055">
        <v>2041</v>
      </c>
      <c r="U2055">
        <v>0</v>
      </c>
      <c r="V2055">
        <v>0</v>
      </c>
      <c r="W2055">
        <v>317</v>
      </c>
      <c r="X2055">
        <f>NHS_AE_2024_2025[[#This Row],[A&amp;E attendances Type 1]]+
NHS_AE_2024_2025[[#This Row],[A&amp;E attendances Type 2]]+
NHS_AE_2024_2025[[#This Row],[A&amp;E attendances Other A&amp;E Department]]</f>
        <v>7919</v>
      </c>
      <c r="Y2055">
        <f t="shared" si="64"/>
        <v>2652</v>
      </c>
      <c r="Z2055">
        <f t="shared" si="65"/>
        <v>2358</v>
      </c>
    </row>
    <row r="2056" spans="1:26" x14ac:dyDescent="0.2">
      <c r="A2056" t="s">
        <v>456</v>
      </c>
      <c r="B2056" t="s">
        <v>457</v>
      </c>
      <c r="C2056" t="s">
        <v>300</v>
      </c>
      <c r="D2056" t="s">
        <v>37</v>
      </c>
      <c r="E2056" t="s">
        <v>301</v>
      </c>
      <c r="F2056">
        <v>12497</v>
      </c>
      <c r="G2056">
        <v>1243</v>
      </c>
      <c r="H2056">
        <v>0</v>
      </c>
      <c r="I2056">
        <v>266</v>
      </c>
      <c r="J2056">
        <v>0</v>
      </c>
      <c r="K2056">
        <v>0</v>
      </c>
      <c r="L2056">
        <v>4456</v>
      </c>
      <c r="M2056">
        <v>124</v>
      </c>
      <c r="N2056">
        <v>0</v>
      </c>
      <c r="O2056">
        <v>94</v>
      </c>
      <c r="P2056">
        <v>0</v>
      </c>
      <c r="Q2056">
        <v>0</v>
      </c>
      <c r="R2056">
        <v>382</v>
      </c>
      <c r="S2056">
        <v>16</v>
      </c>
      <c r="T2056">
        <v>4045</v>
      </c>
      <c r="U2056">
        <v>3</v>
      </c>
      <c r="V2056">
        <v>0</v>
      </c>
      <c r="W2056">
        <v>1653</v>
      </c>
      <c r="X2056">
        <f>NHS_AE_2024_2025[[#This Row],[A&amp;E attendances Type 1]]+
NHS_AE_2024_2025[[#This Row],[A&amp;E attendances Type 2]]+
NHS_AE_2024_2025[[#This Row],[A&amp;E attendances Other A&amp;E Department]]</f>
        <v>13740</v>
      </c>
      <c r="Y2056">
        <f t="shared" si="64"/>
        <v>4580</v>
      </c>
      <c r="Z2056">
        <f t="shared" si="65"/>
        <v>5701</v>
      </c>
    </row>
    <row r="2057" spans="1:26" x14ac:dyDescent="0.2">
      <c r="A2057" t="s">
        <v>456</v>
      </c>
      <c r="B2057" t="s">
        <v>457</v>
      </c>
      <c r="C2057" t="s">
        <v>304</v>
      </c>
      <c r="D2057" t="s">
        <v>29</v>
      </c>
      <c r="E2057" t="s">
        <v>305</v>
      </c>
      <c r="F2057">
        <v>12732</v>
      </c>
      <c r="G2057">
        <v>0</v>
      </c>
      <c r="H2057">
        <v>5002</v>
      </c>
      <c r="I2057">
        <v>0</v>
      </c>
      <c r="J2057">
        <v>0</v>
      </c>
      <c r="K2057">
        <v>0</v>
      </c>
      <c r="L2057">
        <v>5066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313</v>
      </c>
      <c r="S2057">
        <v>692</v>
      </c>
      <c r="T2057">
        <v>1333</v>
      </c>
      <c r="U2057">
        <v>0</v>
      </c>
      <c r="V2057">
        <v>0</v>
      </c>
      <c r="W2057">
        <v>95</v>
      </c>
      <c r="X2057">
        <f>NHS_AE_2024_2025[[#This Row],[A&amp;E attendances Type 1]]+
NHS_AE_2024_2025[[#This Row],[A&amp;E attendances Type 2]]+
NHS_AE_2024_2025[[#This Row],[A&amp;E attendances Other A&amp;E Department]]</f>
        <v>17734</v>
      </c>
      <c r="Y2057">
        <f t="shared" si="64"/>
        <v>5066</v>
      </c>
      <c r="Z2057">
        <f t="shared" si="65"/>
        <v>1428</v>
      </c>
    </row>
    <row r="2058" spans="1:26" x14ac:dyDescent="0.2">
      <c r="A2058" t="s">
        <v>456</v>
      </c>
      <c r="B2058" t="s">
        <v>457</v>
      </c>
      <c r="C2058" t="s">
        <v>47</v>
      </c>
      <c r="D2058" t="s">
        <v>26</v>
      </c>
      <c r="E2058" t="s">
        <v>48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7</v>
      </c>
      <c r="W2058">
        <v>61</v>
      </c>
      <c r="X2058">
        <f>NHS_AE_2024_2025[[#This Row],[A&amp;E attendances Type 1]]+
NHS_AE_2024_2025[[#This Row],[A&amp;E attendances Type 2]]+
NHS_AE_2024_2025[[#This Row],[A&amp;E attendances Other A&amp;E Department]]</f>
        <v>0</v>
      </c>
      <c r="Y2058">
        <f t="shared" si="64"/>
        <v>0</v>
      </c>
      <c r="Z2058">
        <f t="shared" si="65"/>
        <v>68</v>
      </c>
    </row>
    <row r="2059" spans="1:26" x14ac:dyDescent="0.2">
      <c r="A2059" t="s">
        <v>456</v>
      </c>
      <c r="B2059" t="s">
        <v>457</v>
      </c>
      <c r="C2059" t="s">
        <v>386</v>
      </c>
      <c r="D2059" t="s">
        <v>32</v>
      </c>
      <c r="E2059" t="s">
        <v>387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36</v>
      </c>
      <c r="X2059">
        <f>NHS_AE_2024_2025[[#This Row],[A&amp;E attendances Type 1]]+
NHS_AE_2024_2025[[#This Row],[A&amp;E attendances Type 2]]+
NHS_AE_2024_2025[[#This Row],[A&amp;E attendances Other A&amp;E Department]]</f>
        <v>0</v>
      </c>
      <c r="Y2059">
        <f t="shared" si="64"/>
        <v>0</v>
      </c>
      <c r="Z2059">
        <f t="shared" si="65"/>
        <v>36</v>
      </c>
    </row>
    <row r="2060" spans="1:26" x14ac:dyDescent="0.2">
      <c r="A2060" t="s">
        <v>456</v>
      </c>
      <c r="B2060" t="s">
        <v>457</v>
      </c>
      <c r="C2060" t="s">
        <v>160</v>
      </c>
      <c r="D2060" t="s">
        <v>32</v>
      </c>
      <c r="E2060" t="s">
        <v>161</v>
      </c>
      <c r="F2060">
        <v>9809</v>
      </c>
      <c r="G2060">
        <v>0</v>
      </c>
      <c r="H2060">
        <v>8514</v>
      </c>
      <c r="I2060">
        <v>343</v>
      </c>
      <c r="J2060">
        <v>0</v>
      </c>
      <c r="K2060">
        <v>0</v>
      </c>
      <c r="L2060">
        <v>3879</v>
      </c>
      <c r="M2060">
        <v>0</v>
      </c>
      <c r="N2060">
        <v>120</v>
      </c>
      <c r="O2060">
        <v>0</v>
      </c>
      <c r="P2060">
        <v>0</v>
      </c>
      <c r="Q2060">
        <v>0</v>
      </c>
      <c r="R2060">
        <v>1465</v>
      </c>
      <c r="S2060">
        <v>0</v>
      </c>
      <c r="T2060">
        <v>1913</v>
      </c>
      <c r="U2060">
        <v>0</v>
      </c>
      <c r="V2060">
        <v>0</v>
      </c>
      <c r="W2060">
        <v>229</v>
      </c>
      <c r="X2060">
        <f>NHS_AE_2024_2025[[#This Row],[A&amp;E attendances Type 1]]+
NHS_AE_2024_2025[[#This Row],[A&amp;E attendances Type 2]]+
NHS_AE_2024_2025[[#This Row],[A&amp;E attendances Other A&amp;E Department]]</f>
        <v>18323</v>
      </c>
      <c r="Y2060">
        <f t="shared" si="64"/>
        <v>3999</v>
      </c>
      <c r="Z2060">
        <f t="shared" si="65"/>
        <v>2142</v>
      </c>
    </row>
    <row r="2061" spans="1:26" x14ac:dyDescent="0.2">
      <c r="A2061" t="s">
        <v>456</v>
      </c>
      <c r="B2061" t="s">
        <v>457</v>
      </c>
      <c r="C2061" t="s">
        <v>162</v>
      </c>
      <c r="D2061" t="s">
        <v>29</v>
      </c>
      <c r="E2061" t="s">
        <v>163</v>
      </c>
      <c r="F2061">
        <v>0</v>
      </c>
      <c r="G2061">
        <v>5551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39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4</v>
      </c>
      <c r="V2061">
        <v>0</v>
      </c>
      <c r="W2061">
        <v>225</v>
      </c>
      <c r="X2061">
        <f>NHS_AE_2024_2025[[#This Row],[A&amp;E attendances Type 1]]+
NHS_AE_2024_2025[[#This Row],[A&amp;E attendances Type 2]]+
NHS_AE_2024_2025[[#This Row],[A&amp;E attendances Other A&amp;E Department]]</f>
        <v>5551</v>
      </c>
      <c r="Y2061">
        <f t="shared" si="64"/>
        <v>39</v>
      </c>
      <c r="Z2061">
        <f t="shared" si="65"/>
        <v>229</v>
      </c>
    </row>
    <row r="2062" spans="1:26" x14ac:dyDescent="0.2">
      <c r="A2062" t="s">
        <v>456</v>
      </c>
      <c r="B2062" t="s">
        <v>457</v>
      </c>
      <c r="C2062" t="s">
        <v>410</v>
      </c>
      <c r="D2062" t="s">
        <v>32</v>
      </c>
      <c r="E2062" t="s">
        <v>411</v>
      </c>
      <c r="F2062">
        <v>5637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1136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1122</v>
      </c>
      <c r="U2062">
        <v>0</v>
      </c>
      <c r="V2062">
        <v>0</v>
      </c>
      <c r="W2062">
        <v>157</v>
      </c>
      <c r="X2062">
        <f>NHS_AE_2024_2025[[#This Row],[A&amp;E attendances Type 1]]+
NHS_AE_2024_2025[[#This Row],[A&amp;E attendances Type 2]]+
NHS_AE_2024_2025[[#This Row],[A&amp;E attendances Other A&amp;E Department]]</f>
        <v>5637</v>
      </c>
      <c r="Y2062">
        <f t="shared" si="64"/>
        <v>1136</v>
      </c>
      <c r="Z2062">
        <f t="shared" si="65"/>
        <v>1279</v>
      </c>
    </row>
    <row r="2063" spans="1:26" x14ac:dyDescent="0.2">
      <c r="A2063" t="s">
        <v>456</v>
      </c>
      <c r="B2063" t="s">
        <v>457</v>
      </c>
      <c r="C2063" t="s">
        <v>328</v>
      </c>
      <c r="D2063" t="s">
        <v>70</v>
      </c>
      <c r="E2063" t="s">
        <v>329</v>
      </c>
      <c r="F2063">
        <v>8389</v>
      </c>
      <c r="G2063">
        <v>0</v>
      </c>
      <c r="H2063">
        <v>2053</v>
      </c>
      <c r="I2063">
        <v>0</v>
      </c>
      <c r="J2063">
        <v>0</v>
      </c>
      <c r="K2063">
        <v>520</v>
      </c>
      <c r="L2063">
        <v>4590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502</v>
      </c>
      <c r="S2063">
        <v>171</v>
      </c>
      <c r="T2063">
        <v>2311</v>
      </c>
      <c r="U2063">
        <v>0</v>
      </c>
      <c r="V2063">
        <v>0</v>
      </c>
      <c r="W2063">
        <v>398</v>
      </c>
      <c r="X2063">
        <f>NHS_AE_2024_2025[[#This Row],[A&amp;E attendances Type 1]]+
NHS_AE_2024_2025[[#This Row],[A&amp;E attendances Type 2]]+
NHS_AE_2024_2025[[#This Row],[A&amp;E attendances Other A&amp;E Department]]</f>
        <v>10442</v>
      </c>
      <c r="Y2063">
        <f t="shared" si="64"/>
        <v>4590</v>
      </c>
      <c r="Z2063">
        <f t="shared" si="65"/>
        <v>2709</v>
      </c>
    </row>
    <row r="2064" spans="1:26" x14ac:dyDescent="0.2">
      <c r="A2064" t="s">
        <v>456</v>
      </c>
      <c r="B2064" t="s">
        <v>457</v>
      </c>
      <c r="C2064" t="s">
        <v>258</v>
      </c>
      <c r="D2064" t="s">
        <v>50</v>
      </c>
      <c r="E2064" t="s">
        <v>259</v>
      </c>
      <c r="F2064">
        <v>6465</v>
      </c>
      <c r="G2064">
        <v>0</v>
      </c>
      <c r="H2064">
        <v>3343</v>
      </c>
      <c r="I2064">
        <v>18</v>
      </c>
      <c r="J2064">
        <v>0</v>
      </c>
      <c r="K2064">
        <v>2</v>
      </c>
      <c r="L2064">
        <v>3128</v>
      </c>
      <c r="M2064">
        <v>0</v>
      </c>
      <c r="N2064">
        <v>26</v>
      </c>
      <c r="O2064">
        <v>8</v>
      </c>
      <c r="P2064">
        <v>0</v>
      </c>
      <c r="Q2064">
        <v>0</v>
      </c>
      <c r="R2064">
        <v>1151</v>
      </c>
      <c r="S2064">
        <v>3</v>
      </c>
      <c r="T2064">
        <v>1648</v>
      </c>
      <c r="U2064">
        <v>0</v>
      </c>
      <c r="V2064">
        <v>0</v>
      </c>
      <c r="W2064">
        <v>59</v>
      </c>
      <c r="X2064">
        <f>NHS_AE_2024_2025[[#This Row],[A&amp;E attendances Type 1]]+
NHS_AE_2024_2025[[#This Row],[A&amp;E attendances Type 2]]+
NHS_AE_2024_2025[[#This Row],[A&amp;E attendances Other A&amp;E Department]]</f>
        <v>9808</v>
      </c>
      <c r="Y2064">
        <f t="shared" si="64"/>
        <v>3154</v>
      </c>
      <c r="Z2064">
        <f t="shared" si="65"/>
        <v>1707</v>
      </c>
    </row>
    <row r="2065" spans="1:26" x14ac:dyDescent="0.2">
      <c r="A2065" t="s">
        <v>456</v>
      </c>
      <c r="B2065" t="s">
        <v>457</v>
      </c>
      <c r="C2065" t="s">
        <v>88</v>
      </c>
      <c r="D2065" t="s">
        <v>29</v>
      </c>
      <c r="E2065" t="s">
        <v>89</v>
      </c>
      <c r="F2065">
        <v>13764</v>
      </c>
      <c r="G2065">
        <v>0</v>
      </c>
      <c r="H2065">
        <v>0</v>
      </c>
      <c r="I2065">
        <v>389</v>
      </c>
      <c r="J2065">
        <v>0</v>
      </c>
      <c r="K2065">
        <v>0</v>
      </c>
      <c r="L2065">
        <v>3880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469</v>
      </c>
      <c r="S2065">
        <v>188</v>
      </c>
      <c r="T2065">
        <v>1490</v>
      </c>
      <c r="U2065">
        <v>0</v>
      </c>
      <c r="V2065">
        <v>0</v>
      </c>
      <c r="W2065">
        <v>291</v>
      </c>
      <c r="X2065">
        <f>NHS_AE_2024_2025[[#This Row],[A&amp;E attendances Type 1]]+
NHS_AE_2024_2025[[#This Row],[A&amp;E attendances Type 2]]+
NHS_AE_2024_2025[[#This Row],[A&amp;E attendances Other A&amp;E Department]]</f>
        <v>13764</v>
      </c>
      <c r="Y2065">
        <f t="shared" si="64"/>
        <v>3880</v>
      </c>
      <c r="Z2065">
        <f t="shared" si="65"/>
        <v>1781</v>
      </c>
    </row>
    <row r="2066" spans="1:26" x14ac:dyDescent="0.2">
      <c r="A2066" t="s">
        <v>456</v>
      </c>
      <c r="B2066" t="s">
        <v>457</v>
      </c>
      <c r="C2066" t="s">
        <v>262</v>
      </c>
      <c r="D2066" t="s">
        <v>26</v>
      </c>
      <c r="E2066" t="s">
        <v>263</v>
      </c>
      <c r="F2066">
        <v>0</v>
      </c>
      <c r="G2066">
        <v>0</v>
      </c>
      <c r="H2066">
        <v>7641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41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28</v>
      </c>
      <c r="X2066">
        <f>NHS_AE_2024_2025[[#This Row],[A&amp;E attendances Type 1]]+
NHS_AE_2024_2025[[#This Row],[A&amp;E attendances Type 2]]+
NHS_AE_2024_2025[[#This Row],[A&amp;E attendances Other A&amp;E Department]]</f>
        <v>7641</v>
      </c>
      <c r="Y2066">
        <f t="shared" si="64"/>
        <v>41</v>
      </c>
      <c r="Z2066">
        <f t="shared" si="65"/>
        <v>28</v>
      </c>
    </row>
    <row r="2067" spans="1:26" x14ac:dyDescent="0.2">
      <c r="A2067" t="s">
        <v>456</v>
      </c>
      <c r="B2067" t="s">
        <v>457</v>
      </c>
      <c r="C2067" t="s">
        <v>376</v>
      </c>
      <c r="D2067" t="s">
        <v>55</v>
      </c>
      <c r="E2067" t="s">
        <v>377</v>
      </c>
      <c r="F2067">
        <v>9335</v>
      </c>
      <c r="G2067">
        <v>0</v>
      </c>
      <c r="H2067">
        <v>3143</v>
      </c>
      <c r="I2067">
        <v>180</v>
      </c>
      <c r="J2067">
        <v>0</v>
      </c>
      <c r="K2067">
        <v>755</v>
      </c>
      <c r="L2067">
        <v>2974</v>
      </c>
      <c r="M2067">
        <v>0</v>
      </c>
      <c r="N2067">
        <v>77</v>
      </c>
      <c r="O2067">
        <v>14</v>
      </c>
      <c r="P2067">
        <v>0</v>
      </c>
      <c r="Q2067">
        <v>72</v>
      </c>
      <c r="R2067">
        <v>527</v>
      </c>
      <c r="S2067">
        <v>387</v>
      </c>
      <c r="T2067">
        <v>3280</v>
      </c>
      <c r="U2067">
        <v>0</v>
      </c>
      <c r="V2067">
        <v>30</v>
      </c>
      <c r="W2067">
        <v>1010</v>
      </c>
      <c r="X2067">
        <f>NHS_AE_2024_2025[[#This Row],[A&amp;E attendances Type 1]]+
NHS_AE_2024_2025[[#This Row],[A&amp;E attendances Type 2]]+
NHS_AE_2024_2025[[#This Row],[A&amp;E attendances Other A&amp;E Department]]</f>
        <v>12478</v>
      </c>
      <c r="Y2067">
        <f t="shared" si="64"/>
        <v>3051</v>
      </c>
      <c r="Z2067">
        <f t="shared" si="65"/>
        <v>4320</v>
      </c>
    </row>
    <row r="2068" spans="1:26" x14ac:dyDescent="0.2">
      <c r="A2068" t="s">
        <v>456</v>
      </c>
      <c r="B2068" t="s">
        <v>457</v>
      </c>
      <c r="C2068" t="s">
        <v>166</v>
      </c>
      <c r="D2068" t="s">
        <v>50</v>
      </c>
      <c r="E2068" t="s">
        <v>167</v>
      </c>
      <c r="F2068">
        <v>0</v>
      </c>
      <c r="G2068">
        <v>0</v>
      </c>
      <c r="H2068">
        <v>1004</v>
      </c>
      <c r="I2068">
        <v>0</v>
      </c>
      <c r="J2068">
        <v>0</v>
      </c>
      <c r="K2068">
        <v>38</v>
      </c>
      <c r="L2068">
        <v>0</v>
      </c>
      <c r="M2068">
        <v>0</v>
      </c>
      <c r="N2068">
        <v>14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f>NHS_AE_2024_2025[[#This Row],[A&amp;E attendances Type 1]]+
NHS_AE_2024_2025[[#This Row],[A&amp;E attendances Type 2]]+
NHS_AE_2024_2025[[#This Row],[A&amp;E attendances Other A&amp;E Department]]</f>
        <v>1004</v>
      </c>
      <c r="Y2068">
        <f t="shared" si="64"/>
        <v>14</v>
      </c>
      <c r="Z2068">
        <f t="shared" si="65"/>
        <v>0</v>
      </c>
    </row>
    <row r="2069" spans="1:26" x14ac:dyDescent="0.2">
      <c r="A2069" t="s">
        <v>456</v>
      </c>
      <c r="B2069" t="s">
        <v>457</v>
      </c>
      <c r="C2069" t="s">
        <v>268</v>
      </c>
      <c r="D2069" t="s">
        <v>37</v>
      </c>
      <c r="E2069" t="s">
        <v>269</v>
      </c>
      <c r="F2069">
        <v>18434</v>
      </c>
      <c r="G2069">
        <v>0</v>
      </c>
      <c r="H2069">
        <v>2087</v>
      </c>
      <c r="I2069">
        <v>735</v>
      </c>
      <c r="J2069">
        <v>0</v>
      </c>
      <c r="K2069">
        <v>164</v>
      </c>
      <c r="L2069">
        <v>3668</v>
      </c>
      <c r="M2069">
        <v>0</v>
      </c>
      <c r="N2069">
        <v>2</v>
      </c>
      <c r="O2069">
        <v>79</v>
      </c>
      <c r="P2069">
        <v>0</v>
      </c>
      <c r="Q2069">
        <v>0</v>
      </c>
      <c r="R2069">
        <v>887</v>
      </c>
      <c r="S2069">
        <v>168</v>
      </c>
      <c r="T2069">
        <v>5145</v>
      </c>
      <c r="U2069">
        <v>0</v>
      </c>
      <c r="V2069">
        <v>0</v>
      </c>
      <c r="W2069">
        <v>953</v>
      </c>
      <c r="X2069">
        <f>NHS_AE_2024_2025[[#This Row],[A&amp;E attendances Type 1]]+
NHS_AE_2024_2025[[#This Row],[A&amp;E attendances Type 2]]+
NHS_AE_2024_2025[[#This Row],[A&amp;E attendances Other A&amp;E Department]]</f>
        <v>20521</v>
      </c>
      <c r="Y2069">
        <f t="shared" si="64"/>
        <v>3670</v>
      </c>
      <c r="Z2069">
        <f t="shared" si="65"/>
        <v>6098</v>
      </c>
    </row>
    <row r="2070" spans="1:26" x14ac:dyDescent="0.2">
      <c r="A2070" t="s">
        <v>456</v>
      </c>
      <c r="B2070" t="s">
        <v>457</v>
      </c>
      <c r="C2070" t="s">
        <v>126</v>
      </c>
      <c r="D2070" t="s">
        <v>70</v>
      </c>
      <c r="E2070" t="s">
        <v>127</v>
      </c>
      <c r="F2070">
        <v>8674</v>
      </c>
      <c r="G2070">
        <v>0</v>
      </c>
      <c r="H2070">
        <v>7607</v>
      </c>
      <c r="I2070">
        <v>0</v>
      </c>
      <c r="J2070">
        <v>0</v>
      </c>
      <c r="K2070">
        <v>826</v>
      </c>
      <c r="L2070">
        <v>3662</v>
      </c>
      <c r="M2070">
        <v>0</v>
      </c>
      <c r="N2070">
        <v>145</v>
      </c>
      <c r="O2070">
        <v>0</v>
      </c>
      <c r="P2070">
        <v>0</v>
      </c>
      <c r="Q2070">
        <v>0</v>
      </c>
      <c r="R2070">
        <v>966</v>
      </c>
      <c r="S2070">
        <v>27</v>
      </c>
      <c r="T2070">
        <v>4424</v>
      </c>
      <c r="U2070">
        <v>0</v>
      </c>
      <c r="V2070">
        <v>0</v>
      </c>
      <c r="W2070">
        <v>604</v>
      </c>
      <c r="X2070">
        <f>NHS_AE_2024_2025[[#This Row],[A&amp;E attendances Type 1]]+
NHS_AE_2024_2025[[#This Row],[A&amp;E attendances Type 2]]+
NHS_AE_2024_2025[[#This Row],[A&amp;E attendances Other A&amp;E Department]]</f>
        <v>16281</v>
      </c>
      <c r="Y2070">
        <f t="shared" si="64"/>
        <v>3807</v>
      </c>
      <c r="Z2070">
        <f t="shared" si="65"/>
        <v>5028</v>
      </c>
    </row>
    <row r="2071" spans="1:26" x14ac:dyDescent="0.2">
      <c r="A2071" t="s">
        <v>456</v>
      </c>
      <c r="B2071" t="s">
        <v>457</v>
      </c>
      <c r="C2071" t="s">
        <v>168</v>
      </c>
      <c r="D2071" t="s">
        <v>32</v>
      </c>
      <c r="E2071" t="s">
        <v>169</v>
      </c>
      <c r="F2071">
        <v>13269</v>
      </c>
      <c r="G2071">
        <v>0</v>
      </c>
      <c r="H2071">
        <v>5778</v>
      </c>
      <c r="I2071">
        <v>228</v>
      </c>
      <c r="J2071">
        <v>0</v>
      </c>
      <c r="K2071">
        <v>10</v>
      </c>
      <c r="L2071">
        <v>6573</v>
      </c>
      <c r="M2071">
        <v>0</v>
      </c>
      <c r="N2071">
        <v>72</v>
      </c>
      <c r="O2071">
        <v>89</v>
      </c>
      <c r="P2071">
        <v>0</v>
      </c>
      <c r="Q2071">
        <v>0</v>
      </c>
      <c r="R2071">
        <v>786</v>
      </c>
      <c r="S2071">
        <v>487</v>
      </c>
      <c r="T2071">
        <v>3335</v>
      </c>
      <c r="U2071">
        <v>0</v>
      </c>
      <c r="V2071">
        <v>0</v>
      </c>
      <c r="W2071">
        <v>943</v>
      </c>
      <c r="X2071">
        <f>NHS_AE_2024_2025[[#This Row],[A&amp;E attendances Type 1]]+
NHS_AE_2024_2025[[#This Row],[A&amp;E attendances Type 2]]+
NHS_AE_2024_2025[[#This Row],[A&amp;E attendances Other A&amp;E Department]]</f>
        <v>19047</v>
      </c>
      <c r="Y2071">
        <f t="shared" si="64"/>
        <v>6645</v>
      </c>
      <c r="Z2071">
        <f t="shared" si="65"/>
        <v>4278</v>
      </c>
    </row>
    <row r="2072" spans="1:26" x14ac:dyDescent="0.2">
      <c r="A2072" t="s">
        <v>456</v>
      </c>
      <c r="B2072" t="s">
        <v>457</v>
      </c>
      <c r="C2072" t="s">
        <v>272</v>
      </c>
      <c r="D2072" t="s">
        <v>32</v>
      </c>
      <c r="E2072" t="s">
        <v>273</v>
      </c>
      <c r="F2072">
        <v>10608</v>
      </c>
      <c r="G2072">
        <v>0</v>
      </c>
      <c r="H2072">
        <v>2459</v>
      </c>
      <c r="I2072">
        <v>0</v>
      </c>
      <c r="J2072">
        <v>0</v>
      </c>
      <c r="K2072">
        <v>0</v>
      </c>
      <c r="L2072">
        <v>6001</v>
      </c>
      <c r="M2072">
        <v>0</v>
      </c>
      <c r="N2072">
        <v>244</v>
      </c>
      <c r="O2072">
        <v>0</v>
      </c>
      <c r="P2072">
        <v>0</v>
      </c>
      <c r="Q2072">
        <v>0</v>
      </c>
      <c r="R2072">
        <v>461</v>
      </c>
      <c r="S2072">
        <v>1060</v>
      </c>
      <c r="T2072">
        <v>3261</v>
      </c>
      <c r="U2072">
        <v>0</v>
      </c>
      <c r="V2072">
        <v>208</v>
      </c>
      <c r="W2072">
        <v>2262</v>
      </c>
      <c r="X2072">
        <f>NHS_AE_2024_2025[[#This Row],[A&amp;E attendances Type 1]]+
NHS_AE_2024_2025[[#This Row],[A&amp;E attendances Type 2]]+
NHS_AE_2024_2025[[#This Row],[A&amp;E attendances Other A&amp;E Department]]</f>
        <v>13067</v>
      </c>
      <c r="Y2072">
        <f t="shared" si="64"/>
        <v>6245</v>
      </c>
      <c r="Z2072">
        <f t="shared" si="65"/>
        <v>5731</v>
      </c>
    </row>
    <row r="2073" spans="1:26" x14ac:dyDescent="0.2">
      <c r="A2073" t="s">
        <v>456</v>
      </c>
      <c r="B2073" t="s">
        <v>457</v>
      </c>
      <c r="C2073" t="s">
        <v>65</v>
      </c>
      <c r="D2073" t="s">
        <v>32</v>
      </c>
      <c r="E2073" t="s">
        <v>66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2637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f>NHS_AE_2024_2025[[#This Row],[A&amp;E attendances Type 1]]+
NHS_AE_2024_2025[[#This Row],[A&amp;E attendances Type 2]]+
NHS_AE_2024_2025[[#This Row],[A&amp;E attendances Other A&amp;E Department]]</f>
        <v>0</v>
      </c>
      <c r="Y2073">
        <f t="shared" si="64"/>
        <v>0</v>
      </c>
      <c r="Z2073">
        <f t="shared" si="65"/>
        <v>0</v>
      </c>
    </row>
    <row r="2074" spans="1:26" x14ac:dyDescent="0.2">
      <c r="A2074" t="s">
        <v>456</v>
      </c>
      <c r="B2074" t="s">
        <v>457</v>
      </c>
      <c r="C2074" t="s">
        <v>360</v>
      </c>
      <c r="D2074" t="s">
        <v>50</v>
      </c>
      <c r="E2074" t="s">
        <v>361</v>
      </c>
      <c r="F2074">
        <v>0</v>
      </c>
      <c r="G2074">
        <v>0</v>
      </c>
      <c r="H2074">
        <v>2162</v>
      </c>
      <c r="I2074">
        <v>0</v>
      </c>
      <c r="J2074">
        <v>0</v>
      </c>
      <c r="K2074">
        <v>297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f>NHS_AE_2024_2025[[#This Row],[A&amp;E attendances Type 1]]+
NHS_AE_2024_2025[[#This Row],[A&amp;E attendances Type 2]]+
NHS_AE_2024_2025[[#This Row],[A&amp;E attendances Other A&amp;E Department]]</f>
        <v>2162</v>
      </c>
      <c r="Y2074">
        <f t="shared" si="64"/>
        <v>0</v>
      </c>
      <c r="Z2074">
        <f t="shared" si="65"/>
        <v>0</v>
      </c>
    </row>
    <row r="2075" spans="1:26" x14ac:dyDescent="0.2">
      <c r="A2075" t="s">
        <v>456</v>
      </c>
      <c r="B2075" t="s">
        <v>457</v>
      </c>
      <c r="C2075" t="s">
        <v>280</v>
      </c>
      <c r="D2075" t="s">
        <v>50</v>
      </c>
      <c r="E2075" t="s">
        <v>281</v>
      </c>
      <c r="F2075">
        <v>0</v>
      </c>
      <c r="G2075">
        <v>0</v>
      </c>
      <c r="H2075">
        <v>3742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219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f>NHS_AE_2024_2025[[#This Row],[A&amp;E attendances Type 1]]+
NHS_AE_2024_2025[[#This Row],[A&amp;E attendances Type 2]]+
NHS_AE_2024_2025[[#This Row],[A&amp;E attendances Other A&amp;E Department]]</f>
        <v>3742</v>
      </c>
      <c r="Y2075">
        <f t="shared" si="64"/>
        <v>219</v>
      </c>
      <c r="Z2075">
        <f t="shared" si="65"/>
        <v>0</v>
      </c>
    </row>
    <row r="2076" spans="1:26" x14ac:dyDescent="0.2">
      <c r="A2076" t="s">
        <v>456</v>
      </c>
      <c r="B2076" t="s">
        <v>457</v>
      </c>
      <c r="C2076" t="s">
        <v>429</v>
      </c>
      <c r="D2076" t="s">
        <v>50</v>
      </c>
      <c r="E2076" t="s">
        <v>430</v>
      </c>
      <c r="F2076">
        <v>0</v>
      </c>
      <c r="G2076">
        <v>0</v>
      </c>
      <c r="H2076">
        <v>1507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8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f>NHS_AE_2024_2025[[#This Row],[A&amp;E attendances Type 1]]+
NHS_AE_2024_2025[[#This Row],[A&amp;E attendances Type 2]]+
NHS_AE_2024_2025[[#This Row],[A&amp;E attendances Other A&amp;E Department]]</f>
        <v>1507</v>
      </c>
      <c r="Y2076">
        <f t="shared" si="64"/>
        <v>8</v>
      </c>
      <c r="Z2076">
        <f t="shared" si="65"/>
        <v>0</v>
      </c>
    </row>
    <row r="2077" spans="1:26" x14ac:dyDescent="0.2">
      <c r="A2077" t="s">
        <v>456</v>
      </c>
      <c r="B2077" t="s">
        <v>457</v>
      </c>
      <c r="C2077" t="s">
        <v>282</v>
      </c>
      <c r="D2077" t="s">
        <v>50</v>
      </c>
      <c r="E2077" t="s">
        <v>283</v>
      </c>
      <c r="F2077">
        <v>0</v>
      </c>
      <c r="G2077">
        <v>0</v>
      </c>
      <c r="H2077">
        <v>2749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129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f>NHS_AE_2024_2025[[#This Row],[A&amp;E attendances Type 1]]+
NHS_AE_2024_2025[[#This Row],[A&amp;E attendances Type 2]]+
NHS_AE_2024_2025[[#This Row],[A&amp;E attendances Other A&amp;E Department]]</f>
        <v>2749</v>
      </c>
      <c r="Y2077">
        <f t="shared" si="64"/>
        <v>129</v>
      </c>
      <c r="Z2077">
        <f t="shared" si="65"/>
        <v>0</v>
      </c>
    </row>
    <row r="2078" spans="1:26" x14ac:dyDescent="0.2">
      <c r="A2078" t="s">
        <v>456</v>
      </c>
      <c r="B2078" t="s">
        <v>457</v>
      </c>
      <c r="C2078" t="s">
        <v>284</v>
      </c>
      <c r="D2078" t="s">
        <v>50</v>
      </c>
      <c r="E2078" t="s">
        <v>285</v>
      </c>
      <c r="F2078">
        <v>0</v>
      </c>
      <c r="G2078">
        <v>0</v>
      </c>
      <c r="H2078">
        <v>1612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13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f>NHS_AE_2024_2025[[#This Row],[A&amp;E attendances Type 1]]+
NHS_AE_2024_2025[[#This Row],[A&amp;E attendances Type 2]]+
NHS_AE_2024_2025[[#This Row],[A&amp;E attendances Other A&amp;E Department]]</f>
        <v>1612</v>
      </c>
      <c r="Y2078">
        <f t="shared" si="64"/>
        <v>13</v>
      </c>
      <c r="Z2078">
        <f t="shared" si="65"/>
        <v>0</v>
      </c>
    </row>
    <row r="2079" spans="1:26" x14ac:dyDescent="0.2">
      <c r="A2079" t="s">
        <v>456</v>
      </c>
      <c r="B2079" t="s">
        <v>457</v>
      </c>
      <c r="C2079" t="s">
        <v>100</v>
      </c>
      <c r="D2079" t="s">
        <v>37</v>
      </c>
      <c r="E2079" t="s">
        <v>101</v>
      </c>
      <c r="F2079">
        <v>0</v>
      </c>
      <c r="G2079">
        <v>0</v>
      </c>
      <c r="H2079">
        <v>5533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126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f>NHS_AE_2024_2025[[#This Row],[A&amp;E attendances Type 1]]+
NHS_AE_2024_2025[[#This Row],[A&amp;E attendances Type 2]]+
NHS_AE_2024_2025[[#This Row],[A&amp;E attendances Other A&amp;E Department]]</f>
        <v>5533</v>
      </c>
      <c r="Y2079">
        <f t="shared" si="64"/>
        <v>126</v>
      </c>
      <c r="Z2079">
        <f t="shared" si="65"/>
        <v>0</v>
      </c>
    </row>
    <row r="2080" spans="1:26" x14ac:dyDescent="0.2">
      <c r="A2080" t="s">
        <v>456</v>
      </c>
      <c r="B2080" t="s">
        <v>457</v>
      </c>
      <c r="C2080" t="s">
        <v>120</v>
      </c>
      <c r="D2080" t="s">
        <v>50</v>
      </c>
      <c r="E2080" t="s">
        <v>121</v>
      </c>
      <c r="F2080">
        <v>12481</v>
      </c>
      <c r="G2080">
        <v>1230</v>
      </c>
      <c r="H2080">
        <v>6020</v>
      </c>
      <c r="I2080">
        <v>553</v>
      </c>
      <c r="J2080">
        <v>0</v>
      </c>
      <c r="K2080">
        <v>1411</v>
      </c>
      <c r="L2080">
        <v>5966</v>
      </c>
      <c r="M2080">
        <v>44</v>
      </c>
      <c r="N2080">
        <v>284</v>
      </c>
      <c r="O2080">
        <v>274</v>
      </c>
      <c r="P2080">
        <v>0</v>
      </c>
      <c r="Q2080">
        <v>59</v>
      </c>
      <c r="R2080">
        <v>925</v>
      </c>
      <c r="S2080">
        <v>2</v>
      </c>
      <c r="T2080">
        <v>4875</v>
      </c>
      <c r="U2080">
        <v>11</v>
      </c>
      <c r="V2080">
        <v>0</v>
      </c>
      <c r="W2080">
        <v>1509</v>
      </c>
      <c r="X2080">
        <f>NHS_AE_2024_2025[[#This Row],[A&amp;E attendances Type 1]]+
NHS_AE_2024_2025[[#This Row],[A&amp;E attendances Type 2]]+
NHS_AE_2024_2025[[#This Row],[A&amp;E attendances Other A&amp;E Department]]</f>
        <v>19731</v>
      </c>
      <c r="Y2080">
        <f t="shared" si="64"/>
        <v>6294</v>
      </c>
      <c r="Z2080">
        <f t="shared" si="65"/>
        <v>6395</v>
      </c>
    </row>
    <row r="2081" spans="1:26" x14ac:dyDescent="0.2">
      <c r="A2081" t="s">
        <v>456</v>
      </c>
      <c r="B2081" t="s">
        <v>457</v>
      </c>
      <c r="C2081" t="s">
        <v>186</v>
      </c>
      <c r="D2081" t="s">
        <v>26</v>
      </c>
      <c r="E2081" t="s">
        <v>187</v>
      </c>
      <c r="F2081">
        <v>13526</v>
      </c>
      <c r="G2081">
        <v>0</v>
      </c>
      <c r="H2081">
        <v>4825</v>
      </c>
      <c r="I2081">
        <v>0</v>
      </c>
      <c r="J2081">
        <v>0</v>
      </c>
      <c r="K2081">
        <v>0</v>
      </c>
      <c r="L2081">
        <v>5454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898</v>
      </c>
      <c r="S2081">
        <v>214</v>
      </c>
      <c r="T2081">
        <v>4188</v>
      </c>
      <c r="U2081">
        <v>4</v>
      </c>
      <c r="V2081">
        <v>0</v>
      </c>
      <c r="W2081">
        <v>2535</v>
      </c>
      <c r="X2081">
        <f>NHS_AE_2024_2025[[#This Row],[A&amp;E attendances Type 1]]+
NHS_AE_2024_2025[[#This Row],[A&amp;E attendances Type 2]]+
NHS_AE_2024_2025[[#This Row],[A&amp;E attendances Other A&amp;E Department]]</f>
        <v>18351</v>
      </c>
      <c r="Y2081">
        <f t="shared" si="64"/>
        <v>5454</v>
      </c>
      <c r="Z2081">
        <f t="shared" si="65"/>
        <v>6727</v>
      </c>
    </row>
    <row r="2082" spans="1:26" x14ac:dyDescent="0.2">
      <c r="A2082" t="s">
        <v>456</v>
      </c>
      <c r="B2082" t="s">
        <v>457</v>
      </c>
      <c r="C2082" t="s">
        <v>288</v>
      </c>
      <c r="D2082" t="s">
        <v>29</v>
      </c>
      <c r="E2082" t="s">
        <v>289</v>
      </c>
      <c r="F2082">
        <v>13495</v>
      </c>
      <c r="G2082">
        <v>0</v>
      </c>
      <c r="H2082">
        <v>14954</v>
      </c>
      <c r="I2082">
        <v>0</v>
      </c>
      <c r="J2082">
        <v>0</v>
      </c>
      <c r="K2082">
        <v>0</v>
      </c>
      <c r="L2082">
        <v>7150</v>
      </c>
      <c r="M2082">
        <v>0</v>
      </c>
      <c r="N2082">
        <v>100</v>
      </c>
      <c r="O2082">
        <v>0</v>
      </c>
      <c r="P2082">
        <v>0</v>
      </c>
      <c r="Q2082">
        <v>0</v>
      </c>
      <c r="R2082">
        <v>691</v>
      </c>
      <c r="S2082">
        <v>674</v>
      </c>
      <c r="T2082">
        <v>6502</v>
      </c>
      <c r="U2082">
        <v>0</v>
      </c>
      <c r="V2082">
        <v>0</v>
      </c>
      <c r="W2082">
        <v>293</v>
      </c>
      <c r="X2082">
        <f>NHS_AE_2024_2025[[#This Row],[A&amp;E attendances Type 1]]+
NHS_AE_2024_2025[[#This Row],[A&amp;E attendances Type 2]]+
NHS_AE_2024_2025[[#This Row],[A&amp;E attendances Other A&amp;E Department]]</f>
        <v>28449</v>
      </c>
      <c r="Y2082">
        <f t="shared" si="64"/>
        <v>7250</v>
      </c>
      <c r="Z2082">
        <f t="shared" si="65"/>
        <v>6795</v>
      </c>
    </row>
    <row r="2083" spans="1:26" x14ac:dyDescent="0.2">
      <c r="A2083" t="s">
        <v>456</v>
      </c>
      <c r="B2083" t="s">
        <v>457</v>
      </c>
      <c r="C2083" t="s">
        <v>190</v>
      </c>
      <c r="D2083" t="s">
        <v>50</v>
      </c>
      <c r="E2083" t="s">
        <v>191</v>
      </c>
      <c r="F2083">
        <v>9611</v>
      </c>
      <c r="G2083">
        <v>1056</v>
      </c>
      <c r="H2083">
        <v>3218</v>
      </c>
      <c r="I2083">
        <v>0</v>
      </c>
      <c r="J2083">
        <v>0</v>
      </c>
      <c r="K2083">
        <v>0</v>
      </c>
      <c r="L2083">
        <v>2598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754</v>
      </c>
      <c r="S2083">
        <v>62</v>
      </c>
      <c r="T2083">
        <v>2692</v>
      </c>
      <c r="U2083">
        <v>0</v>
      </c>
      <c r="V2083">
        <v>39</v>
      </c>
      <c r="W2083">
        <v>1456</v>
      </c>
      <c r="X2083">
        <f>NHS_AE_2024_2025[[#This Row],[A&amp;E attendances Type 1]]+
NHS_AE_2024_2025[[#This Row],[A&amp;E attendances Type 2]]+
NHS_AE_2024_2025[[#This Row],[A&amp;E attendances Other A&amp;E Department]]</f>
        <v>13885</v>
      </c>
      <c r="Y2083">
        <f t="shared" si="64"/>
        <v>2598</v>
      </c>
      <c r="Z2083">
        <f t="shared" si="65"/>
        <v>4187</v>
      </c>
    </row>
    <row r="2084" spans="1:26" x14ac:dyDescent="0.2">
      <c r="A2084" t="s">
        <v>456</v>
      </c>
      <c r="B2084" t="s">
        <v>457</v>
      </c>
      <c r="C2084" t="s">
        <v>228</v>
      </c>
      <c r="D2084" t="s">
        <v>70</v>
      </c>
      <c r="E2084" t="s">
        <v>229</v>
      </c>
      <c r="F2084">
        <v>31183</v>
      </c>
      <c r="G2084">
        <v>0</v>
      </c>
      <c r="H2084">
        <v>5670</v>
      </c>
      <c r="I2084">
        <v>4</v>
      </c>
      <c r="J2084">
        <v>0</v>
      </c>
      <c r="K2084">
        <v>1</v>
      </c>
      <c r="L2084">
        <v>10649</v>
      </c>
      <c r="M2084">
        <v>0</v>
      </c>
      <c r="N2084">
        <v>274</v>
      </c>
      <c r="O2084">
        <v>3</v>
      </c>
      <c r="P2084">
        <v>0</v>
      </c>
      <c r="Q2084">
        <v>0</v>
      </c>
      <c r="R2084">
        <v>3190</v>
      </c>
      <c r="S2084">
        <v>40</v>
      </c>
      <c r="T2084">
        <v>9034</v>
      </c>
      <c r="U2084">
        <v>0</v>
      </c>
      <c r="V2084">
        <v>228</v>
      </c>
      <c r="W2084">
        <v>1274</v>
      </c>
      <c r="X2084">
        <f>NHS_AE_2024_2025[[#This Row],[A&amp;E attendances Type 1]]+
NHS_AE_2024_2025[[#This Row],[A&amp;E attendances Type 2]]+
NHS_AE_2024_2025[[#This Row],[A&amp;E attendances Other A&amp;E Department]]</f>
        <v>36853</v>
      </c>
      <c r="Y2084">
        <f t="shared" si="64"/>
        <v>10923</v>
      </c>
      <c r="Z2084">
        <f t="shared" si="65"/>
        <v>10536</v>
      </c>
    </row>
    <row r="2085" spans="1:26" x14ac:dyDescent="0.2">
      <c r="A2085" t="s">
        <v>456</v>
      </c>
      <c r="B2085" t="s">
        <v>457</v>
      </c>
      <c r="C2085" t="s">
        <v>396</v>
      </c>
      <c r="D2085" t="s">
        <v>29</v>
      </c>
      <c r="E2085" t="s">
        <v>397</v>
      </c>
      <c r="F2085">
        <v>6235</v>
      </c>
      <c r="G2085">
        <v>0</v>
      </c>
      <c r="H2085">
        <v>6588</v>
      </c>
      <c r="I2085">
        <v>0</v>
      </c>
      <c r="J2085">
        <v>0</v>
      </c>
      <c r="K2085">
        <v>0</v>
      </c>
      <c r="L2085">
        <v>3739</v>
      </c>
      <c r="M2085">
        <v>0</v>
      </c>
      <c r="N2085">
        <v>63</v>
      </c>
      <c r="O2085">
        <v>0</v>
      </c>
      <c r="P2085">
        <v>0</v>
      </c>
      <c r="Q2085">
        <v>0</v>
      </c>
      <c r="R2085">
        <v>468</v>
      </c>
      <c r="S2085">
        <v>13</v>
      </c>
      <c r="T2085">
        <v>2080</v>
      </c>
      <c r="U2085">
        <v>0</v>
      </c>
      <c r="V2085">
        <v>0</v>
      </c>
      <c r="W2085">
        <v>100</v>
      </c>
      <c r="X2085">
        <f>NHS_AE_2024_2025[[#This Row],[A&amp;E attendances Type 1]]+
NHS_AE_2024_2025[[#This Row],[A&amp;E attendances Type 2]]+
NHS_AE_2024_2025[[#This Row],[A&amp;E attendances Other A&amp;E Department]]</f>
        <v>12823</v>
      </c>
      <c r="Y2085">
        <f t="shared" si="64"/>
        <v>3802</v>
      </c>
      <c r="Z2085">
        <f t="shared" si="65"/>
        <v>2180</v>
      </c>
    </row>
    <row r="2086" spans="1:26" x14ac:dyDescent="0.2">
      <c r="A2086" t="s">
        <v>456</v>
      </c>
      <c r="B2086" t="s">
        <v>457</v>
      </c>
      <c r="C2086" t="s">
        <v>236</v>
      </c>
      <c r="D2086" t="s">
        <v>32</v>
      </c>
      <c r="E2086" t="s">
        <v>237</v>
      </c>
      <c r="F2086">
        <v>10098</v>
      </c>
      <c r="G2086">
        <v>0</v>
      </c>
      <c r="H2086">
        <v>4486</v>
      </c>
      <c r="I2086">
        <v>23</v>
      </c>
      <c r="J2086">
        <v>0</v>
      </c>
      <c r="K2086">
        <v>151</v>
      </c>
      <c r="L2086">
        <v>3507</v>
      </c>
      <c r="M2086">
        <v>0</v>
      </c>
      <c r="N2086">
        <v>285</v>
      </c>
      <c r="O2086">
        <v>7</v>
      </c>
      <c r="P2086">
        <v>0</v>
      </c>
      <c r="Q2086">
        <v>0</v>
      </c>
      <c r="R2086">
        <v>1168</v>
      </c>
      <c r="S2086">
        <v>100</v>
      </c>
      <c r="T2086">
        <v>4238</v>
      </c>
      <c r="U2086">
        <v>0</v>
      </c>
      <c r="V2086">
        <v>0</v>
      </c>
      <c r="W2086">
        <v>737</v>
      </c>
      <c r="X2086">
        <f>NHS_AE_2024_2025[[#This Row],[A&amp;E attendances Type 1]]+
NHS_AE_2024_2025[[#This Row],[A&amp;E attendances Type 2]]+
NHS_AE_2024_2025[[#This Row],[A&amp;E attendances Other A&amp;E Department]]</f>
        <v>14584</v>
      </c>
      <c r="Y2086">
        <f t="shared" si="64"/>
        <v>3792</v>
      </c>
      <c r="Z2086">
        <f t="shared" si="65"/>
        <v>4975</v>
      </c>
    </row>
    <row r="2087" spans="1:26" x14ac:dyDescent="0.2">
      <c r="A2087" t="s">
        <v>456</v>
      </c>
      <c r="B2087" t="s">
        <v>457</v>
      </c>
      <c r="C2087" t="s">
        <v>380</v>
      </c>
      <c r="D2087" t="s">
        <v>55</v>
      </c>
      <c r="E2087" t="s">
        <v>381</v>
      </c>
      <c r="F2087">
        <v>17574</v>
      </c>
      <c r="G2087">
        <v>0</v>
      </c>
      <c r="H2087">
        <v>7443</v>
      </c>
      <c r="I2087">
        <v>449</v>
      </c>
      <c r="J2087">
        <v>0</v>
      </c>
      <c r="K2087">
        <v>0</v>
      </c>
      <c r="L2087">
        <v>6758</v>
      </c>
      <c r="M2087">
        <v>0</v>
      </c>
      <c r="N2087">
        <v>147</v>
      </c>
      <c r="O2087">
        <v>78</v>
      </c>
      <c r="P2087">
        <v>0</v>
      </c>
      <c r="Q2087">
        <v>0</v>
      </c>
      <c r="R2087">
        <v>610</v>
      </c>
      <c r="S2087">
        <v>393</v>
      </c>
      <c r="T2087">
        <v>7520</v>
      </c>
      <c r="U2087">
        <v>0</v>
      </c>
      <c r="V2087">
        <v>7</v>
      </c>
      <c r="W2087">
        <v>720</v>
      </c>
      <c r="X2087">
        <f>NHS_AE_2024_2025[[#This Row],[A&amp;E attendances Type 1]]+
NHS_AE_2024_2025[[#This Row],[A&amp;E attendances Type 2]]+
NHS_AE_2024_2025[[#This Row],[A&amp;E attendances Other A&amp;E Department]]</f>
        <v>25017</v>
      </c>
      <c r="Y2087">
        <f t="shared" si="64"/>
        <v>6905</v>
      </c>
      <c r="Z2087">
        <f t="shared" si="65"/>
        <v>8247</v>
      </c>
    </row>
    <row r="2088" spans="1:26" x14ac:dyDescent="0.2">
      <c r="A2088" t="s">
        <v>456</v>
      </c>
      <c r="B2088" t="s">
        <v>457</v>
      </c>
      <c r="C2088" t="s">
        <v>192</v>
      </c>
      <c r="D2088" t="s">
        <v>55</v>
      </c>
      <c r="E2088" t="s">
        <v>193</v>
      </c>
      <c r="F2088">
        <v>5891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1058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951</v>
      </c>
      <c r="U2088">
        <v>0</v>
      </c>
      <c r="V2088">
        <v>0</v>
      </c>
      <c r="W2088">
        <v>336</v>
      </c>
      <c r="X2088">
        <f>NHS_AE_2024_2025[[#This Row],[A&amp;E attendances Type 1]]+
NHS_AE_2024_2025[[#This Row],[A&amp;E attendances Type 2]]+
NHS_AE_2024_2025[[#This Row],[A&amp;E attendances Other A&amp;E Department]]</f>
        <v>5891</v>
      </c>
      <c r="Y2088">
        <f t="shared" si="64"/>
        <v>1058</v>
      </c>
      <c r="Z2088">
        <f t="shared" si="65"/>
        <v>1287</v>
      </c>
    </row>
    <row r="2089" spans="1:26" x14ac:dyDescent="0.2">
      <c r="A2089" t="s">
        <v>456</v>
      </c>
      <c r="B2089" t="s">
        <v>457</v>
      </c>
      <c r="C2089" t="s">
        <v>238</v>
      </c>
      <c r="D2089" t="s">
        <v>50</v>
      </c>
      <c r="E2089" t="s">
        <v>239</v>
      </c>
      <c r="F2089">
        <v>11390</v>
      </c>
      <c r="G2089">
        <v>397</v>
      </c>
      <c r="H2089">
        <v>6558</v>
      </c>
      <c r="I2089">
        <v>0</v>
      </c>
      <c r="J2089">
        <v>0</v>
      </c>
      <c r="K2089">
        <v>0</v>
      </c>
      <c r="L2089">
        <v>6641</v>
      </c>
      <c r="M2089">
        <v>0</v>
      </c>
      <c r="N2089">
        <v>240</v>
      </c>
      <c r="O2089">
        <v>0</v>
      </c>
      <c r="P2089">
        <v>0</v>
      </c>
      <c r="Q2089">
        <v>0</v>
      </c>
      <c r="R2089">
        <v>969</v>
      </c>
      <c r="S2089">
        <v>785</v>
      </c>
      <c r="T2089">
        <v>4848</v>
      </c>
      <c r="U2089">
        <v>0</v>
      </c>
      <c r="V2089">
        <v>0</v>
      </c>
      <c r="W2089">
        <v>1624</v>
      </c>
      <c r="X2089">
        <f>NHS_AE_2024_2025[[#This Row],[A&amp;E attendances Type 1]]+
NHS_AE_2024_2025[[#This Row],[A&amp;E attendances Type 2]]+
NHS_AE_2024_2025[[#This Row],[A&amp;E attendances Other A&amp;E Department]]</f>
        <v>18345</v>
      </c>
      <c r="Y2089">
        <f t="shared" si="64"/>
        <v>6881</v>
      </c>
      <c r="Z2089">
        <f t="shared" si="65"/>
        <v>6472</v>
      </c>
    </row>
    <row r="2090" spans="1:26" x14ac:dyDescent="0.2">
      <c r="A2090" t="s">
        <v>456</v>
      </c>
      <c r="B2090" t="s">
        <v>457</v>
      </c>
      <c r="C2090" t="s">
        <v>240</v>
      </c>
      <c r="D2090" t="s">
        <v>50</v>
      </c>
      <c r="E2090" t="s">
        <v>241</v>
      </c>
      <c r="F2090">
        <v>6010</v>
      </c>
      <c r="G2090">
        <v>243</v>
      </c>
      <c r="H2090">
        <v>0</v>
      </c>
      <c r="I2090">
        <v>439</v>
      </c>
      <c r="J2090">
        <v>0</v>
      </c>
      <c r="K2090">
        <v>0</v>
      </c>
      <c r="L2090">
        <v>2557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509</v>
      </c>
      <c r="S2090">
        <v>212</v>
      </c>
      <c r="T2090">
        <v>1591</v>
      </c>
      <c r="U2090">
        <v>0</v>
      </c>
      <c r="V2090">
        <v>0</v>
      </c>
      <c r="W2090">
        <v>543</v>
      </c>
      <c r="X2090">
        <f>NHS_AE_2024_2025[[#This Row],[A&amp;E attendances Type 1]]+
NHS_AE_2024_2025[[#This Row],[A&amp;E attendances Type 2]]+
NHS_AE_2024_2025[[#This Row],[A&amp;E attendances Other A&amp;E Department]]</f>
        <v>6253</v>
      </c>
      <c r="Y2090">
        <f t="shared" si="64"/>
        <v>2557</v>
      </c>
      <c r="Z2090">
        <f t="shared" si="65"/>
        <v>2134</v>
      </c>
    </row>
    <row r="2091" spans="1:26" x14ac:dyDescent="0.2">
      <c r="A2091" t="s">
        <v>456</v>
      </c>
      <c r="B2091" t="s">
        <v>457</v>
      </c>
      <c r="C2091" t="s">
        <v>194</v>
      </c>
      <c r="D2091" t="s">
        <v>50</v>
      </c>
      <c r="E2091" t="s">
        <v>195</v>
      </c>
      <c r="F2091">
        <v>4852</v>
      </c>
      <c r="G2091">
        <v>0</v>
      </c>
      <c r="H2091">
        <v>334</v>
      </c>
      <c r="I2091">
        <v>353</v>
      </c>
      <c r="J2091">
        <v>0</v>
      </c>
      <c r="K2091">
        <v>34</v>
      </c>
      <c r="L2091">
        <v>420</v>
      </c>
      <c r="M2091">
        <v>0</v>
      </c>
      <c r="N2091">
        <v>0</v>
      </c>
      <c r="O2091">
        <v>31</v>
      </c>
      <c r="P2091">
        <v>0</v>
      </c>
      <c r="Q2091">
        <v>0</v>
      </c>
      <c r="R2091">
        <v>7</v>
      </c>
      <c r="S2091">
        <v>0</v>
      </c>
      <c r="T2091">
        <v>1148</v>
      </c>
      <c r="U2091">
        <v>0</v>
      </c>
      <c r="V2091">
        <v>0</v>
      </c>
      <c r="W2091">
        <v>143</v>
      </c>
      <c r="X2091">
        <f>NHS_AE_2024_2025[[#This Row],[A&amp;E attendances Type 1]]+
NHS_AE_2024_2025[[#This Row],[A&amp;E attendances Type 2]]+
NHS_AE_2024_2025[[#This Row],[A&amp;E attendances Other A&amp;E Department]]</f>
        <v>5186</v>
      </c>
      <c r="Y2091">
        <f t="shared" si="64"/>
        <v>420</v>
      </c>
      <c r="Z2091">
        <f t="shared" si="65"/>
        <v>1291</v>
      </c>
    </row>
    <row r="2092" spans="1:26" x14ac:dyDescent="0.2">
      <c r="A2092" t="s">
        <v>456</v>
      </c>
      <c r="B2092" t="s">
        <v>457</v>
      </c>
      <c r="C2092" t="s">
        <v>242</v>
      </c>
      <c r="D2092" t="s">
        <v>70</v>
      </c>
      <c r="E2092" t="s">
        <v>243</v>
      </c>
      <c r="F2092">
        <v>8699</v>
      </c>
      <c r="G2092">
        <v>0</v>
      </c>
      <c r="H2092">
        <v>5036</v>
      </c>
      <c r="I2092">
        <v>532</v>
      </c>
      <c r="J2092">
        <v>0</v>
      </c>
      <c r="K2092">
        <v>179</v>
      </c>
      <c r="L2092">
        <v>3453</v>
      </c>
      <c r="M2092">
        <v>0</v>
      </c>
      <c r="N2092">
        <v>127</v>
      </c>
      <c r="O2092">
        <v>202</v>
      </c>
      <c r="P2092">
        <v>0</v>
      </c>
      <c r="Q2092">
        <v>0</v>
      </c>
      <c r="R2092">
        <v>758</v>
      </c>
      <c r="S2092">
        <v>0</v>
      </c>
      <c r="T2092">
        <v>2139</v>
      </c>
      <c r="U2092">
        <v>0</v>
      </c>
      <c r="V2092">
        <v>0</v>
      </c>
      <c r="W2092">
        <v>469</v>
      </c>
      <c r="X2092">
        <f>NHS_AE_2024_2025[[#This Row],[A&amp;E attendances Type 1]]+
NHS_AE_2024_2025[[#This Row],[A&amp;E attendances Type 2]]+
NHS_AE_2024_2025[[#This Row],[A&amp;E attendances Other A&amp;E Department]]</f>
        <v>13735</v>
      </c>
      <c r="Y2092">
        <f t="shared" si="64"/>
        <v>3580</v>
      </c>
      <c r="Z2092">
        <f t="shared" si="65"/>
        <v>2608</v>
      </c>
    </row>
    <row r="2093" spans="1:26" x14ac:dyDescent="0.2">
      <c r="A2093" t="s">
        <v>456</v>
      </c>
      <c r="B2093" t="s">
        <v>457</v>
      </c>
      <c r="C2093" t="s">
        <v>152</v>
      </c>
      <c r="D2093" t="s">
        <v>26</v>
      </c>
      <c r="E2093" t="s">
        <v>153</v>
      </c>
      <c r="F2093">
        <v>6319</v>
      </c>
      <c r="G2093">
        <v>0</v>
      </c>
      <c r="H2093">
        <v>11920</v>
      </c>
      <c r="I2093">
        <v>0</v>
      </c>
      <c r="J2093">
        <v>0</v>
      </c>
      <c r="K2093">
        <v>0</v>
      </c>
      <c r="L2093">
        <v>3890</v>
      </c>
      <c r="M2093">
        <v>0</v>
      </c>
      <c r="N2093">
        <v>855</v>
      </c>
      <c r="O2093">
        <v>0</v>
      </c>
      <c r="P2093">
        <v>0</v>
      </c>
      <c r="Q2093">
        <v>0</v>
      </c>
      <c r="R2093">
        <v>565</v>
      </c>
      <c r="S2093">
        <v>689</v>
      </c>
      <c r="T2093">
        <v>2354</v>
      </c>
      <c r="U2093">
        <v>0</v>
      </c>
      <c r="V2093">
        <v>46</v>
      </c>
      <c r="W2093">
        <v>1313</v>
      </c>
      <c r="X2093">
        <f>NHS_AE_2024_2025[[#This Row],[A&amp;E attendances Type 1]]+
NHS_AE_2024_2025[[#This Row],[A&amp;E attendances Type 2]]+
NHS_AE_2024_2025[[#This Row],[A&amp;E attendances Other A&amp;E Department]]</f>
        <v>18239</v>
      </c>
      <c r="Y2093">
        <f t="shared" si="64"/>
        <v>4745</v>
      </c>
      <c r="Z2093">
        <f t="shared" si="65"/>
        <v>3713</v>
      </c>
    </row>
    <row r="2094" spans="1:26" x14ac:dyDescent="0.2">
      <c r="A2094" t="s">
        <v>456</v>
      </c>
      <c r="B2094" t="s">
        <v>457</v>
      </c>
      <c r="C2094" t="s">
        <v>198</v>
      </c>
      <c r="D2094" t="s">
        <v>55</v>
      </c>
      <c r="E2094" t="s">
        <v>199</v>
      </c>
      <c r="F2094">
        <v>0</v>
      </c>
      <c r="G2094">
        <v>1427</v>
      </c>
      <c r="H2094">
        <v>0</v>
      </c>
      <c r="I2094">
        <v>0</v>
      </c>
      <c r="J2094">
        <v>139</v>
      </c>
      <c r="K2094">
        <v>0</v>
      </c>
      <c r="L2094">
        <v>0</v>
      </c>
      <c r="M2094">
        <v>146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113</v>
      </c>
      <c r="V2094">
        <v>0</v>
      </c>
      <c r="W2094">
        <v>8</v>
      </c>
      <c r="X2094">
        <f>NHS_AE_2024_2025[[#This Row],[A&amp;E attendances Type 1]]+
NHS_AE_2024_2025[[#This Row],[A&amp;E attendances Type 2]]+
NHS_AE_2024_2025[[#This Row],[A&amp;E attendances Other A&amp;E Department]]</f>
        <v>1427</v>
      </c>
      <c r="Y2094">
        <f t="shared" si="64"/>
        <v>146</v>
      </c>
      <c r="Z2094">
        <f t="shared" si="65"/>
        <v>121</v>
      </c>
    </row>
    <row r="2095" spans="1:26" x14ac:dyDescent="0.2">
      <c r="A2095" t="s">
        <v>456</v>
      </c>
      <c r="B2095" t="s">
        <v>457</v>
      </c>
      <c r="C2095" t="s">
        <v>246</v>
      </c>
      <c r="D2095" t="s">
        <v>70</v>
      </c>
      <c r="E2095" t="s">
        <v>247</v>
      </c>
      <c r="F2095">
        <v>11235</v>
      </c>
      <c r="G2095">
        <v>0</v>
      </c>
      <c r="H2095">
        <v>5746</v>
      </c>
      <c r="I2095">
        <v>229</v>
      </c>
      <c r="J2095">
        <v>0</v>
      </c>
      <c r="K2095">
        <v>280</v>
      </c>
      <c r="L2095">
        <v>5553</v>
      </c>
      <c r="M2095">
        <v>0</v>
      </c>
      <c r="N2095">
        <v>123</v>
      </c>
      <c r="O2095">
        <v>95</v>
      </c>
      <c r="P2095">
        <v>0</v>
      </c>
      <c r="Q2095">
        <v>12</v>
      </c>
      <c r="R2095">
        <v>676</v>
      </c>
      <c r="S2095">
        <v>573</v>
      </c>
      <c r="T2095">
        <v>2846</v>
      </c>
      <c r="U2095">
        <v>0</v>
      </c>
      <c r="V2095">
        <v>20</v>
      </c>
      <c r="W2095">
        <v>406</v>
      </c>
      <c r="X2095">
        <f>NHS_AE_2024_2025[[#This Row],[A&amp;E attendances Type 1]]+
NHS_AE_2024_2025[[#This Row],[A&amp;E attendances Type 2]]+
NHS_AE_2024_2025[[#This Row],[A&amp;E attendances Other A&amp;E Department]]</f>
        <v>16981</v>
      </c>
      <c r="Y2095">
        <f t="shared" si="64"/>
        <v>5676</v>
      </c>
      <c r="Z2095">
        <f t="shared" si="65"/>
        <v>3272</v>
      </c>
    </row>
    <row r="2096" spans="1:26" x14ac:dyDescent="0.2">
      <c r="A2096" t="s">
        <v>456</v>
      </c>
      <c r="B2096" t="s">
        <v>457</v>
      </c>
      <c r="C2096" t="s">
        <v>404</v>
      </c>
      <c r="D2096" t="s">
        <v>26</v>
      </c>
      <c r="E2096" t="s">
        <v>405</v>
      </c>
      <c r="F2096">
        <v>12376</v>
      </c>
      <c r="G2096">
        <v>0</v>
      </c>
      <c r="H2096">
        <v>4635</v>
      </c>
      <c r="I2096">
        <v>1180</v>
      </c>
      <c r="J2096">
        <v>0</v>
      </c>
      <c r="K2096">
        <v>75</v>
      </c>
      <c r="L2096">
        <v>5046</v>
      </c>
      <c r="M2096">
        <v>0</v>
      </c>
      <c r="N2096">
        <v>5</v>
      </c>
      <c r="O2096">
        <v>409</v>
      </c>
      <c r="P2096">
        <v>0</v>
      </c>
      <c r="Q2096">
        <v>0</v>
      </c>
      <c r="R2096">
        <v>1712</v>
      </c>
      <c r="S2096">
        <v>109</v>
      </c>
      <c r="T2096">
        <v>4090</v>
      </c>
      <c r="U2096">
        <v>0</v>
      </c>
      <c r="V2096">
        <v>0</v>
      </c>
      <c r="W2096">
        <v>2289</v>
      </c>
      <c r="X2096">
        <f>NHS_AE_2024_2025[[#This Row],[A&amp;E attendances Type 1]]+
NHS_AE_2024_2025[[#This Row],[A&amp;E attendances Type 2]]+
NHS_AE_2024_2025[[#This Row],[A&amp;E attendances Other A&amp;E Department]]</f>
        <v>17011</v>
      </c>
      <c r="Y2096">
        <f t="shared" si="64"/>
        <v>5051</v>
      </c>
      <c r="Z2096">
        <f t="shared" si="65"/>
        <v>6379</v>
      </c>
    </row>
    <row r="2097" spans="1:26" x14ac:dyDescent="0.2">
      <c r="A2097" t="s">
        <v>456</v>
      </c>
      <c r="B2097" t="s">
        <v>457</v>
      </c>
      <c r="C2097" t="s">
        <v>200</v>
      </c>
      <c r="D2097" t="s">
        <v>32</v>
      </c>
      <c r="E2097" t="s">
        <v>201</v>
      </c>
      <c r="F2097">
        <v>13787</v>
      </c>
      <c r="G2097">
        <v>540</v>
      </c>
      <c r="H2097">
        <v>8450</v>
      </c>
      <c r="I2097">
        <v>755</v>
      </c>
      <c r="J2097">
        <v>0</v>
      </c>
      <c r="K2097">
        <v>547</v>
      </c>
      <c r="L2097">
        <v>7662</v>
      </c>
      <c r="M2097">
        <v>0</v>
      </c>
      <c r="N2097">
        <v>83</v>
      </c>
      <c r="O2097">
        <v>381</v>
      </c>
      <c r="P2097">
        <v>0</v>
      </c>
      <c r="Q2097">
        <v>22</v>
      </c>
      <c r="R2097">
        <v>998</v>
      </c>
      <c r="S2097">
        <v>1126</v>
      </c>
      <c r="T2097">
        <v>5134</v>
      </c>
      <c r="U2097">
        <v>0</v>
      </c>
      <c r="V2097">
        <v>0</v>
      </c>
      <c r="W2097">
        <v>3897</v>
      </c>
      <c r="X2097">
        <f>NHS_AE_2024_2025[[#This Row],[A&amp;E attendances Type 1]]+
NHS_AE_2024_2025[[#This Row],[A&amp;E attendances Type 2]]+
NHS_AE_2024_2025[[#This Row],[A&amp;E attendances Other A&amp;E Department]]</f>
        <v>22777</v>
      </c>
      <c r="Y2097">
        <f t="shared" si="64"/>
        <v>7745</v>
      </c>
      <c r="Z2097">
        <f t="shared" si="65"/>
        <v>9031</v>
      </c>
    </row>
    <row r="2098" spans="1:26" x14ac:dyDescent="0.2">
      <c r="A2098" t="s">
        <v>456</v>
      </c>
      <c r="B2098" t="s">
        <v>457</v>
      </c>
      <c r="C2098" t="s">
        <v>310</v>
      </c>
      <c r="D2098" t="s">
        <v>26</v>
      </c>
      <c r="E2098" t="s">
        <v>311</v>
      </c>
      <c r="F2098">
        <v>9604</v>
      </c>
      <c r="G2098">
        <v>154</v>
      </c>
      <c r="H2098">
        <v>5208</v>
      </c>
      <c r="I2098">
        <v>0</v>
      </c>
      <c r="J2098">
        <v>0</v>
      </c>
      <c r="K2098">
        <v>0</v>
      </c>
      <c r="L2098">
        <v>4906</v>
      </c>
      <c r="M2098">
        <v>0</v>
      </c>
      <c r="N2098">
        <v>106</v>
      </c>
      <c r="O2098">
        <v>0</v>
      </c>
      <c r="P2098">
        <v>0</v>
      </c>
      <c r="Q2098">
        <v>0</v>
      </c>
      <c r="R2098">
        <v>577</v>
      </c>
      <c r="S2098">
        <v>718</v>
      </c>
      <c r="T2098">
        <v>2947</v>
      </c>
      <c r="U2098">
        <v>0</v>
      </c>
      <c r="V2098">
        <v>0</v>
      </c>
      <c r="W2098">
        <v>1484</v>
      </c>
      <c r="X2098">
        <f>NHS_AE_2024_2025[[#This Row],[A&amp;E attendances Type 1]]+
NHS_AE_2024_2025[[#This Row],[A&amp;E attendances Type 2]]+
NHS_AE_2024_2025[[#This Row],[A&amp;E attendances Other A&amp;E Department]]</f>
        <v>14966</v>
      </c>
      <c r="Y2098">
        <f t="shared" si="64"/>
        <v>5012</v>
      </c>
      <c r="Z2098">
        <f t="shared" si="65"/>
        <v>4431</v>
      </c>
    </row>
    <row r="2099" spans="1:26" x14ac:dyDescent="0.2">
      <c r="A2099" t="s">
        <v>456</v>
      </c>
      <c r="B2099" t="s">
        <v>457</v>
      </c>
      <c r="C2099" t="s">
        <v>312</v>
      </c>
      <c r="D2099" t="s">
        <v>32</v>
      </c>
      <c r="E2099" t="s">
        <v>313</v>
      </c>
      <c r="F2099">
        <v>12224</v>
      </c>
      <c r="G2099">
        <v>837</v>
      </c>
      <c r="H2099">
        <v>6415</v>
      </c>
      <c r="I2099">
        <v>0</v>
      </c>
      <c r="J2099">
        <v>0</v>
      </c>
      <c r="K2099">
        <v>0</v>
      </c>
      <c r="L2099">
        <v>5748</v>
      </c>
      <c r="M2099">
        <v>157</v>
      </c>
      <c r="N2099">
        <v>229</v>
      </c>
      <c r="O2099">
        <v>0</v>
      </c>
      <c r="P2099">
        <v>0</v>
      </c>
      <c r="Q2099">
        <v>0</v>
      </c>
      <c r="R2099">
        <v>102</v>
      </c>
      <c r="S2099">
        <v>39</v>
      </c>
      <c r="T2099">
        <v>1854</v>
      </c>
      <c r="U2099">
        <v>33</v>
      </c>
      <c r="V2099">
        <v>120</v>
      </c>
      <c r="W2099">
        <v>586</v>
      </c>
      <c r="X2099">
        <f>NHS_AE_2024_2025[[#This Row],[A&amp;E attendances Type 1]]+
NHS_AE_2024_2025[[#This Row],[A&amp;E attendances Type 2]]+
NHS_AE_2024_2025[[#This Row],[A&amp;E attendances Other A&amp;E Department]]</f>
        <v>19476</v>
      </c>
      <c r="Y2099">
        <f t="shared" si="64"/>
        <v>6134</v>
      </c>
      <c r="Z2099">
        <f t="shared" si="65"/>
        <v>2593</v>
      </c>
    </row>
    <row r="2100" spans="1:26" x14ac:dyDescent="0.2">
      <c r="A2100" t="s">
        <v>456</v>
      </c>
      <c r="B2100" t="s">
        <v>457</v>
      </c>
      <c r="C2100" t="s">
        <v>202</v>
      </c>
      <c r="D2100" t="s">
        <v>32</v>
      </c>
      <c r="E2100" t="s">
        <v>203</v>
      </c>
      <c r="F2100">
        <v>13180</v>
      </c>
      <c r="G2100">
        <v>0</v>
      </c>
      <c r="H2100">
        <v>8034</v>
      </c>
      <c r="I2100">
        <v>105</v>
      </c>
      <c r="J2100">
        <v>0</v>
      </c>
      <c r="K2100">
        <v>774</v>
      </c>
      <c r="L2100">
        <v>4103</v>
      </c>
      <c r="M2100">
        <v>0</v>
      </c>
      <c r="N2100">
        <v>84</v>
      </c>
      <c r="O2100">
        <v>18</v>
      </c>
      <c r="P2100">
        <v>0</v>
      </c>
      <c r="Q2100">
        <v>0</v>
      </c>
      <c r="R2100">
        <v>984</v>
      </c>
      <c r="S2100">
        <v>553</v>
      </c>
      <c r="T2100">
        <v>5950</v>
      </c>
      <c r="U2100">
        <v>0</v>
      </c>
      <c r="V2100">
        <v>0</v>
      </c>
      <c r="W2100">
        <v>957</v>
      </c>
      <c r="X2100">
        <f>NHS_AE_2024_2025[[#This Row],[A&amp;E attendances Type 1]]+
NHS_AE_2024_2025[[#This Row],[A&amp;E attendances Type 2]]+
NHS_AE_2024_2025[[#This Row],[A&amp;E attendances Other A&amp;E Department]]</f>
        <v>21214</v>
      </c>
      <c r="Y2100">
        <f t="shared" si="64"/>
        <v>4187</v>
      </c>
      <c r="Z2100">
        <f t="shared" si="65"/>
        <v>6907</v>
      </c>
    </row>
    <row r="2101" spans="1:26" x14ac:dyDescent="0.2">
      <c r="A2101" t="s">
        <v>456</v>
      </c>
      <c r="B2101" t="s">
        <v>457</v>
      </c>
      <c r="C2101" t="s">
        <v>318</v>
      </c>
      <c r="D2101" t="s">
        <v>55</v>
      </c>
      <c r="E2101" t="s">
        <v>319</v>
      </c>
      <c r="F2101">
        <v>9228</v>
      </c>
      <c r="G2101">
        <v>0</v>
      </c>
      <c r="H2101">
        <v>2817</v>
      </c>
      <c r="I2101">
        <v>422</v>
      </c>
      <c r="J2101">
        <v>0</v>
      </c>
      <c r="K2101">
        <v>346</v>
      </c>
      <c r="L2101">
        <v>4461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582</v>
      </c>
      <c r="S2101">
        <v>475</v>
      </c>
      <c r="T2101">
        <v>1905</v>
      </c>
      <c r="U2101">
        <v>0</v>
      </c>
      <c r="V2101">
        <v>0</v>
      </c>
      <c r="W2101">
        <v>339</v>
      </c>
      <c r="X2101">
        <f>NHS_AE_2024_2025[[#This Row],[A&amp;E attendances Type 1]]+
NHS_AE_2024_2025[[#This Row],[A&amp;E attendances Type 2]]+
NHS_AE_2024_2025[[#This Row],[A&amp;E attendances Other A&amp;E Department]]</f>
        <v>12045</v>
      </c>
      <c r="Y2101">
        <f t="shared" si="64"/>
        <v>4461</v>
      </c>
      <c r="Z2101">
        <f t="shared" si="65"/>
        <v>2244</v>
      </c>
    </row>
    <row r="2102" spans="1:26" x14ac:dyDescent="0.2">
      <c r="A2102" t="s">
        <v>456</v>
      </c>
      <c r="B2102" t="s">
        <v>457</v>
      </c>
      <c r="C2102" t="s">
        <v>374</v>
      </c>
      <c r="D2102" t="s">
        <v>37</v>
      </c>
      <c r="E2102" t="s">
        <v>375</v>
      </c>
      <c r="F2102">
        <v>11331</v>
      </c>
      <c r="G2102">
        <v>0</v>
      </c>
      <c r="H2102">
        <v>3867</v>
      </c>
      <c r="I2102">
        <v>0</v>
      </c>
      <c r="J2102">
        <v>0</v>
      </c>
      <c r="K2102">
        <v>0</v>
      </c>
      <c r="L2102">
        <v>3976</v>
      </c>
      <c r="M2102">
        <v>0</v>
      </c>
      <c r="N2102">
        <v>18</v>
      </c>
      <c r="O2102">
        <v>0</v>
      </c>
      <c r="P2102">
        <v>0</v>
      </c>
      <c r="Q2102">
        <v>0</v>
      </c>
      <c r="R2102">
        <v>678</v>
      </c>
      <c r="S2102">
        <v>168</v>
      </c>
      <c r="T2102">
        <v>3152</v>
      </c>
      <c r="U2102">
        <v>0</v>
      </c>
      <c r="V2102">
        <v>0</v>
      </c>
      <c r="W2102">
        <v>433</v>
      </c>
      <c r="X2102">
        <f>NHS_AE_2024_2025[[#This Row],[A&amp;E attendances Type 1]]+
NHS_AE_2024_2025[[#This Row],[A&amp;E attendances Type 2]]+
NHS_AE_2024_2025[[#This Row],[A&amp;E attendances Other A&amp;E Department]]</f>
        <v>15198</v>
      </c>
      <c r="Y2102">
        <f t="shared" si="64"/>
        <v>3994</v>
      </c>
      <c r="Z2102">
        <f t="shared" si="65"/>
        <v>3585</v>
      </c>
    </row>
    <row r="2103" spans="1:26" x14ac:dyDescent="0.2">
      <c r="A2103" t="s">
        <v>456</v>
      </c>
      <c r="B2103" t="s">
        <v>457</v>
      </c>
      <c r="C2103" t="s">
        <v>254</v>
      </c>
      <c r="D2103" t="s">
        <v>50</v>
      </c>
      <c r="E2103" t="s">
        <v>255</v>
      </c>
      <c r="F2103">
        <v>9056</v>
      </c>
      <c r="G2103">
        <v>0</v>
      </c>
      <c r="H2103">
        <v>1685</v>
      </c>
      <c r="I2103">
        <v>317</v>
      </c>
      <c r="J2103">
        <v>0</v>
      </c>
      <c r="K2103">
        <v>26</v>
      </c>
      <c r="L2103">
        <v>4164</v>
      </c>
      <c r="M2103">
        <v>0</v>
      </c>
      <c r="N2103">
        <v>46</v>
      </c>
      <c r="O2103">
        <v>77</v>
      </c>
      <c r="P2103">
        <v>0</v>
      </c>
      <c r="Q2103">
        <v>0</v>
      </c>
      <c r="R2103">
        <v>776</v>
      </c>
      <c r="S2103">
        <v>725</v>
      </c>
      <c r="T2103">
        <v>2430</v>
      </c>
      <c r="U2103">
        <v>0</v>
      </c>
      <c r="V2103">
        <v>0</v>
      </c>
      <c r="W2103">
        <v>776</v>
      </c>
      <c r="X2103">
        <f>NHS_AE_2024_2025[[#This Row],[A&amp;E attendances Type 1]]+
NHS_AE_2024_2025[[#This Row],[A&amp;E attendances Type 2]]+
NHS_AE_2024_2025[[#This Row],[A&amp;E attendances Other A&amp;E Department]]</f>
        <v>10741</v>
      </c>
      <c r="Y2103">
        <f t="shared" si="64"/>
        <v>4210</v>
      </c>
      <c r="Z2103">
        <f t="shared" si="65"/>
        <v>3206</v>
      </c>
    </row>
    <row r="2104" spans="1:26" x14ac:dyDescent="0.2">
      <c r="A2104" t="s">
        <v>456</v>
      </c>
      <c r="B2104" t="s">
        <v>457</v>
      </c>
      <c r="C2104" t="s">
        <v>256</v>
      </c>
      <c r="D2104" t="s">
        <v>37</v>
      </c>
      <c r="E2104" t="s">
        <v>257</v>
      </c>
      <c r="F2104">
        <v>0</v>
      </c>
      <c r="G2104">
        <v>0</v>
      </c>
      <c r="H2104">
        <v>4116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449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f>NHS_AE_2024_2025[[#This Row],[A&amp;E attendances Type 1]]+
NHS_AE_2024_2025[[#This Row],[A&amp;E attendances Type 2]]+
NHS_AE_2024_2025[[#This Row],[A&amp;E attendances Other A&amp;E Department]]</f>
        <v>4116</v>
      </c>
      <c r="Y2104">
        <f t="shared" si="64"/>
        <v>449</v>
      </c>
      <c r="Z2104">
        <f t="shared" si="65"/>
        <v>0</v>
      </c>
    </row>
    <row r="2105" spans="1:26" x14ac:dyDescent="0.2">
      <c r="A2105" t="s">
        <v>456</v>
      </c>
      <c r="B2105" t="s">
        <v>457</v>
      </c>
      <c r="C2105" t="s">
        <v>320</v>
      </c>
      <c r="D2105" t="s">
        <v>26</v>
      </c>
      <c r="E2105" t="s">
        <v>321</v>
      </c>
      <c r="F2105">
        <v>4690</v>
      </c>
      <c r="G2105">
        <v>376</v>
      </c>
      <c r="H2105">
        <v>1679</v>
      </c>
      <c r="I2105">
        <v>134</v>
      </c>
      <c r="J2105">
        <v>0</v>
      </c>
      <c r="K2105">
        <v>0</v>
      </c>
      <c r="L2105">
        <v>2061</v>
      </c>
      <c r="M2105">
        <v>0</v>
      </c>
      <c r="N2105">
        <v>0</v>
      </c>
      <c r="O2105">
        <v>61</v>
      </c>
      <c r="P2105">
        <v>0</v>
      </c>
      <c r="Q2105">
        <v>0</v>
      </c>
      <c r="R2105">
        <v>483</v>
      </c>
      <c r="S2105">
        <v>3</v>
      </c>
      <c r="T2105">
        <v>1412</v>
      </c>
      <c r="U2105">
        <v>0</v>
      </c>
      <c r="V2105">
        <v>0</v>
      </c>
      <c r="W2105">
        <v>1040</v>
      </c>
      <c r="X2105">
        <f>NHS_AE_2024_2025[[#This Row],[A&amp;E attendances Type 1]]+
NHS_AE_2024_2025[[#This Row],[A&amp;E attendances Type 2]]+
NHS_AE_2024_2025[[#This Row],[A&amp;E attendances Other A&amp;E Department]]</f>
        <v>6745</v>
      </c>
      <c r="Y2105">
        <f t="shared" si="64"/>
        <v>2061</v>
      </c>
      <c r="Z2105">
        <f t="shared" si="65"/>
        <v>2452</v>
      </c>
    </row>
    <row r="2106" spans="1:26" x14ac:dyDescent="0.2">
      <c r="A2106" t="s">
        <v>456</v>
      </c>
      <c r="B2106" t="s">
        <v>457</v>
      </c>
      <c r="C2106" t="s">
        <v>206</v>
      </c>
      <c r="D2106" t="s">
        <v>32</v>
      </c>
      <c r="E2106" t="s">
        <v>207</v>
      </c>
      <c r="F2106">
        <v>35181</v>
      </c>
      <c r="G2106">
        <v>336</v>
      </c>
      <c r="H2106">
        <v>1655</v>
      </c>
      <c r="I2106">
        <v>14</v>
      </c>
      <c r="J2106">
        <v>0</v>
      </c>
      <c r="K2106">
        <v>218</v>
      </c>
      <c r="L2106">
        <v>13653</v>
      </c>
      <c r="M2106">
        <v>0</v>
      </c>
      <c r="N2106">
        <v>18</v>
      </c>
      <c r="O2106">
        <v>5</v>
      </c>
      <c r="P2106">
        <v>0</v>
      </c>
      <c r="Q2106">
        <v>5</v>
      </c>
      <c r="R2106">
        <v>2234</v>
      </c>
      <c r="S2106">
        <v>2232</v>
      </c>
      <c r="T2106">
        <v>11498</v>
      </c>
      <c r="U2106">
        <v>0</v>
      </c>
      <c r="V2106">
        <v>0</v>
      </c>
      <c r="W2106">
        <v>7137</v>
      </c>
      <c r="X2106">
        <f>NHS_AE_2024_2025[[#This Row],[A&amp;E attendances Type 1]]+
NHS_AE_2024_2025[[#This Row],[A&amp;E attendances Type 2]]+
NHS_AE_2024_2025[[#This Row],[A&amp;E attendances Other A&amp;E Department]]</f>
        <v>37172</v>
      </c>
      <c r="Y2106">
        <f t="shared" si="64"/>
        <v>13671</v>
      </c>
      <c r="Z2106">
        <f t="shared" si="65"/>
        <v>18635</v>
      </c>
    </row>
    <row r="2107" spans="1:26" x14ac:dyDescent="0.2">
      <c r="A2107" t="s">
        <v>456</v>
      </c>
      <c r="B2107" t="s">
        <v>457</v>
      </c>
      <c r="C2107" t="s">
        <v>208</v>
      </c>
      <c r="D2107" t="s">
        <v>32</v>
      </c>
      <c r="E2107" t="s">
        <v>209</v>
      </c>
      <c r="F2107">
        <v>20565</v>
      </c>
      <c r="G2107">
        <v>0</v>
      </c>
      <c r="H2107">
        <v>9671</v>
      </c>
      <c r="I2107">
        <v>1830</v>
      </c>
      <c r="J2107">
        <v>0</v>
      </c>
      <c r="K2107">
        <v>32</v>
      </c>
      <c r="L2107">
        <v>9532</v>
      </c>
      <c r="M2107">
        <v>0</v>
      </c>
      <c r="N2107">
        <v>1</v>
      </c>
      <c r="O2107">
        <v>437</v>
      </c>
      <c r="P2107">
        <v>0</v>
      </c>
      <c r="Q2107">
        <v>0</v>
      </c>
      <c r="R2107">
        <v>970</v>
      </c>
      <c r="S2107">
        <v>1095</v>
      </c>
      <c r="T2107">
        <v>4166</v>
      </c>
      <c r="U2107">
        <v>0</v>
      </c>
      <c r="V2107">
        <v>1</v>
      </c>
      <c r="W2107">
        <v>2043</v>
      </c>
      <c r="X2107">
        <f>NHS_AE_2024_2025[[#This Row],[A&amp;E attendances Type 1]]+
NHS_AE_2024_2025[[#This Row],[A&amp;E attendances Type 2]]+
NHS_AE_2024_2025[[#This Row],[A&amp;E attendances Other A&amp;E Department]]</f>
        <v>30236</v>
      </c>
      <c r="Y2107">
        <f t="shared" si="64"/>
        <v>9533</v>
      </c>
      <c r="Z2107">
        <f t="shared" si="65"/>
        <v>6210</v>
      </c>
    </row>
    <row r="2108" spans="1:26" x14ac:dyDescent="0.2">
      <c r="A2108" t="s">
        <v>456</v>
      </c>
      <c r="B2108" t="s">
        <v>457</v>
      </c>
      <c r="C2108" t="s">
        <v>260</v>
      </c>
      <c r="D2108" t="s">
        <v>37</v>
      </c>
      <c r="E2108" t="s">
        <v>261</v>
      </c>
      <c r="F2108">
        <v>10318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3390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465</v>
      </c>
      <c r="S2108">
        <v>385</v>
      </c>
      <c r="T2108">
        <v>2878</v>
      </c>
      <c r="U2108">
        <v>0</v>
      </c>
      <c r="V2108">
        <v>0</v>
      </c>
      <c r="W2108">
        <v>584</v>
      </c>
      <c r="X2108">
        <f>NHS_AE_2024_2025[[#This Row],[A&amp;E attendances Type 1]]+
NHS_AE_2024_2025[[#This Row],[A&amp;E attendances Type 2]]+
NHS_AE_2024_2025[[#This Row],[A&amp;E attendances Other A&amp;E Department]]</f>
        <v>10318</v>
      </c>
      <c r="Y2108">
        <f t="shared" si="64"/>
        <v>3390</v>
      </c>
      <c r="Z2108">
        <f t="shared" si="65"/>
        <v>3462</v>
      </c>
    </row>
    <row r="2109" spans="1:26" x14ac:dyDescent="0.2">
      <c r="A2109" t="s">
        <v>456</v>
      </c>
      <c r="B2109" t="s">
        <v>457</v>
      </c>
      <c r="C2109" t="s">
        <v>212</v>
      </c>
      <c r="D2109" t="s">
        <v>50</v>
      </c>
      <c r="E2109" t="s">
        <v>213</v>
      </c>
      <c r="F2109">
        <v>4918</v>
      </c>
      <c r="G2109">
        <v>0</v>
      </c>
      <c r="H2109">
        <v>11890</v>
      </c>
      <c r="I2109">
        <v>0</v>
      </c>
      <c r="J2109">
        <v>0</v>
      </c>
      <c r="K2109">
        <v>0</v>
      </c>
      <c r="L2109">
        <v>2682</v>
      </c>
      <c r="M2109">
        <v>0</v>
      </c>
      <c r="N2109">
        <v>39</v>
      </c>
      <c r="O2109">
        <v>0</v>
      </c>
      <c r="P2109">
        <v>0</v>
      </c>
      <c r="Q2109">
        <v>0</v>
      </c>
      <c r="R2109">
        <v>228</v>
      </c>
      <c r="S2109">
        <v>3</v>
      </c>
      <c r="T2109">
        <v>1760</v>
      </c>
      <c r="U2109">
        <v>0</v>
      </c>
      <c r="V2109">
        <v>543</v>
      </c>
      <c r="W2109">
        <v>2470</v>
      </c>
      <c r="X2109">
        <f>NHS_AE_2024_2025[[#This Row],[A&amp;E attendances Type 1]]+
NHS_AE_2024_2025[[#This Row],[A&amp;E attendances Type 2]]+
NHS_AE_2024_2025[[#This Row],[A&amp;E attendances Other A&amp;E Department]]</f>
        <v>16808</v>
      </c>
      <c r="Y2109">
        <f t="shared" si="64"/>
        <v>2721</v>
      </c>
      <c r="Z2109">
        <f t="shared" si="65"/>
        <v>4773</v>
      </c>
    </row>
    <row r="2110" spans="1:26" x14ac:dyDescent="0.2">
      <c r="A2110" t="s">
        <v>456</v>
      </c>
      <c r="B2110" t="s">
        <v>457</v>
      </c>
      <c r="C2110" t="s">
        <v>264</v>
      </c>
      <c r="D2110" t="s">
        <v>50</v>
      </c>
      <c r="E2110" t="s">
        <v>265</v>
      </c>
      <c r="F2110">
        <v>9919</v>
      </c>
      <c r="G2110">
        <v>0</v>
      </c>
      <c r="H2110">
        <v>4728</v>
      </c>
      <c r="I2110">
        <v>0</v>
      </c>
      <c r="J2110">
        <v>0</v>
      </c>
      <c r="K2110">
        <v>0</v>
      </c>
      <c r="L2110">
        <v>5907</v>
      </c>
      <c r="M2110">
        <v>0</v>
      </c>
      <c r="N2110">
        <v>107</v>
      </c>
      <c r="O2110">
        <v>0</v>
      </c>
      <c r="P2110">
        <v>0</v>
      </c>
      <c r="Q2110">
        <v>0</v>
      </c>
      <c r="R2110">
        <v>963</v>
      </c>
      <c r="S2110">
        <v>575</v>
      </c>
      <c r="T2110">
        <v>3652</v>
      </c>
      <c r="U2110">
        <v>0</v>
      </c>
      <c r="V2110">
        <v>0</v>
      </c>
      <c r="W2110">
        <v>2344</v>
      </c>
      <c r="X2110">
        <f>NHS_AE_2024_2025[[#This Row],[A&amp;E attendances Type 1]]+
NHS_AE_2024_2025[[#This Row],[A&amp;E attendances Type 2]]+
NHS_AE_2024_2025[[#This Row],[A&amp;E attendances Other A&amp;E Department]]</f>
        <v>14647</v>
      </c>
      <c r="Y2110">
        <f t="shared" si="64"/>
        <v>6014</v>
      </c>
      <c r="Z2110">
        <f t="shared" si="65"/>
        <v>5996</v>
      </c>
    </row>
    <row r="2111" spans="1:26" x14ac:dyDescent="0.2">
      <c r="A2111" t="s">
        <v>456</v>
      </c>
      <c r="B2111" t="s">
        <v>457</v>
      </c>
      <c r="C2111" t="s">
        <v>266</v>
      </c>
      <c r="D2111" t="s">
        <v>32</v>
      </c>
      <c r="E2111" t="s">
        <v>267</v>
      </c>
      <c r="F2111">
        <v>22203</v>
      </c>
      <c r="G2111">
        <v>1913</v>
      </c>
      <c r="H2111">
        <v>0</v>
      </c>
      <c r="I2111">
        <v>0</v>
      </c>
      <c r="J2111">
        <v>0</v>
      </c>
      <c r="K2111">
        <v>0</v>
      </c>
      <c r="L2111">
        <v>9625</v>
      </c>
      <c r="M2111">
        <v>174</v>
      </c>
      <c r="N2111">
        <v>0</v>
      </c>
      <c r="O2111">
        <v>0</v>
      </c>
      <c r="P2111">
        <v>0</v>
      </c>
      <c r="Q2111">
        <v>0</v>
      </c>
      <c r="R2111">
        <v>1490</v>
      </c>
      <c r="S2111">
        <v>1105</v>
      </c>
      <c r="T2111">
        <v>6432</v>
      </c>
      <c r="U2111">
        <v>2</v>
      </c>
      <c r="V2111">
        <v>0</v>
      </c>
      <c r="W2111">
        <v>3643</v>
      </c>
      <c r="X2111">
        <f>NHS_AE_2024_2025[[#This Row],[A&amp;E attendances Type 1]]+
NHS_AE_2024_2025[[#This Row],[A&amp;E attendances Type 2]]+
NHS_AE_2024_2025[[#This Row],[A&amp;E attendances Other A&amp;E Department]]</f>
        <v>24116</v>
      </c>
      <c r="Y2111">
        <f t="shared" si="64"/>
        <v>9799</v>
      </c>
      <c r="Z2111">
        <f t="shared" si="65"/>
        <v>10077</v>
      </c>
    </row>
    <row r="2112" spans="1:26" x14ac:dyDescent="0.2">
      <c r="A2112" t="s">
        <v>456</v>
      </c>
      <c r="B2112" t="s">
        <v>457</v>
      </c>
      <c r="C2112" t="s">
        <v>172</v>
      </c>
      <c r="D2112" t="s">
        <v>37</v>
      </c>
      <c r="E2112" t="s">
        <v>173</v>
      </c>
      <c r="F2112">
        <v>8782</v>
      </c>
      <c r="G2112">
        <v>0</v>
      </c>
      <c r="H2112">
        <v>2483</v>
      </c>
      <c r="I2112">
        <v>1446</v>
      </c>
      <c r="J2112">
        <v>0</v>
      </c>
      <c r="K2112">
        <v>1457</v>
      </c>
      <c r="L2112">
        <v>4124</v>
      </c>
      <c r="M2112">
        <v>0</v>
      </c>
      <c r="N2112">
        <v>61</v>
      </c>
      <c r="O2112">
        <v>0</v>
      </c>
      <c r="P2112">
        <v>0</v>
      </c>
      <c r="Q2112">
        <v>0</v>
      </c>
      <c r="R2112">
        <v>236</v>
      </c>
      <c r="S2112">
        <v>71</v>
      </c>
      <c r="T2112">
        <v>3450</v>
      </c>
      <c r="U2112">
        <v>0</v>
      </c>
      <c r="V2112">
        <v>0</v>
      </c>
      <c r="W2112">
        <v>475</v>
      </c>
      <c r="X2112">
        <f>NHS_AE_2024_2025[[#This Row],[A&amp;E attendances Type 1]]+
NHS_AE_2024_2025[[#This Row],[A&amp;E attendances Type 2]]+
NHS_AE_2024_2025[[#This Row],[A&amp;E attendances Other A&amp;E Department]]</f>
        <v>11265</v>
      </c>
      <c r="Y2112">
        <f t="shared" si="64"/>
        <v>4185</v>
      </c>
      <c r="Z2112">
        <f t="shared" si="65"/>
        <v>3925</v>
      </c>
    </row>
    <row r="2113" spans="1:26" x14ac:dyDescent="0.2">
      <c r="A2113" t="s">
        <v>456</v>
      </c>
      <c r="B2113" t="s">
        <v>457</v>
      </c>
      <c r="C2113" t="s">
        <v>270</v>
      </c>
      <c r="D2113" t="s">
        <v>32</v>
      </c>
      <c r="E2113" t="s">
        <v>271</v>
      </c>
      <c r="F2113">
        <v>13983</v>
      </c>
      <c r="G2113">
        <v>1112</v>
      </c>
      <c r="H2113">
        <v>8755</v>
      </c>
      <c r="I2113">
        <v>862</v>
      </c>
      <c r="J2113">
        <v>0</v>
      </c>
      <c r="K2113">
        <v>0</v>
      </c>
      <c r="L2113">
        <v>6437</v>
      </c>
      <c r="M2113">
        <v>159</v>
      </c>
      <c r="N2113">
        <v>257</v>
      </c>
      <c r="O2113">
        <v>0</v>
      </c>
      <c r="P2113">
        <v>0</v>
      </c>
      <c r="Q2113">
        <v>0</v>
      </c>
      <c r="R2113">
        <v>887</v>
      </c>
      <c r="S2113">
        <v>185</v>
      </c>
      <c r="T2113">
        <v>2773</v>
      </c>
      <c r="U2113">
        <v>33</v>
      </c>
      <c r="V2113">
        <v>0</v>
      </c>
      <c r="W2113">
        <v>566</v>
      </c>
      <c r="X2113">
        <f>NHS_AE_2024_2025[[#This Row],[A&amp;E attendances Type 1]]+
NHS_AE_2024_2025[[#This Row],[A&amp;E attendances Type 2]]+
NHS_AE_2024_2025[[#This Row],[A&amp;E attendances Other A&amp;E Department]]</f>
        <v>23850</v>
      </c>
      <c r="Y2113">
        <f t="shared" si="64"/>
        <v>6853</v>
      </c>
      <c r="Z2113">
        <f t="shared" si="65"/>
        <v>3372</v>
      </c>
    </row>
    <row r="2114" spans="1:26" x14ac:dyDescent="0.2">
      <c r="A2114" t="s">
        <v>456</v>
      </c>
      <c r="B2114" t="s">
        <v>457</v>
      </c>
      <c r="C2114" t="s">
        <v>216</v>
      </c>
      <c r="D2114" t="s">
        <v>55</v>
      </c>
      <c r="E2114" t="s">
        <v>217</v>
      </c>
      <c r="F2114">
        <v>13289</v>
      </c>
      <c r="G2114">
        <v>0</v>
      </c>
      <c r="H2114">
        <v>10241</v>
      </c>
      <c r="I2114">
        <v>0</v>
      </c>
      <c r="J2114">
        <v>0</v>
      </c>
      <c r="K2114">
        <v>0</v>
      </c>
      <c r="L2114">
        <v>4885</v>
      </c>
      <c r="M2114">
        <v>0</v>
      </c>
      <c r="N2114">
        <v>577</v>
      </c>
      <c r="O2114">
        <v>0</v>
      </c>
      <c r="P2114">
        <v>0</v>
      </c>
      <c r="Q2114">
        <v>0</v>
      </c>
      <c r="R2114">
        <v>476</v>
      </c>
      <c r="S2114">
        <v>1119</v>
      </c>
      <c r="T2114">
        <v>4103</v>
      </c>
      <c r="U2114">
        <v>0</v>
      </c>
      <c r="V2114">
        <v>69</v>
      </c>
      <c r="W2114">
        <v>1632</v>
      </c>
      <c r="X2114">
        <f>NHS_AE_2024_2025[[#This Row],[A&amp;E attendances Type 1]]+
NHS_AE_2024_2025[[#This Row],[A&amp;E attendances Type 2]]+
NHS_AE_2024_2025[[#This Row],[A&amp;E attendances Other A&amp;E Department]]</f>
        <v>23530</v>
      </c>
      <c r="Y2114">
        <f t="shared" ref="Y2114:Y2177" si="66">L2114+M2114+N2114</f>
        <v>5462</v>
      </c>
      <c r="Z2114">
        <f t="shared" ref="Z2114:Z2177" si="67">T2114+U2114+V2114+W2114</f>
        <v>5804</v>
      </c>
    </row>
    <row r="2115" spans="1:26" x14ac:dyDescent="0.2">
      <c r="A2115" t="s">
        <v>456</v>
      </c>
      <c r="B2115" t="s">
        <v>457</v>
      </c>
      <c r="C2115" t="s">
        <v>178</v>
      </c>
      <c r="D2115" t="s">
        <v>55</v>
      </c>
      <c r="E2115" t="s">
        <v>179</v>
      </c>
      <c r="F2115">
        <v>0</v>
      </c>
      <c r="G2115">
        <v>0</v>
      </c>
      <c r="H2115">
        <v>3175</v>
      </c>
      <c r="I2115">
        <v>0</v>
      </c>
      <c r="J2115">
        <v>0</v>
      </c>
      <c r="K2115">
        <v>172</v>
      </c>
      <c r="L2115">
        <v>0</v>
      </c>
      <c r="M2115">
        <v>0</v>
      </c>
      <c r="N2115">
        <v>48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f>NHS_AE_2024_2025[[#This Row],[A&amp;E attendances Type 1]]+
NHS_AE_2024_2025[[#This Row],[A&amp;E attendances Type 2]]+
NHS_AE_2024_2025[[#This Row],[A&amp;E attendances Other A&amp;E Department]]</f>
        <v>3175</v>
      </c>
      <c r="Y2115">
        <f t="shared" si="66"/>
        <v>48</v>
      </c>
      <c r="Z2115">
        <f t="shared" si="67"/>
        <v>0</v>
      </c>
    </row>
    <row r="2116" spans="1:26" x14ac:dyDescent="0.2">
      <c r="A2116" t="s">
        <v>456</v>
      </c>
      <c r="B2116" t="s">
        <v>457</v>
      </c>
      <c r="C2116" t="s">
        <v>218</v>
      </c>
      <c r="D2116" t="s">
        <v>70</v>
      </c>
      <c r="E2116" t="s">
        <v>219</v>
      </c>
      <c r="F2116">
        <v>0</v>
      </c>
      <c r="G2116">
        <v>0</v>
      </c>
      <c r="H2116">
        <v>1192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45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f>NHS_AE_2024_2025[[#This Row],[A&amp;E attendances Type 1]]+
NHS_AE_2024_2025[[#This Row],[A&amp;E attendances Type 2]]+
NHS_AE_2024_2025[[#This Row],[A&amp;E attendances Other A&amp;E Department]]</f>
        <v>1192</v>
      </c>
      <c r="Y2116">
        <f t="shared" si="66"/>
        <v>45</v>
      </c>
      <c r="Z2116">
        <f t="shared" si="67"/>
        <v>0</v>
      </c>
    </row>
    <row r="2117" spans="1:26" x14ac:dyDescent="0.2">
      <c r="A2117" t="s">
        <v>456</v>
      </c>
      <c r="B2117" t="s">
        <v>457</v>
      </c>
      <c r="C2117" t="s">
        <v>356</v>
      </c>
      <c r="D2117" t="s">
        <v>32</v>
      </c>
      <c r="E2117" t="s">
        <v>357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8</v>
      </c>
      <c r="W2117">
        <v>85</v>
      </c>
      <c r="X2117">
        <f>NHS_AE_2024_2025[[#This Row],[A&amp;E attendances Type 1]]+
NHS_AE_2024_2025[[#This Row],[A&amp;E attendances Type 2]]+
NHS_AE_2024_2025[[#This Row],[A&amp;E attendances Other A&amp;E Department]]</f>
        <v>0</v>
      </c>
      <c r="Y2117">
        <f t="shared" si="66"/>
        <v>0</v>
      </c>
      <c r="Z2117">
        <f t="shared" si="67"/>
        <v>93</v>
      </c>
    </row>
    <row r="2118" spans="1:26" x14ac:dyDescent="0.2">
      <c r="A2118" t="s">
        <v>456</v>
      </c>
      <c r="B2118" t="s">
        <v>457</v>
      </c>
      <c r="C2118" t="s">
        <v>276</v>
      </c>
      <c r="D2118" t="s">
        <v>37</v>
      </c>
      <c r="E2118" t="s">
        <v>277</v>
      </c>
      <c r="F2118">
        <v>22675</v>
      </c>
      <c r="G2118">
        <v>1532</v>
      </c>
      <c r="H2118">
        <v>5384</v>
      </c>
      <c r="I2118">
        <v>1305</v>
      </c>
      <c r="J2118">
        <v>0</v>
      </c>
      <c r="K2118">
        <v>1062</v>
      </c>
      <c r="L2118">
        <v>9442</v>
      </c>
      <c r="M2118">
        <v>34</v>
      </c>
      <c r="N2118">
        <v>445</v>
      </c>
      <c r="O2118">
        <v>420</v>
      </c>
      <c r="P2118">
        <v>0</v>
      </c>
      <c r="Q2118">
        <v>28</v>
      </c>
      <c r="R2118">
        <v>1479</v>
      </c>
      <c r="S2118">
        <v>1413</v>
      </c>
      <c r="T2118">
        <v>8823</v>
      </c>
      <c r="U2118">
        <v>31</v>
      </c>
      <c r="V2118">
        <v>48</v>
      </c>
      <c r="W2118">
        <v>1478</v>
      </c>
      <c r="X2118">
        <f>NHS_AE_2024_2025[[#This Row],[A&amp;E attendances Type 1]]+
NHS_AE_2024_2025[[#This Row],[A&amp;E attendances Type 2]]+
NHS_AE_2024_2025[[#This Row],[A&amp;E attendances Other A&amp;E Department]]</f>
        <v>29591</v>
      </c>
      <c r="Y2118">
        <f t="shared" si="66"/>
        <v>9921</v>
      </c>
      <c r="Z2118">
        <f t="shared" si="67"/>
        <v>10380</v>
      </c>
    </row>
    <row r="2119" spans="1:26" x14ac:dyDescent="0.2">
      <c r="A2119" t="s">
        <v>456</v>
      </c>
      <c r="B2119" t="s">
        <v>457</v>
      </c>
      <c r="C2119" t="s">
        <v>90</v>
      </c>
      <c r="D2119" t="s">
        <v>29</v>
      </c>
      <c r="E2119" t="s">
        <v>91</v>
      </c>
      <c r="F2119">
        <v>0</v>
      </c>
      <c r="G2119">
        <v>0</v>
      </c>
      <c r="H2119">
        <v>7773</v>
      </c>
      <c r="I2119">
        <v>0</v>
      </c>
      <c r="J2119">
        <v>0</v>
      </c>
      <c r="K2119">
        <v>481</v>
      </c>
      <c r="L2119">
        <v>0</v>
      </c>
      <c r="M2119">
        <v>0</v>
      </c>
      <c r="N2119">
        <v>199</v>
      </c>
      <c r="O2119">
        <v>0</v>
      </c>
      <c r="P2119">
        <v>0</v>
      </c>
      <c r="Q2119">
        <v>7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f>NHS_AE_2024_2025[[#This Row],[A&amp;E attendances Type 1]]+
NHS_AE_2024_2025[[#This Row],[A&amp;E attendances Type 2]]+
NHS_AE_2024_2025[[#This Row],[A&amp;E attendances Other A&amp;E Department]]</f>
        <v>7773</v>
      </c>
      <c r="Y2119">
        <f t="shared" si="66"/>
        <v>199</v>
      </c>
      <c r="Z2119">
        <f t="shared" si="67"/>
        <v>0</v>
      </c>
    </row>
    <row r="2120" spans="1:26" x14ac:dyDescent="0.2">
      <c r="A2120" t="s">
        <v>456</v>
      </c>
      <c r="B2120" t="s">
        <v>457</v>
      </c>
      <c r="C2120" t="s">
        <v>220</v>
      </c>
      <c r="D2120" t="s">
        <v>50</v>
      </c>
      <c r="E2120" t="s">
        <v>221</v>
      </c>
      <c r="F2120">
        <v>0</v>
      </c>
      <c r="G2120">
        <v>0</v>
      </c>
      <c r="H2120">
        <v>352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f>NHS_AE_2024_2025[[#This Row],[A&amp;E attendances Type 1]]+
NHS_AE_2024_2025[[#This Row],[A&amp;E attendances Type 2]]+
NHS_AE_2024_2025[[#This Row],[A&amp;E attendances Other A&amp;E Department]]</f>
        <v>352</v>
      </c>
      <c r="Y2120">
        <f t="shared" si="66"/>
        <v>0</v>
      </c>
      <c r="Z2120">
        <f t="shared" si="67"/>
        <v>0</v>
      </c>
    </row>
    <row r="2121" spans="1:26" x14ac:dyDescent="0.2">
      <c r="A2121" t="s">
        <v>456</v>
      </c>
      <c r="B2121" t="s">
        <v>457</v>
      </c>
      <c r="C2121" t="s">
        <v>286</v>
      </c>
      <c r="D2121" t="s">
        <v>37</v>
      </c>
      <c r="E2121" t="s">
        <v>287</v>
      </c>
      <c r="F2121">
        <v>4072</v>
      </c>
      <c r="G2121">
        <v>291</v>
      </c>
      <c r="H2121">
        <v>1357</v>
      </c>
      <c r="I2121">
        <v>20</v>
      </c>
      <c r="J2121">
        <v>0</v>
      </c>
      <c r="K2121">
        <v>14</v>
      </c>
      <c r="L2121">
        <v>1920</v>
      </c>
      <c r="M2121">
        <v>0</v>
      </c>
      <c r="N2121">
        <v>0</v>
      </c>
      <c r="O2121">
        <v>6</v>
      </c>
      <c r="P2121">
        <v>0</v>
      </c>
      <c r="Q2121">
        <v>0</v>
      </c>
      <c r="R2121">
        <v>263</v>
      </c>
      <c r="S2121">
        <v>121</v>
      </c>
      <c r="T2121">
        <v>985</v>
      </c>
      <c r="U2121">
        <v>0</v>
      </c>
      <c r="V2121">
        <v>0</v>
      </c>
      <c r="W2121">
        <v>318</v>
      </c>
      <c r="X2121">
        <f>NHS_AE_2024_2025[[#This Row],[A&amp;E attendances Type 1]]+
NHS_AE_2024_2025[[#This Row],[A&amp;E attendances Type 2]]+
NHS_AE_2024_2025[[#This Row],[A&amp;E attendances Other A&amp;E Department]]</f>
        <v>5720</v>
      </c>
      <c r="Y2121">
        <f t="shared" si="66"/>
        <v>1920</v>
      </c>
      <c r="Z2121">
        <f t="shared" si="67"/>
        <v>1303</v>
      </c>
    </row>
    <row r="2122" spans="1:26" x14ac:dyDescent="0.2">
      <c r="A2122" t="s">
        <v>456</v>
      </c>
      <c r="B2122" t="s">
        <v>457</v>
      </c>
      <c r="C2122" t="s">
        <v>226</v>
      </c>
      <c r="D2122" t="s">
        <v>37</v>
      </c>
      <c r="E2122" t="s">
        <v>227</v>
      </c>
      <c r="F2122">
        <v>6970</v>
      </c>
      <c r="G2122">
        <v>0</v>
      </c>
      <c r="H2122">
        <v>1411</v>
      </c>
      <c r="I2122">
        <v>771</v>
      </c>
      <c r="J2122">
        <v>0</v>
      </c>
      <c r="K2122">
        <v>7</v>
      </c>
      <c r="L2122">
        <v>2175</v>
      </c>
      <c r="M2122">
        <v>0</v>
      </c>
      <c r="N2122">
        <v>0</v>
      </c>
      <c r="O2122">
        <v>189</v>
      </c>
      <c r="P2122">
        <v>0</v>
      </c>
      <c r="Q2122">
        <v>0</v>
      </c>
      <c r="R2122">
        <v>378</v>
      </c>
      <c r="S2122">
        <v>30</v>
      </c>
      <c r="T2122">
        <v>2445</v>
      </c>
      <c r="U2122">
        <v>0</v>
      </c>
      <c r="V2122">
        <v>0</v>
      </c>
      <c r="W2122">
        <v>1104</v>
      </c>
      <c r="X2122">
        <f>NHS_AE_2024_2025[[#This Row],[A&amp;E attendances Type 1]]+
NHS_AE_2024_2025[[#This Row],[A&amp;E attendances Type 2]]+
NHS_AE_2024_2025[[#This Row],[A&amp;E attendances Other A&amp;E Department]]</f>
        <v>8381</v>
      </c>
      <c r="Y2122">
        <f t="shared" si="66"/>
        <v>2175</v>
      </c>
      <c r="Z2122">
        <f t="shared" si="67"/>
        <v>3549</v>
      </c>
    </row>
    <row r="2123" spans="1:26" x14ac:dyDescent="0.2">
      <c r="A2123" t="s">
        <v>456</v>
      </c>
      <c r="B2123" t="s">
        <v>457</v>
      </c>
      <c r="C2123" t="s">
        <v>294</v>
      </c>
      <c r="D2123" t="s">
        <v>70</v>
      </c>
      <c r="E2123" t="s">
        <v>295</v>
      </c>
      <c r="F2123">
        <v>16766</v>
      </c>
      <c r="G2123">
        <v>0</v>
      </c>
      <c r="H2123">
        <v>8207</v>
      </c>
      <c r="I2123">
        <v>0</v>
      </c>
      <c r="J2123">
        <v>0</v>
      </c>
      <c r="K2123">
        <v>865</v>
      </c>
      <c r="L2123">
        <v>6847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81</v>
      </c>
      <c r="S2123">
        <v>49</v>
      </c>
      <c r="T2123">
        <v>4735</v>
      </c>
      <c r="U2123">
        <v>0</v>
      </c>
      <c r="V2123">
        <v>0</v>
      </c>
      <c r="W2123">
        <v>2331</v>
      </c>
      <c r="X2123">
        <f>NHS_AE_2024_2025[[#This Row],[A&amp;E attendances Type 1]]+
NHS_AE_2024_2025[[#This Row],[A&amp;E attendances Type 2]]+
NHS_AE_2024_2025[[#This Row],[A&amp;E attendances Other A&amp;E Department]]</f>
        <v>24973</v>
      </c>
      <c r="Y2123">
        <f t="shared" si="66"/>
        <v>6847</v>
      </c>
      <c r="Z2123">
        <f t="shared" si="67"/>
        <v>7066</v>
      </c>
    </row>
    <row r="2124" spans="1:26" x14ac:dyDescent="0.2">
      <c r="A2124" t="s">
        <v>456</v>
      </c>
      <c r="B2124" t="s">
        <v>457</v>
      </c>
      <c r="C2124" t="s">
        <v>362</v>
      </c>
      <c r="D2124" t="s">
        <v>26</v>
      </c>
      <c r="E2124" t="s">
        <v>363</v>
      </c>
      <c r="F2124">
        <v>8824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3593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742</v>
      </c>
      <c r="S2124">
        <v>123</v>
      </c>
      <c r="T2124">
        <v>2539</v>
      </c>
      <c r="U2124">
        <v>0</v>
      </c>
      <c r="V2124">
        <v>12</v>
      </c>
      <c r="W2124">
        <v>1668</v>
      </c>
      <c r="X2124">
        <f>NHS_AE_2024_2025[[#This Row],[A&amp;E attendances Type 1]]+
NHS_AE_2024_2025[[#This Row],[A&amp;E attendances Type 2]]+
NHS_AE_2024_2025[[#This Row],[A&amp;E attendances Other A&amp;E Department]]</f>
        <v>8824</v>
      </c>
      <c r="Y2124">
        <f t="shared" si="66"/>
        <v>3593</v>
      </c>
      <c r="Z2124">
        <f t="shared" si="67"/>
        <v>4219</v>
      </c>
    </row>
    <row r="2125" spans="1:26" x14ac:dyDescent="0.2">
      <c r="A2125" t="s">
        <v>456</v>
      </c>
      <c r="B2125" t="s">
        <v>457</v>
      </c>
      <c r="C2125" t="s">
        <v>296</v>
      </c>
      <c r="D2125" t="s">
        <v>70</v>
      </c>
      <c r="E2125" t="s">
        <v>297</v>
      </c>
      <c r="F2125">
        <v>14759</v>
      </c>
      <c r="G2125">
        <v>0</v>
      </c>
      <c r="H2125">
        <v>12190</v>
      </c>
      <c r="I2125">
        <v>830</v>
      </c>
      <c r="J2125">
        <v>0</v>
      </c>
      <c r="K2125">
        <v>276</v>
      </c>
      <c r="L2125">
        <v>7564</v>
      </c>
      <c r="M2125">
        <v>0</v>
      </c>
      <c r="N2125">
        <v>282</v>
      </c>
      <c r="O2125">
        <v>0</v>
      </c>
      <c r="P2125">
        <v>0</v>
      </c>
      <c r="Q2125">
        <v>0</v>
      </c>
      <c r="R2125">
        <v>1263</v>
      </c>
      <c r="S2125">
        <v>541</v>
      </c>
      <c r="T2125">
        <v>6386</v>
      </c>
      <c r="U2125">
        <v>0</v>
      </c>
      <c r="V2125">
        <v>386</v>
      </c>
      <c r="W2125">
        <v>1167</v>
      </c>
      <c r="X2125">
        <f>NHS_AE_2024_2025[[#This Row],[A&amp;E attendances Type 1]]+
NHS_AE_2024_2025[[#This Row],[A&amp;E attendances Type 2]]+
NHS_AE_2024_2025[[#This Row],[A&amp;E attendances Other A&amp;E Department]]</f>
        <v>26949</v>
      </c>
      <c r="Y2125">
        <f t="shared" si="66"/>
        <v>7846</v>
      </c>
      <c r="Z2125">
        <f t="shared" si="67"/>
        <v>7939</v>
      </c>
    </row>
    <row r="2126" spans="1:26" x14ac:dyDescent="0.2">
      <c r="A2126" t="s">
        <v>456</v>
      </c>
      <c r="B2126" t="s">
        <v>457</v>
      </c>
      <c r="C2126" t="s">
        <v>364</v>
      </c>
      <c r="D2126" t="s">
        <v>37</v>
      </c>
      <c r="E2126" t="s">
        <v>365</v>
      </c>
      <c r="F2126">
        <v>0</v>
      </c>
      <c r="G2126">
        <v>0</v>
      </c>
      <c r="H2126">
        <v>11958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86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f>NHS_AE_2024_2025[[#This Row],[A&amp;E attendances Type 1]]+
NHS_AE_2024_2025[[#This Row],[A&amp;E attendances Type 2]]+
NHS_AE_2024_2025[[#This Row],[A&amp;E attendances Other A&amp;E Department]]</f>
        <v>11958</v>
      </c>
      <c r="Y2126">
        <f t="shared" si="66"/>
        <v>86</v>
      </c>
      <c r="Z2126">
        <f t="shared" si="67"/>
        <v>0</v>
      </c>
    </row>
    <row r="2127" spans="1:26" x14ac:dyDescent="0.2">
      <c r="A2127" t="s">
        <v>456</v>
      </c>
      <c r="B2127" t="s">
        <v>457</v>
      </c>
      <c r="C2127" t="s">
        <v>298</v>
      </c>
      <c r="D2127" t="s">
        <v>32</v>
      </c>
      <c r="E2127" t="s">
        <v>299</v>
      </c>
      <c r="F2127">
        <v>7336</v>
      </c>
      <c r="G2127">
        <v>0</v>
      </c>
      <c r="H2127">
        <v>6024</v>
      </c>
      <c r="I2127">
        <v>248</v>
      </c>
      <c r="J2127">
        <v>0</v>
      </c>
      <c r="K2127">
        <v>127</v>
      </c>
      <c r="L2127">
        <v>4047</v>
      </c>
      <c r="M2127">
        <v>0</v>
      </c>
      <c r="N2127">
        <v>307</v>
      </c>
      <c r="O2127">
        <v>117</v>
      </c>
      <c r="P2127">
        <v>0</v>
      </c>
      <c r="Q2127">
        <v>11</v>
      </c>
      <c r="R2127">
        <v>1195</v>
      </c>
      <c r="S2127">
        <v>213</v>
      </c>
      <c r="T2127">
        <v>2948</v>
      </c>
      <c r="U2127">
        <v>0</v>
      </c>
      <c r="V2127">
        <v>266</v>
      </c>
      <c r="W2127">
        <v>681</v>
      </c>
      <c r="X2127">
        <f>NHS_AE_2024_2025[[#This Row],[A&amp;E attendances Type 1]]+
NHS_AE_2024_2025[[#This Row],[A&amp;E attendances Type 2]]+
NHS_AE_2024_2025[[#This Row],[A&amp;E attendances Other A&amp;E Department]]</f>
        <v>13360</v>
      </c>
      <c r="Y2127">
        <f t="shared" si="66"/>
        <v>4354</v>
      </c>
      <c r="Z2127">
        <f t="shared" si="67"/>
        <v>3895</v>
      </c>
    </row>
    <row r="2128" spans="1:26" x14ac:dyDescent="0.2">
      <c r="A2128" t="s">
        <v>456</v>
      </c>
      <c r="B2128" t="s">
        <v>457</v>
      </c>
      <c r="C2128" t="s">
        <v>368</v>
      </c>
      <c r="D2128" t="s">
        <v>50</v>
      </c>
      <c r="E2128" t="s">
        <v>369</v>
      </c>
      <c r="F2128">
        <v>9401</v>
      </c>
      <c r="G2128">
        <v>1200</v>
      </c>
      <c r="H2128">
        <v>7950</v>
      </c>
      <c r="I2128">
        <v>373</v>
      </c>
      <c r="J2128">
        <v>2</v>
      </c>
      <c r="K2128">
        <v>992</v>
      </c>
      <c r="L2128">
        <v>5243</v>
      </c>
      <c r="M2128">
        <v>0</v>
      </c>
      <c r="N2128">
        <v>193</v>
      </c>
      <c r="O2128">
        <v>186</v>
      </c>
      <c r="P2128">
        <v>0</v>
      </c>
      <c r="Q2128">
        <v>28</v>
      </c>
      <c r="R2128">
        <v>1514</v>
      </c>
      <c r="S2128">
        <v>18</v>
      </c>
      <c r="T2128">
        <v>3820</v>
      </c>
      <c r="U2128">
        <v>0</v>
      </c>
      <c r="V2128">
        <v>0</v>
      </c>
      <c r="W2128">
        <v>3123</v>
      </c>
      <c r="X2128">
        <f>NHS_AE_2024_2025[[#This Row],[A&amp;E attendances Type 1]]+
NHS_AE_2024_2025[[#This Row],[A&amp;E attendances Type 2]]+
NHS_AE_2024_2025[[#This Row],[A&amp;E attendances Other A&amp;E Department]]</f>
        <v>18551</v>
      </c>
      <c r="Y2128">
        <f t="shared" si="66"/>
        <v>5436</v>
      </c>
      <c r="Z2128">
        <f t="shared" si="67"/>
        <v>6943</v>
      </c>
    </row>
    <row r="2129" spans="1:26" x14ac:dyDescent="0.2">
      <c r="A2129" t="s">
        <v>456</v>
      </c>
      <c r="B2129" t="s">
        <v>457</v>
      </c>
      <c r="C2129" t="s">
        <v>302</v>
      </c>
      <c r="D2129" t="s">
        <v>29</v>
      </c>
      <c r="E2129" t="s">
        <v>303</v>
      </c>
      <c r="F2129">
        <v>10724</v>
      </c>
      <c r="G2129">
        <v>763</v>
      </c>
      <c r="H2129">
        <v>7247</v>
      </c>
      <c r="I2129">
        <v>0</v>
      </c>
      <c r="J2129">
        <v>0</v>
      </c>
      <c r="K2129">
        <v>0</v>
      </c>
      <c r="L2129">
        <v>4889</v>
      </c>
      <c r="M2129">
        <v>67</v>
      </c>
      <c r="N2129">
        <v>353</v>
      </c>
      <c r="O2129">
        <v>0</v>
      </c>
      <c r="P2129">
        <v>0</v>
      </c>
      <c r="Q2129">
        <v>0</v>
      </c>
      <c r="R2129">
        <v>189</v>
      </c>
      <c r="S2129">
        <v>76</v>
      </c>
      <c r="T2129">
        <v>2185</v>
      </c>
      <c r="U2129">
        <v>0</v>
      </c>
      <c r="V2129">
        <v>0</v>
      </c>
      <c r="W2129">
        <v>288</v>
      </c>
      <c r="X2129">
        <f>NHS_AE_2024_2025[[#This Row],[A&amp;E attendances Type 1]]+
NHS_AE_2024_2025[[#This Row],[A&amp;E attendances Type 2]]+
NHS_AE_2024_2025[[#This Row],[A&amp;E attendances Other A&amp;E Department]]</f>
        <v>18734</v>
      </c>
      <c r="Y2129">
        <f t="shared" si="66"/>
        <v>5309</v>
      </c>
      <c r="Z2129">
        <f t="shared" si="67"/>
        <v>2473</v>
      </c>
    </row>
    <row r="2130" spans="1:26" x14ac:dyDescent="0.2">
      <c r="A2130" t="s">
        <v>456</v>
      </c>
      <c r="B2130" t="s">
        <v>457</v>
      </c>
      <c r="C2130" t="s">
        <v>156</v>
      </c>
      <c r="D2130" t="s">
        <v>29</v>
      </c>
      <c r="E2130" t="s">
        <v>157</v>
      </c>
      <c r="F2130">
        <v>15923</v>
      </c>
      <c r="G2130">
        <v>0</v>
      </c>
      <c r="H2130">
        <v>8840</v>
      </c>
      <c r="I2130">
        <v>60</v>
      </c>
      <c r="J2130">
        <v>0</v>
      </c>
      <c r="K2130">
        <v>1252</v>
      </c>
      <c r="L2130">
        <v>7443</v>
      </c>
      <c r="M2130">
        <v>0</v>
      </c>
      <c r="N2130">
        <v>542</v>
      </c>
      <c r="O2130">
        <v>19</v>
      </c>
      <c r="P2130">
        <v>0</v>
      </c>
      <c r="Q2130">
        <v>1</v>
      </c>
      <c r="R2130">
        <v>1818</v>
      </c>
      <c r="S2130">
        <v>828</v>
      </c>
      <c r="T2130">
        <v>4072</v>
      </c>
      <c r="U2130">
        <v>0</v>
      </c>
      <c r="V2130">
        <v>0</v>
      </c>
      <c r="W2130">
        <v>311</v>
      </c>
      <c r="X2130">
        <f>NHS_AE_2024_2025[[#This Row],[A&amp;E attendances Type 1]]+
NHS_AE_2024_2025[[#This Row],[A&amp;E attendances Type 2]]+
NHS_AE_2024_2025[[#This Row],[A&amp;E attendances Other A&amp;E Department]]</f>
        <v>24763</v>
      </c>
      <c r="Y2130">
        <f t="shared" si="66"/>
        <v>7985</v>
      </c>
      <c r="Z2130">
        <f t="shared" si="67"/>
        <v>4383</v>
      </c>
    </row>
    <row r="2131" spans="1:26" x14ac:dyDescent="0.2">
      <c r="A2131" t="s">
        <v>456</v>
      </c>
      <c r="B2131" t="s">
        <v>457</v>
      </c>
      <c r="C2131" t="s">
        <v>372</v>
      </c>
      <c r="D2131" t="s">
        <v>29</v>
      </c>
      <c r="E2131" t="s">
        <v>373</v>
      </c>
      <c r="F2131">
        <v>9209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2424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237</v>
      </c>
      <c r="S2131">
        <v>331</v>
      </c>
      <c r="T2131">
        <v>1357</v>
      </c>
      <c r="U2131">
        <v>0</v>
      </c>
      <c r="V2131">
        <v>0</v>
      </c>
      <c r="W2131">
        <v>50</v>
      </c>
      <c r="X2131">
        <f>NHS_AE_2024_2025[[#This Row],[A&amp;E attendances Type 1]]+
NHS_AE_2024_2025[[#This Row],[A&amp;E attendances Type 2]]+
NHS_AE_2024_2025[[#This Row],[A&amp;E attendances Other A&amp;E Department]]</f>
        <v>9209</v>
      </c>
      <c r="Y2131">
        <f t="shared" si="66"/>
        <v>2424</v>
      </c>
      <c r="Z2131">
        <f t="shared" si="67"/>
        <v>1407</v>
      </c>
    </row>
    <row r="2132" spans="1:26" x14ac:dyDescent="0.2">
      <c r="A2132" t="s">
        <v>456</v>
      </c>
      <c r="B2132" t="s">
        <v>457</v>
      </c>
      <c r="C2132" t="s">
        <v>314</v>
      </c>
      <c r="D2132" t="s">
        <v>32</v>
      </c>
      <c r="E2132" t="s">
        <v>315</v>
      </c>
      <c r="F2132">
        <v>6953</v>
      </c>
      <c r="G2132">
        <v>0</v>
      </c>
      <c r="H2132">
        <v>1734</v>
      </c>
      <c r="I2132">
        <v>0</v>
      </c>
      <c r="J2132">
        <v>0</v>
      </c>
      <c r="K2132">
        <v>0</v>
      </c>
      <c r="L2132">
        <v>2358</v>
      </c>
      <c r="M2132">
        <v>0</v>
      </c>
      <c r="N2132">
        <v>29</v>
      </c>
      <c r="O2132">
        <v>0</v>
      </c>
      <c r="P2132">
        <v>0</v>
      </c>
      <c r="Q2132">
        <v>0</v>
      </c>
      <c r="R2132">
        <v>523</v>
      </c>
      <c r="S2132">
        <v>380</v>
      </c>
      <c r="T2132">
        <v>1151</v>
      </c>
      <c r="U2132">
        <v>0</v>
      </c>
      <c r="V2132">
        <v>0</v>
      </c>
      <c r="W2132">
        <v>39</v>
      </c>
      <c r="X2132">
        <f>NHS_AE_2024_2025[[#This Row],[A&amp;E attendances Type 1]]+
NHS_AE_2024_2025[[#This Row],[A&amp;E attendances Type 2]]+
NHS_AE_2024_2025[[#This Row],[A&amp;E attendances Other A&amp;E Department]]</f>
        <v>8687</v>
      </c>
      <c r="Y2132">
        <f t="shared" si="66"/>
        <v>2387</v>
      </c>
      <c r="Z2132">
        <f t="shared" si="67"/>
        <v>1190</v>
      </c>
    </row>
    <row r="2133" spans="1:26" x14ac:dyDescent="0.2">
      <c r="A2133" t="s">
        <v>456</v>
      </c>
      <c r="B2133" t="s">
        <v>457</v>
      </c>
      <c r="C2133" t="s">
        <v>252</v>
      </c>
      <c r="D2133" t="s">
        <v>37</v>
      </c>
      <c r="E2133" t="s">
        <v>253</v>
      </c>
      <c r="F2133">
        <v>13049</v>
      </c>
      <c r="G2133">
        <v>65</v>
      </c>
      <c r="H2133">
        <v>604</v>
      </c>
      <c r="I2133">
        <v>0</v>
      </c>
      <c r="J2133">
        <v>0</v>
      </c>
      <c r="K2133">
        <v>153</v>
      </c>
      <c r="L2133">
        <v>5325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241</v>
      </c>
      <c r="S2133">
        <v>23</v>
      </c>
      <c r="T2133">
        <v>4536</v>
      </c>
      <c r="U2133">
        <v>6</v>
      </c>
      <c r="V2133">
        <v>0</v>
      </c>
      <c r="W2133">
        <v>1205</v>
      </c>
      <c r="X2133">
        <f>NHS_AE_2024_2025[[#This Row],[A&amp;E attendances Type 1]]+
NHS_AE_2024_2025[[#This Row],[A&amp;E attendances Type 2]]+
NHS_AE_2024_2025[[#This Row],[A&amp;E attendances Other A&amp;E Department]]</f>
        <v>13718</v>
      </c>
      <c r="Y2133">
        <f t="shared" si="66"/>
        <v>5325</v>
      </c>
      <c r="Z2133">
        <f t="shared" si="67"/>
        <v>5747</v>
      </c>
    </row>
    <row r="2134" spans="1:26" x14ac:dyDescent="0.2">
      <c r="A2134" t="s">
        <v>456</v>
      </c>
      <c r="B2134" t="s">
        <v>457</v>
      </c>
      <c r="C2134" t="s">
        <v>158</v>
      </c>
      <c r="D2134" t="s">
        <v>32</v>
      </c>
      <c r="E2134" t="s">
        <v>159</v>
      </c>
      <c r="F2134">
        <v>10125</v>
      </c>
      <c r="G2134">
        <v>0</v>
      </c>
      <c r="H2134">
        <v>4534</v>
      </c>
      <c r="I2134">
        <v>0</v>
      </c>
      <c r="J2134">
        <v>0</v>
      </c>
      <c r="K2134">
        <v>741</v>
      </c>
      <c r="L2134">
        <v>2666</v>
      </c>
      <c r="M2134">
        <v>0</v>
      </c>
      <c r="N2134">
        <v>116</v>
      </c>
      <c r="O2134">
        <v>0</v>
      </c>
      <c r="P2134">
        <v>0</v>
      </c>
      <c r="Q2134">
        <v>0</v>
      </c>
      <c r="R2134">
        <v>2207</v>
      </c>
      <c r="S2134">
        <v>70</v>
      </c>
      <c r="T2134">
        <v>3683</v>
      </c>
      <c r="U2134">
        <v>0</v>
      </c>
      <c r="V2134">
        <v>0</v>
      </c>
      <c r="W2134">
        <v>2575</v>
      </c>
      <c r="X2134">
        <f>NHS_AE_2024_2025[[#This Row],[A&amp;E attendances Type 1]]+
NHS_AE_2024_2025[[#This Row],[A&amp;E attendances Type 2]]+
NHS_AE_2024_2025[[#This Row],[A&amp;E attendances Other A&amp;E Department]]</f>
        <v>14659</v>
      </c>
      <c r="Y2134">
        <f t="shared" si="66"/>
        <v>2782</v>
      </c>
      <c r="Z2134">
        <f t="shared" si="67"/>
        <v>6258</v>
      </c>
    </row>
    <row r="2135" spans="1:26" x14ac:dyDescent="0.2">
      <c r="A2135" t="s">
        <v>456</v>
      </c>
      <c r="B2135" t="s">
        <v>457</v>
      </c>
      <c r="C2135" t="s">
        <v>322</v>
      </c>
      <c r="D2135" t="s">
        <v>50</v>
      </c>
      <c r="E2135" t="s">
        <v>323</v>
      </c>
      <c r="F2135">
        <v>13574</v>
      </c>
      <c r="G2135">
        <v>0</v>
      </c>
      <c r="H2135">
        <v>4089</v>
      </c>
      <c r="I2135">
        <v>0</v>
      </c>
      <c r="J2135">
        <v>0</v>
      </c>
      <c r="K2135">
        <v>0</v>
      </c>
      <c r="L2135">
        <v>5246</v>
      </c>
      <c r="M2135">
        <v>0</v>
      </c>
      <c r="N2135">
        <v>2</v>
      </c>
      <c r="O2135">
        <v>0</v>
      </c>
      <c r="P2135">
        <v>0</v>
      </c>
      <c r="Q2135">
        <v>0</v>
      </c>
      <c r="R2135">
        <v>1059</v>
      </c>
      <c r="S2135">
        <v>271</v>
      </c>
      <c r="T2135">
        <v>4266</v>
      </c>
      <c r="U2135">
        <v>0</v>
      </c>
      <c r="V2135">
        <v>519</v>
      </c>
      <c r="W2135">
        <v>1213</v>
      </c>
      <c r="X2135">
        <f>NHS_AE_2024_2025[[#This Row],[A&amp;E attendances Type 1]]+
NHS_AE_2024_2025[[#This Row],[A&amp;E attendances Type 2]]+
NHS_AE_2024_2025[[#This Row],[A&amp;E attendances Other A&amp;E Department]]</f>
        <v>17663</v>
      </c>
      <c r="Y2135">
        <f t="shared" si="66"/>
        <v>5248</v>
      </c>
      <c r="Z2135">
        <f t="shared" si="67"/>
        <v>5998</v>
      </c>
    </row>
    <row r="2136" spans="1:26" x14ac:dyDescent="0.2">
      <c r="A2136" t="s">
        <v>456</v>
      </c>
      <c r="B2136" t="s">
        <v>457</v>
      </c>
      <c r="C2136" t="s">
        <v>324</v>
      </c>
      <c r="D2136" t="s">
        <v>37</v>
      </c>
      <c r="E2136" t="s">
        <v>325</v>
      </c>
      <c r="F2136">
        <v>9262</v>
      </c>
      <c r="G2136">
        <v>0</v>
      </c>
      <c r="H2136">
        <v>6334</v>
      </c>
      <c r="I2136">
        <v>351</v>
      </c>
      <c r="J2136">
        <v>0</v>
      </c>
      <c r="K2136">
        <v>910</v>
      </c>
      <c r="L2136">
        <v>3029</v>
      </c>
      <c r="M2136">
        <v>0</v>
      </c>
      <c r="N2136">
        <v>469</v>
      </c>
      <c r="O2136">
        <v>68</v>
      </c>
      <c r="P2136">
        <v>0</v>
      </c>
      <c r="Q2136">
        <v>0</v>
      </c>
      <c r="R2136">
        <v>338</v>
      </c>
      <c r="S2136">
        <v>693</v>
      </c>
      <c r="T2136">
        <v>1830</v>
      </c>
      <c r="U2136">
        <v>0</v>
      </c>
      <c r="V2136">
        <v>0</v>
      </c>
      <c r="W2136">
        <v>622</v>
      </c>
      <c r="X2136">
        <f>NHS_AE_2024_2025[[#This Row],[A&amp;E attendances Type 1]]+
NHS_AE_2024_2025[[#This Row],[A&amp;E attendances Type 2]]+
NHS_AE_2024_2025[[#This Row],[A&amp;E attendances Other A&amp;E Department]]</f>
        <v>15596</v>
      </c>
      <c r="Y2136">
        <f t="shared" si="66"/>
        <v>3498</v>
      </c>
      <c r="Z2136">
        <f t="shared" si="67"/>
        <v>2452</v>
      </c>
    </row>
    <row r="2137" spans="1:26" x14ac:dyDescent="0.2">
      <c r="A2137" t="s">
        <v>456</v>
      </c>
      <c r="B2137" t="s">
        <v>457</v>
      </c>
      <c r="C2137" t="s">
        <v>326</v>
      </c>
      <c r="D2137" t="s">
        <v>29</v>
      </c>
      <c r="E2137" t="s">
        <v>327</v>
      </c>
      <c r="F2137">
        <v>19934</v>
      </c>
      <c r="G2137">
        <v>0</v>
      </c>
      <c r="H2137">
        <v>6442</v>
      </c>
      <c r="I2137">
        <v>580</v>
      </c>
      <c r="J2137">
        <v>0</v>
      </c>
      <c r="K2137">
        <v>0</v>
      </c>
      <c r="L2137">
        <v>6299</v>
      </c>
      <c r="M2137">
        <v>0</v>
      </c>
      <c r="N2137">
        <v>76</v>
      </c>
      <c r="O2137">
        <v>0</v>
      </c>
      <c r="P2137">
        <v>0</v>
      </c>
      <c r="Q2137">
        <v>0</v>
      </c>
      <c r="R2137">
        <v>1181</v>
      </c>
      <c r="S2137">
        <v>72</v>
      </c>
      <c r="T2137">
        <v>2850</v>
      </c>
      <c r="U2137">
        <v>0</v>
      </c>
      <c r="V2137">
        <v>0</v>
      </c>
      <c r="W2137">
        <v>397</v>
      </c>
      <c r="X2137">
        <f>NHS_AE_2024_2025[[#This Row],[A&amp;E attendances Type 1]]+
NHS_AE_2024_2025[[#This Row],[A&amp;E attendances Type 2]]+
NHS_AE_2024_2025[[#This Row],[A&amp;E attendances Other A&amp;E Department]]</f>
        <v>26376</v>
      </c>
      <c r="Y2137">
        <f t="shared" si="66"/>
        <v>6375</v>
      </c>
      <c r="Z2137">
        <f t="shared" si="67"/>
        <v>3247</v>
      </c>
    </row>
    <row r="2138" spans="1:26" x14ac:dyDescent="0.2">
      <c r="A2138" t="s">
        <v>456</v>
      </c>
      <c r="B2138" t="s">
        <v>457</v>
      </c>
      <c r="C2138" t="s">
        <v>332</v>
      </c>
      <c r="D2138" t="s">
        <v>55</v>
      </c>
      <c r="E2138" t="s">
        <v>333</v>
      </c>
      <c r="F2138">
        <v>7459</v>
      </c>
      <c r="G2138">
        <v>0</v>
      </c>
      <c r="H2138">
        <v>5095</v>
      </c>
      <c r="I2138">
        <v>0</v>
      </c>
      <c r="J2138">
        <v>0</v>
      </c>
      <c r="K2138">
        <v>0</v>
      </c>
      <c r="L2138">
        <v>3748</v>
      </c>
      <c r="M2138">
        <v>0</v>
      </c>
      <c r="N2138">
        <v>39</v>
      </c>
      <c r="O2138">
        <v>0</v>
      </c>
      <c r="P2138">
        <v>0</v>
      </c>
      <c r="Q2138">
        <v>0</v>
      </c>
      <c r="R2138">
        <v>1249</v>
      </c>
      <c r="S2138">
        <v>429</v>
      </c>
      <c r="T2138">
        <v>2418</v>
      </c>
      <c r="U2138">
        <v>0</v>
      </c>
      <c r="V2138">
        <v>0</v>
      </c>
      <c r="W2138">
        <v>808</v>
      </c>
      <c r="X2138">
        <f>NHS_AE_2024_2025[[#This Row],[A&amp;E attendances Type 1]]+
NHS_AE_2024_2025[[#This Row],[A&amp;E attendances Type 2]]+
NHS_AE_2024_2025[[#This Row],[A&amp;E attendances Other A&amp;E Department]]</f>
        <v>12554</v>
      </c>
      <c r="Y2138">
        <f t="shared" si="66"/>
        <v>3787</v>
      </c>
      <c r="Z2138">
        <f t="shared" si="67"/>
        <v>3226</v>
      </c>
    </row>
    <row r="2139" spans="1:26" x14ac:dyDescent="0.2">
      <c r="A2139" t="s">
        <v>456</v>
      </c>
      <c r="B2139" t="s">
        <v>457</v>
      </c>
      <c r="C2139" t="s">
        <v>392</v>
      </c>
      <c r="D2139" t="s">
        <v>50</v>
      </c>
      <c r="E2139" t="s">
        <v>393</v>
      </c>
      <c r="F2139">
        <v>13523</v>
      </c>
      <c r="G2139">
        <v>1725</v>
      </c>
      <c r="H2139">
        <v>5578</v>
      </c>
      <c r="I2139">
        <v>0</v>
      </c>
      <c r="J2139">
        <v>0</v>
      </c>
      <c r="K2139">
        <v>1010</v>
      </c>
      <c r="L2139">
        <v>5402</v>
      </c>
      <c r="M2139">
        <v>157</v>
      </c>
      <c r="N2139">
        <v>0</v>
      </c>
      <c r="O2139">
        <v>0</v>
      </c>
      <c r="P2139">
        <v>0</v>
      </c>
      <c r="Q2139">
        <v>0</v>
      </c>
      <c r="R2139">
        <v>709</v>
      </c>
      <c r="S2139">
        <v>31</v>
      </c>
      <c r="T2139">
        <v>3487</v>
      </c>
      <c r="U2139">
        <v>12</v>
      </c>
      <c r="V2139">
        <v>0</v>
      </c>
      <c r="W2139">
        <v>2912</v>
      </c>
      <c r="X2139">
        <f>NHS_AE_2024_2025[[#This Row],[A&amp;E attendances Type 1]]+
NHS_AE_2024_2025[[#This Row],[A&amp;E attendances Type 2]]+
NHS_AE_2024_2025[[#This Row],[A&amp;E attendances Other A&amp;E Department]]</f>
        <v>20826</v>
      </c>
      <c r="Y2139">
        <f t="shared" si="66"/>
        <v>5559</v>
      </c>
      <c r="Z2139">
        <f t="shared" si="67"/>
        <v>6411</v>
      </c>
    </row>
    <row r="2140" spans="1:26" x14ac:dyDescent="0.2">
      <c r="A2140" t="s">
        <v>456</v>
      </c>
      <c r="B2140" t="s">
        <v>457</v>
      </c>
      <c r="C2140" t="s">
        <v>334</v>
      </c>
      <c r="D2140" t="s">
        <v>26</v>
      </c>
      <c r="E2140" t="s">
        <v>335</v>
      </c>
      <c r="F2140">
        <v>13122</v>
      </c>
      <c r="G2140">
        <v>0</v>
      </c>
      <c r="H2140">
        <v>0</v>
      </c>
      <c r="I2140">
        <v>207</v>
      </c>
      <c r="J2140">
        <v>0</v>
      </c>
      <c r="K2140">
        <v>0</v>
      </c>
      <c r="L2140">
        <v>5153</v>
      </c>
      <c r="M2140">
        <v>0</v>
      </c>
      <c r="N2140">
        <v>0</v>
      </c>
      <c r="O2140">
        <v>54</v>
      </c>
      <c r="P2140">
        <v>0</v>
      </c>
      <c r="Q2140">
        <v>0</v>
      </c>
      <c r="R2140">
        <v>385</v>
      </c>
      <c r="S2140">
        <v>597</v>
      </c>
      <c r="T2140">
        <v>2666</v>
      </c>
      <c r="U2140">
        <v>0</v>
      </c>
      <c r="V2140">
        <v>0</v>
      </c>
      <c r="W2140">
        <v>2307</v>
      </c>
      <c r="X2140">
        <f>NHS_AE_2024_2025[[#This Row],[A&amp;E attendances Type 1]]+
NHS_AE_2024_2025[[#This Row],[A&amp;E attendances Type 2]]+
NHS_AE_2024_2025[[#This Row],[A&amp;E attendances Other A&amp;E Department]]</f>
        <v>13122</v>
      </c>
      <c r="Y2140">
        <f t="shared" si="66"/>
        <v>5153</v>
      </c>
      <c r="Z2140">
        <f t="shared" si="67"/>
        <v>4973</v>
      </c>
    </row>
    <row r="2141" spans="1:26" x14ac:dyDescent="0.2">
      <c r="A2141" t="s">
        <v>456</v>
      </c>
      <c r="B2141" t="s">
        <v>457</v>
      </c>
      <c r="C2141" t="s">
        <v>338</v>
      </c>
      <c r="D2141" t="s">
        <v>50</v>
      </c>
      <c r="E2141" t="s">
        <v>339</v>
      </c>
      <c r="F2141">
        <v>7962</v>
      </c>
      <c r="G2141">
        <v>0</v>
      </c>
      <c r="H2141">
        <v>9112</v>
      </c>
      <c r="I2141">
        <v>0</v>
      </c>
      <c r="J2141">
        <v>0</v>
      </c>
      <c r="K2141">
        <v>1695</v>
      </c>
      <c r="L2141">
        <v>4212</v>
      </c>
      <c r="M2141">
        <v>0</v>
      </c>
      <c r="N2141">
        <v>667</v>
      </c>
      <c r="O2141">
        <v>0</v>
      </c>
      <c r="P2141">
        <v>0</v>
      </c>
      <c r="Q2141">
        <v>97</v>
      </c>
      <c r="R2141">
        <v>458</v>
      </c>
      <c r="S2141">
        <v>33</v>
      </c>
      <c r="T2141">
        <v>2977</v>
      </c>
      <c r="U2141">
        <v>0</v>
      </c>
      <c r="V2141">
        <v>131</v>
      </c>
      <c r="W2141">
        <v>2520</v>
      </c>
      <c r="X2141">
        <f>NHS_AE_2024_2025[[#This Row],[A&amp;E attendances Type 1]]+
NHS_AE_2024_2025[[#This Row],[A&amp;E attendances Type 2]]+
NHS_AE_2024_2025[[#This Row],[A&amp;E attendances Other A&amp;E Department]]</f>
        <v>17074</v>
      </c>
      <c r="Y2141">
        <f t="shared" si="66"/>
        <v>4879</v>
      </c>
      <c r="Z2141">
        <f t="shared" si="67"/>
        <v>5628</v>
      </c>
    </row>
    <row r="2142" spans="1:26" x14ac:dyDescent="0.2">
      <c r="A2142" t="s">
        <v>456</v>
      </c>
      <c r="B2142" t="s">
        <v>457</v>
      </c>
      <c r="C2142" t="s">
        <v>210</v>
      </c>
      <c r="D2142" t="s">
        <v>26</v>
      </c>
      <c r="E2142" t="s">
        <v>211</v>
      </c>
      <c r="F2142">
        <v>9291</v>
      </c>
      <c r="G2142">
        <v>0</v>
      </c>
      <c r="H2142">
        <v>0</v>
      </c>
      <c r="I2142">
        <v>26</v>
      </c>
      <c r="J2142">
        <v>0</v>
      </c>
      <c r="K2142">
        <v>0</v>
      </c>
      <c r="L2142">
        <v>3842</v>
      </c>
      <c r="M2142">
        <v>0</v>
      </c>
      <c r="N2142">
        <v>0</v>
      </c>
      <c r="O2142">
        <v>6</v>
      </c>
      <c r="P2142">
        <v>0</v>
      </c>
      <c r="Q2142">
        <v>0</v>
      </c>
      <c r="R2142">
        <v>626</v>
      </c>
      <c r="S2142">
        <v>419</v>
      </c>
      <c r="T2142">
        <v>3223</v>
      </c>
      <c r="U2142">
        <v>0</v>
      </c>
      <c r="V2142">
        <v>0</v>
      </c>
      <c r="W2142">
        <v>2096</v>
      </c>
      <c r="X2142">
        <f>NHS_AE_2024_2025[[#This Row],[A&amp;E attendances Type 1]]+
NHS_AE_2024_2025[[#This Row],[A&amp;E attendances Type 2]]+
NHS_AE_2024_2025[[#This Row],[A&amp;E attendances Other A&amp;E Department]]</f>
        <v>9291</v>
      </c>
      <c r="Y2142">
        <f t="shared" si="66"/>
        <v>3842</v>
      </c>
      <c r="Z2142">
        <f t="shared" si="67"/>
        <v>5319</v>
      </c>
    </row>
    <row r="2143" spans="1:26" x14ac:dyDescent="0.2">
      <c r="A2143" t="s">
        <v>456</v>
      </c>
      <c r="B2143" t="s">
        <v>457</v>
      </c>
      <c r="C2143" t="s">
        <v>340</v>
      </c>
      <c r="D2143" t="s">
        <v>29</v>
      </c>
      <c r="E2143" t="s">
        <v>341</v>
      </c>
      <c r="F2143">
        <v>11283</v>
      </c>
      <c r="G2143">
        <v>347</v>
      </c>
      <c r="H2143">
        <v>1356</v>
      </c>
      <c r="I2143">
        <v>318</v>
      </c>
      <c r="J2143">
        <v>1</v>
      </c>
      <c r="K2143">
        <v>15</v>
      </c>
      <c r="L2143">
        <v>3233</v>
      </c>
      <c r="M2143">
        <v>0</v>
      </c>
      <c r="N2143">
        <v>105</v>
      </c>
      <c r="O2143">
        <v>29</v>
      </c>
      <c r="P2143">
        <v>0</v>
      </c>
      <c r="Q2143">
        <v>0</v>
      </c>
      <c r="R2143">
        <v>299</v>
      </c>
      <c r="S2143">
        <v>659</v>
      </c>
      <c r="T2143">
        <v>1935</v>
      </c>
      <c r="U2143">
        <v>3</v>
      </c>
      <c r="V2143">
        <v>0</v>
      </c>
      <c r="W2143">
        <v>140</v>
      </c>
      <c r="X2143">
        <f>NHS_AE_2024_2025[[#This Row],[A&amp;E attendances Type 1]]+
NHS_AE_2024_2025[[#This Row],[A&amp;E attendances Type 2]]+
NHS_AE_2024_2025[[#This Row],[A&amp;E attendances Other A&amp;E Department]]</f>
        <v>12986</v>
      </c>
      <c r="Y2143">
        <f t="shared" si="66"/>
        <v>3338</v>
      </c>
      <c r="Z2143">
        <f t="shared" si="67"/>
        <v>2078</v>
      </c>
    </row>
    <row r="2144" spans="1:26" x14ac:dyDescent="0.2">
      <c r="A2144" t="s">
        <v>456</v>
      </c>
      <c r="B2144" t="s">
        <v>457</v>
      </c>
      <c r="C2144" t="s">
        <v>342</v>
      </c>
      <c r="D2144" t="s">
        <v>37</v>
      </c>
      <c r="E2144" t="s">
        <v>343</v>
      </c>
      <c r="F2144">
        <v>13636</v>
      </c>
      <c r="G2144">
        <v>0</v>
      </c>
      <c r="H2144">
        <v>12703</v>
      </c>
      <c r="I2144">
        <v>0</v>
      </c>
      <c r="J2144">
        <v>0</v>
      </c>
      <c r="K2144">
        <v>0</v>
      </c>
      <c r="L2144">
        <v>6263</v>
      </c>
      <c r="M2144">
        <v>0</v>
      </c>
      <c r="N2144">
        <v>468</v>
      </c>
      <c r="O2144">
        <v>0</v>
      </c>
      <c r="P2144">
        <v>0</v>
      </c>
      <c r="Q2144">
        <v>0</v>
      </c>
      <c r="R2144">
        <v>531</v>
      </c>
      <c r="S2144">
        <v>1171</v>
      </c>
      <c r="T2144">
        <v>3156</v>
      </c>
      <c r="U2144">
        <v>0</v>
      </c>
      <c r="V2144">
        <v>545</v>
      </c>
      <c r="W2144">
        <v>540</v>
      </c>
      <c r="X2144">
        <f>NHS_AE_2024_2025[[#This Row],[A&amp;E attendances Type 1]]+
NHS_AE_2024_2025[[#This Row],[A&amp;E attendances Type 2]]+
NHS_AE_2024_2025[[#This Row],[A&amp;E attendances Other A&amp;E Department]]</f>
        <v>26339</v>
      </c>
      <c r="Y2144">
        <f t="shared" si="66"/>
        <v>6731</v>
      </c>
      <c r="Z2144">
        <f t="shared" si="67"/>
        <v>4241</v>
      </c>
    </row>
    <row r="2145" spans="1:26" x14ac:dyDescent="0.2">
      <c r="A2145" t="s">
        <v>456</v>
      </c>
      <c r="B2145" t="s">
        <v>457</v>
      </c>
      <c r="C2145" t="s">
        <v>344</v>
      </c>
      <c r="D2145" t="s">
        <v>32</v>
      </c>
      <c r="E2145" t="s">
        <v>345</v>
      </c>
      <c r="F2145">
        <v>10357</v>
      </c>
      <c r="G2145">
        <v>0</v>
      </c>
      <c r="H2145">
        <v>9820</v>
      </c>
      <c r="I2145">
        <v>0</v>
      </c>
      <c r="J2145">
        <v>0</v>
      </c>
      <c r="K2145">
        <v>0</v>
      </c>
      <c r="L2145">
        <v>6293</v>
      </c>
      <c r="M2145">
        <v>0</v>
      </c>
      <c r="N2145">
        <v>1247</v>
      </c>
      <c r="O2145">
        <v>0</v>
      </c>
      <c r="P2145">
        <v>0</v>
      </c>
      <c r="Q2145">
        <v>0</v>
      </c>
      <c r="R2145">
        <v>1023</v>
      </c>
      <c r="S2145">
        <v>1171</v>
      </c>
      <c r="T2145">
        <v>4476</v>
      </c>
      <c r="U2145">
        <v>0</v>
      </c>
      <c r="V2145">
        <v>0</v>
      </c>
      <c r="W2145">
        <v>1081</v>
      </c>
      <c r="X2145">
        <f>NHS_AE_2024_2025[[#This Row],[A&amp;E attendances Type 1]]+
NHS_AE_2024_2025[[#This Row],[A&amp;E attendances Type 2]]+
NHS_AE_2024_2025[[#This Row],[A&amp;E attendances Other A&amp;E Department]]</f>
        <v>20177</v>
      </c>
      <c r="Y2145">
        <f t="shared" si="66"/>
        <v>7540</v>
      </c>
      <c r="Z2145">
        <f t="shared" si="67"/>
        <v>5557</v>
      </c>
    </row>
    <row r="2146" spans="1:26" x14ac:dyDescent="0.2">
      <c r="A2146" t="s">
        <v>456</v>
      </c>
      <c r="B2146" t="s">
        <v>457</v>
      </c>
      <c r="C2146" t="s">
        <v>346</v>
      </c>
      <c r="D2146" t="s">
        <v>70</v>
      </c>
      <c r="E2146" t="s">
        <v>347</v>
      </c>
      <c r="F2146">
        <v>9362</v>
      </c>
      <c r="G2146">
        <v>0</v>
      </c>
      <c r="H2146">
        <v>7726</v>
      </c>
      <c r="I2146">
        <v>0</v>
      </c>
      <c r="J2146">
        <v>0</v>
      </c>
      <c r="K2146">
        <v>0</v>
      </c>
      <c r="L2146">
        <v>5240</v>
      </c>
      <c r="M2146">
        <v>0</v>
      </c>
      <c r="N2146">
        <v>148</v>
      </c>
      <c r="O2146">
        <v>0</v>
      </c>
      <c r="P2146">
        <v>0</v>
      </c>
      <c r="Q2146">
        <v>0</v>
      </c>
      <c r="R2146">
        <v>234</v>
      </c>
      <c r="S2146">
        <v>107</v>
      </c>
      <c r="T2146">
        <v>3491</v>
      </c>
      <c r="U2146">
        <v>0</v>
      </c>
      <c r="V2146">
        <v>76</v>
      </c>
      <c r="W2146">
        <v>291</v>
      </c>
      <c r="X2146">
        <f>NHS_AE_2024_2025[[#This Row],[A&amp;E attendances Type 1]]+
NHS_AE_2024_2025[[#This Row],[A&amp;E attendances Type 2]]+
NHS_AE_2024_2025[[#This Row],[A&amp;E attendances Other A&amp;E Department]]</f>
        <v>17088</v>
      </c>
      <c r="Y2146">
        <f t="shared" si="66"/>
        <v>5388</v>
      </c>
      <c r="Z2146">
        <f t="shared" si="67"/>
        <v>3858</v>
      </c>
    </row>
    <row r="2147" spans="1:26" x14ac:dyDescent="0.2">
      <c r="A2147" t="s">
        <v>456</v>
      </c>
      <c r="B2147" t="s">
        <v>457</v>
      </c>
      <c r="C2147" t="s">
        <v>348</v>
      </c>
      <c r="D2147" t="s">
        <v>55</v>
      </c>
      <c r="E2147" t="s">
        <v>349</v>
      </c>
      <c r="F2147">
        <v>7968</v>
      </c>
      <c r="G2147">
        <v>0</v>
      </c>
      <c r="H2147">
        <v>1044</v>
      </c>
      <c r="I2147">
        <v>230</v>
      </c>
      <c r="J2147">
        <v>0</v>
      </c>
      <c r="K2147">
        <v>43</v>
      </c>
      <c r="L2147">
        <v>3404</v>
      </c>
      <c r="M2147">
        <v>0</v>
      </c>
      <c r="N2147">
        <v>35</v>
      </c>
      <c r="O2147">
        <v>88</v>
      </c>
      <c r="P2147">
        <v>0</v>
      </c>
      <c r="Q2147">
        <v>4</v>
      </c>
      <c r="R2147">
        <v>820</v>
      </c>
      <c r="S2147">
        <v>299</v>
      </c>
      <c r="T2147">
        <v>2854</v>
      </c>
      <c r="U2147">
        <v>0</v>
      </c>
      <c r="V2147">
        <v>61</v>
      </c>
      <c r="W2147">
        <v>879</v>
      </c>
      <c r="X2147">
        <f>NHS_AE_2024_2025[[#This Row],[A&amp;E attendances Type 1]]+
NHS_AE_2024_2025[[#This Row],[A&amp;E attendances Type 2]]+
NHS_AE_2024_2025[[#This Row],[A&amp;E attendances Other A&amp;E Department]]</f>
        <v>9012</v>
      </c>
      <c r="Y2147">
        <f t="shared" si="66"/>
        <v>3439</v>
      </c>
      <c r="Z2147">
        <f t="shared" si="67"/>
        <v>3794</v>
      </c>
    </row>
    <row r="2148" spans="1:26" x14ac:dyDescent="0.2">
      <c r="A2148" t="s">
        <v>456</v>
      </c>
      <c r="B2148" t="s">
        <v>457</v>
      </c>
      <c r="C2148" t="s">
        <v>170</v>
      </c>
      <c r="D2148" t="s">
        <v>32</v>
      </c>
      <c r="E2148" t="s">
        <v>171</v>
      </c>
      <c r="F2148">
        <v>16524</v>
      </c>
      <c r="G2148">
        <v>1792</v>
      </c>
      <c r="H2148">
        <v>320</v>
      </c>
      <c r="I2148">
        <v>117</v>
      </c>
      <c r="J2148">
        <v>0</v>
      </c>
      <c r="K2148">
        <v>0</v>
      </c>
      <c r="L2148">
        <v>9039</v>
      </c>
      <c r="M2148">
        <v>238</v>
      </c>
      <c r="N2148">
        <v>18</v>
      </c>
      <c r="O2148">
        <v>54</v>
      </c>
      <c r="P2148">
        <v>0</v>
      </c>
      <c r="Q2148">
        <v>0</v>
      </c>
      <c r="R2148">
        <v>606</v>
      </c>
      <c r="S2148">
        <v>481</v>
      </c>
      <c r="T2148">
        <v>4594</v>
      </c>
      <c r="U2148">
        <v>0</v>
      </c>
      <c r="V2148">
        <v>0</v>
      </c>
      <c r="W2148">
        <v>4607</v>
      </c>
      <c r="X2148">
        <f>NHS_AE_2024_2025[[#This Row],[A&amp;E attendances Type 1]]+
NHS_AE_2024_2025[[#This Row],[A&amp;E attendances Type 2]]+
NHS_AE_2024_2025[[#This Row],[A&amp;E attendances Other A&amp;E Department]]</f>
        <v>18636</v>
      </c>
      <c r="Y2148">
        <f t="shared" si="66"/>
        <v>9295</v>
      </c>
      <c r="Z2148">
        <f t="shared" si="67"/>
        <v>9201</v>
      </c>
    </row>
    <row r="2149" spans="1:26" x14ac:dyDescent="0.2">
      <c r="A2149" t="s">
        <v>456</v>
      </c>
      <c r="B2149" t="s">
        <v>457</v>
      </c>
      <c r="C2149" t="s">
        <v>214</v>
      </c>
      <c r="D2149" t="s">
        <v>55</v>
      </c>
      <c r="E2149" t="s">
        <v>215</v>
      </c>
      <c r="F2149">
        <v>12022</v>
      </c>
      <c r="G2149">
        <v>0</v>
      </c>
      <c r="H2149">
        <v>3620</v>
      </c>
      <c r="I2149">
        <v>254</v>
      </c>
      <c r="J2149">
        <v>0</v>
      </c>
      <c r="K2149">
        <v>90</v>
      </c>
      <c r="L2149">
        <v>4652</v>
      </c>
      <c r="M2149">
        <v>0</v>
      </c>
      <c r="N2149">
        <v>101</v>
      </c>
      <c r="O2149">
        <v>42</v>
      </c>
      <c r="P2149">
        <v>0</v>
      </c>
      <c r="Q2149">
        <v>0</v>
      </c>
      <c r="R2149">
        <v>1108</v>
      </c>
      <c r="S2149">
        <v>409</v>
      </c>
      <c r="T2149">
        <v>3238</v>
      </c>
      <c r="U2149">
        <v>0</v>
      </c>
      <c r="V2149">
        <v>90</v>
      </c>
      <c r="W2149">
        <v>1329</v>
      </c>
      <c r="X2149">
        <f>NHS_AE_2024_2025[[#This Row],[A&amp;E attendances Type 1]]+
NHS_AE_2024_2025[[#This Row],[A&amp;E attendances Type 2]]+
NHS_AE_2024_2025[[#This Row],[A&amp;E attendances Other A&amp;E Department]]</f>
        <v>15642</v>
      </c>
      <c r="Y2149">
        <f t="shared" si="66"/>
        <v>4753</v>
      </c>
      <c r="Z2149">
        <f t="shared" si="67"/>
        <v>4657</v>
      </c>
    </row>
    <row r="2150" spans="1:26" x14ac:dyDescent="0.2">
      <c r="A2150" t="s">
        <v>456</v>
      </c>
      <c r="B2150" t="s">
        <v>457</v>
      </c>
      <c r="C2150" t="s">
        <v>354</v>
      </c>
      <c r="D2150" t="s">
        <v>50</v>
      </c>
      <c r="E2150" t="s">
        <v>355</v>
      </c>
      <c r="F2150">
        <v>13500</v>
      </c>
      <c r="G2150">
        <v>0</v>
      </c>
      <c r="H2150">
        <v>4332</v>
      </c>
      <c r="I2150">
        <v>0</v>
      </c>
      <c r="J2150">
        <v>0</v>
      </c>
      <c r="K2150">
        <v>7236</v>
      </c>
      <c r="L2150">
        <v>5377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2186</v>
      </c>
      <c r="S2150">
        <v>23</v>
      </c>
      <c r="T2150">
        <v>4380</v>
      </c>
      <c r="U2150">
        <v>0</v>
      </c>
      <c r="V2150">
        <v>0</v>
      </c>
      <c r="W2150">
        <v>776</v>
      </c>
      <c r="X2150">
        <f>NHS_AE_2024_2025[[#This Row],[A&amp;E attendances Type 1]]+
NHS_AE_2024_2025[[#This Row],[A&amp;E attendances Type 2]]+
NHS_AE_2024_2025[[#This Row],[A&amp;E attendances Other A&amp;E Department]]</f>
        <v>17832</v>
      </c>
      <c r="Y2150">
        <f t="shared" si="66"/>
        <v>5377</v>
      </c>
      <c r="Z2150">
        <f t="shared" si="67"/>
        <v>5156</v>
      </c>
    </row>
    <row r="2151" spans="1:26" x14ac:dyDescent="0.2">
      <c r="A2151" t="s">
        <v>456</v>
      </c>
      <c r="B2151" t="s">
        <v>457</v>
      </c>
      <c r="C2151" t="s">
        <v>128</v>
      </c>
      <c r="D2151" t="s">
        <v>37</v>
      </c>
      <c r="E2151" t="s">
        <v>129</v>
      </c>
      <c r="F2151">
        <v>0</v>
      </c>
      <c r="G2151">
        <v>0</v>
      </c>
      <c r="H2151">
        <v>15413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61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f>NHS_AE_2024_2025[[#This Row],[A&amp;E attendances Type 1]]+
NHS_AE_2024_2025[[#This Row],[A&amp;E attendances Type 2]]+
NHS_AE_2024_2025[[#This Row],[A&amp;E attendances Other A&amp;E Department]]</f>
        <v>15413</v>
      </c>
      <c r="Y2151">
        <f t="shared" si="66"/>
        <v>61</v>
      </c>
      <c r="Z2151">
        <f t="shared" si="67"/>
        <v>0</v>
      </c>
    </row>
    <row r="2152" spans="1:26" x14ac:dyDescent="0.2">
      <c r="A2152" t="s">
        <v>456</v>
      </c>
      <c r="B2152" t="s">
        <v>457</v>
      </c>
      <c r="C2152" t="s">
        <v>106</v>
      </c>
      <c r="D2152" t="s">
        <v>37</v>
      </c>
      <c r="E2152" t="s">
        <v>107</v>
      </c>
      <c r="F2152">
        <v>0</v>
      </c>
      <c r="G2152">
        <v>0</v>
      </c>
      <c r="H2152">
        <v>1902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f>NHS_AE_2024_2025[[#This Row],[A&amp;E attendances Type 1]]+
NHS_AE_2024_2025[[#This Row],[A&amp;E attendances Type 2]]+
NHS_AE_2024_2025[[#This Row],[A&amp;E attendances Other A&amp;E Department]]</f>
        <v>1902</v>
      </c>
      <c r="Y2152">
        <f t="shared" si="66"/>
        <v>0</v>
      </c>
      <c r="Z2152">
        <f t="shared" si="67"/>
        <v>0</v>
      </c>
    </row>
    <row r="2153" spans="1:26" x14ac:dyDescent="0.2">
      <c r="A2153" t="s">
        <v>456</v>
      </c>
      <c r="B2153" t="s">
        <v>457</v>
      </c>
      <c r="C2153" t="s">
        <v>148</v>
      </c>
      <c r="D2153" t="s">
        <v>32</v>
      </c>
      <c r="E2153" t="s">
        <v>149</v>
      </c>
      <c r="F2153">
        <v>0</v>
      </c>
      <c r="G2153">
        <v>0</v>
      </c>
      <c r="H2153">
        <v>3110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f>NHS_AE_2024_2025[[#This Row],[A&amp;E attendances Type 1]]+
NHS_AE_2024_2025[[#This Row],[A&amp;E attendances Type 2]]+
NHS_AE_2024_2025[[#This Row],[A&amp;E attendances Other A&amp;E Department]]</f>
        <v>3110</v>
      </c>
      <c r="Y2153">
        <f t="shared" si="66"/>
        <v>12</v>
      </c>
      <c r="Z2153">
        <f t="shared" si="67"/>
        <v>0</v>
      </c>
    </row>
    <row r="2154" spans="1:26" x14ac:dyDescent="0.2">
      <c r="A2154" t="s">
        <v>456</v>
      </c>
      <c r="B2154" t="s">
        <v>457</v>
      </c>
      <c r="C2154" t="s">
        <v>224</v>
      </c>
      <c r="D2154" t="s">
        <v>29</v>
      </c>
      <c r="E2154" t="s">
        <v>225</v>
      </c>
      <c r="F2154">
        <v>25988</v>
      </c>
      <c r="G2154">
        <v>975</v>
      </c>
      <c r="H2154">
        <v>17703</v>
      </c>
      <c r="I2154">
        <v>0</v>
      </c>
      <c r="J2154">
        <v>0</v>
      </c>
      <c r="K2154">
        <v>0</v>
      </c>
      <c r="L2154">
        <v>11891</v>
      </c>
      <c r="M2154">
        <v>45</v>
      </c>
      <c r="N2154">
        <v>1311</v>
      </c>
      <c r="O2154">
        <v>0</v>
      </c>
      <c r="P2154">
        <v>0</v>
      </c>
      <c r="Q2154">
        <v>0</v>
      </c>
      <c r="R2154">
        <v>1195</v>
      </c>
      <c r="S2154">
        <v>1199</v>
      </c>
      <c r="T2154">
        <v>4595</v>
      </c>
      <c r="U2154">
        <v>1</v>
      </c>
      <c r="V2154">
        <v>48</v>
      </c>
      <c r="W2154">
        <v>1169</v>
      </c>
      <c r="X2154">
        <f>NHS_AE_2024_2025[[#This Row],[A&amp;E attendances Type 1]]+
NHS_AE_2024_2025[[#This Row],[A&amp;E attendances Type 2]]+
NHS_AE_2024_2025[[#This Row],[A&amp;E attendances Other A&amp;E Department]]</f>
        <v>44666</v>
      </c>
      <c r="Y2154">
        <f t="shared" si="66"/>
        <v>13247</v>
      </c>
      <c r="Z2154">
        <f t="shared" si="67"/>
        <v>5813</v>
      </c>
    </row>
    <row r="2155" spans="1:26" x14ac:dyDescent="0.2">
      <c r="A2155" t="s">
        <v>456</v>
      </c>
      <c r="B2155" t="s">
        <v>457</v>
      </c>
      <c r="C2155" t="s">
        <v>290</v>
      </c>
      <c r="D2155" t="s">
        <v>29</v>
      </c>
      <c r="E2155" t="s">
        <v>291</v>
      </c>
      <c r="F2155">
        <v>8680</v>
      </c>
      <c r="G2155">
        <v>489</v>
      </c>
      <c r="H2155">
        <v>6834</v>
      </c>
      <c r="I2155">
        <v>73</v>
      </c>
      <c r="J2155">
        <v>0</v>
      </c>
      <c r="K2155">
        <v>110</v>
      </c>
      <c r="L2155">
        <v>4763</v>
      </c>
      <c r="M2155">
        <v>11</v>
      </c>
      <c r="N2155">
        <v>622</v>
      </c>
      <c r="O2155">
        <v>33</v>
      </c>
      <c r="P2155">
        <v>0</v>
      </c>
      <c r="Q2155">
        <v>10</v>
      </c>
      <c r="R2155">
        <v>285</v>
      </c>
      <c r="S2155">
        <v>848</v>
      </c>
      <c r="T2155">
        <v>1507</v>
      </c>
      <c r="U2155">
        <v>0</v>
      </c>
      <c r="V2155">
        <v>157</v>
      </c>
      <c r="W2155">
        <v>77</v>
      </c>
      <c r="X2155">
        <f>NHS_AE_2024_2025[[#This Row],[A&amp;E attendances Type 1]]+
NHS_AE_2024_2025[[#This Row],[A&amp;E attendances Type 2]]+
NHS_AE_2024_2025[[#This Row],[A&amp;E attendances Other A&amp;E Department]]</f>
        <v>16003</v>
      </c>
      <c r="Y2155">
        <f t="shared" si="66"/>
        <v>5396</v>
      </c>
      <c r="Z2155">
        <f t="shared" si="67"/>
        <v>1741</v>
      </c>
    </row>
    <row r="2156" spans="1:26" x14ac:dyDescent="0.2">
      <c r="A2156" t="s">
        <v>456</v>
      </c>
      <c r="B2156" t="s">
        <v>457</v>
      </c>
      <c r="C2156" t="s">
        <v>150</v>
      </c>
      <c r="D2156" t="s">
        <v>55</v>
      </c>
      <c r="E2156" t="s">
        <v>151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745</v>
      </c>
      <c r="X2156">
        <f>NHS_AE_2024_2025[[#This Row],[A&amp;E attendances Type 1]]+
NHS_AE_2024_2025[[#This Row],[A&amp;E attendances Type 2]]+
NHS_AE_2024_2025[[#This Row],[A&amp;E attendances Other A&amp;E Department]]</f>
        <v>0</v>
      </c>
      <c r="Y2156">
        <f t="shared" si="66"/>
        <v>0</v>
      </c>
      <c r="Z2156">
        <f t="shared" si="67"/>
        <v>745</v>
      </c>
    </row>
    <row r="2157" spans="1:26" x14ac:dyDescent="0.2">
      <c r="A2157" t="s">
        <v>456</v>
      </c>
      <c r="B2157" t="s">
        <v>457</v>
      </c>
      <c r="C2157" t="s">
        <v>384</v>
      </c>
      <c r="D2157" t="s">
        <v>55</v>
      </c>
      <c r="E2157" t="s">
        <v>385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185</v>
      </c>
      <c r="X2157">
        <f>NHS_AE_2024_2025[[#This Row],[A&amp;E attendances Type 1]]+
NHS_AE_2024_2025[[#This Row],[A&amp;E attendances Type 2]]+
NHS_AE_2024_2025[[#This Row],[A&amp;E attendances Other A&amp;E Department]]</f>
        <v>0</v>
      </c>
      <c r="Y2157">
        <f t="shared" si="66"/>
        <v>0</v>
      </c>
      <c r="Z2157">
        <f t="shared" si="67"/>
        <v>185</v>
      </c>
    </row>
    <row r="2158" spans="1:26" x14ac:dyDescent="0.2">
      <c r="A2158" t="s">
        <v>456</v>
      </c>
      <c r="B2158" t="s">
        <v>457</v>
      </c>
      <c r="C2158" t="s">
        <v>366</v>
      </c>
      <c r="D2158" t="s">
        <v>29</v>
      </c>
      <c r="E2158" t="s">
        <v>367</v>
      </c>
      <c r="F2158">
        <v>13771</v>
      </c>
      <c r="G2158">
        <v>2423</v>
      </c>
      <c r="H2158">
        <v>13337</v>
      </c>
      <c r="I2158">
        <v>0</v>
      </c>
      <c r="J2158">
        <v>0</v>
      </c>
      <c r="K2158">
        <v>0</v>
      </c>
      <c r="L2158">
        <v>6197</v>
      </c>
      <c r="M2158">
        <v>322</v>
      </c>
      <c r="N2158">
        <v>153</v>
      </c>
      <c r="O2158">
        <v>0</v>
      </c>
      <c r="P2158">
        <v>0</v>
      </c>
      <c r="Q2158">
        <v>0</v>
      </c>
      <c r="R2158">
        <v>759</v>
      </c>
      <c r="S2158">
        <v>753</v>
      </c>
      <c r="T2158">
        <v>8228</v>
      </c>
      <c r="U2158">
        <v>0</v>
      </c>
      <c r="V2158">
        <v>0</v>
      </c>
      <c r="W2158">
        <v>380</v>
      </c>
      <c r="X2158">
        <f>NHS_AE_2024_2025[[#This Row],[A&amp;E attendances Type 1]]+
NHS_AE_2024_2025[[#This Row],[A&amp;E attendances Type 2]]+
NHS_AE_2024_2025[[#This Row],[A&amp;E attendances Other A&amp;E Department]]</f>
        <v>29531</v>
      </c>
      <c r="Y2158">
        <f t="shared" si="66"/>
        <v>6672</v>
      </c>
      <c r="Z2158">
        <f t="shared" si="67"/>
        <v>8608</v>
      </c>
    </row>
    <row r="2159" spans="1:26" x14ac:dyDescent="0.2">
      <c r="A2159" t="s">
        <v>456</v>
      </c>
      <c r="B2159" t="s">
        <v>457</v>
      </c>
      <c r="C2159" t="s">
        <v>420</v>
      </c>
      <c r="D2159" t="s">
        <v>37</v>
      </c>
      <c r="E2159" t="s">
        <v>421</v>
      </c>
      <c r="F2159">
        <v>10460</v>
      </c>
      <c r="G2159">
        <v>830</v>
      </c>
      <c r="H2159">
        <v>3080</v>
      </c>
      <c r="I2159">
        <v>1196</v>
      </c>
      <c r="J2159">
        <v>0</v>
      </c>
      <c r="K2159">
        <v>709</v>
      </c>
      <c r="L2159">
        <v>6042</v>
      </c>
      <c r="M2159">
        <v>9</v>
      </c>
      <c r="N2159">
        <v>95</v>
      </c>
      <c r="O2159">
        <v>0</v>
      </c>
      <c r="P2159">
        <v>0</v>
      </c>
      <c r="Q2159">
        <v>0</v>
      </c>
      <c r="R2159">
        <v>1594</v>
      </c>
      <c r="S2159">
        <v>131</v>
      </c>
      <c r="T2159">
        <v>3495</v>
      </c>
      <c r="U2159">
        <v>0</v>
      </c>
      <c r="V2159">
        <v>0</v>
      </c>
      <c r="W2159">
        <v>2617</v>
      </c>
      <c r="X2159">
        <f>NHS_AE_2024_2025[[#This Row],[A&amp;E attendances Type 1]]+
NHS_AE_2024_2025[[#This Row],[A&amp;E attendances Type 2]]+
NHS_AE_2024_2025[[#This Row],[A&amp;E attendances Other A&amp;E Department]]</f>
        <v>14370</v>
      </c>
      <c r="Y2159">
        <f t="shared" si="66"/>
        <v>6146</v>
      </c>
      <c r="Z2159">
        <f t="shared" si="67"/>
        <v>6112</v>
      </c>
    </row>
    <row r="2160" spans="1:26" x14ac:dyDescent="0.2">
      <c r="A2160" t="s">
        <v>456</v>
      </c>
      <c r="B2160" t="s">
        <v>457</v>
      </c>
      <c r="C2160" t="s">
        <v>370</v>
      </c>
      <c r="D2160" t="s">
        <v>29</v>
      </c>
      <c r="E2160" t="s">
        <v>371</v>
      </c>
      <c r="F2160">
        <v>14416</v>
      </c>
      <c r="G2160">
        <v>0</v>
      </c>
      <c r="H2160">
        <v>10995</v>
      </c>
      <c r="I2160">
        <v>0</v>
      </c>
      <c r="J2160">
        <v>0</v>
      </c>
      <c r="K2160">
        <v>0</v>
      </c>
      <c r="L2160">
        <v>7615</v>
      </c>
      <c r="M2160">
        <v>0</v>
      </c>
      <c r="N2160">
        <v>1508</v>
      </c>
      <c r="O2160">
        <v>0</v>
      </c>
      <c r="P2160">
        <v>0</v>
      </c>
      <c r="Q2160">
        <v>0</v>
      </c>
      <c r="R2160">
        <v>1215</v>
      </c>
      <c r="S2160">
        <v>802</v>
      </c>
      <c r="T2160">
        <v>4024</v>
      </c>
      <c r="U2160">
        <v>0</v>
      </c>
      <c r="V2160">
        <v>0</v>
      </c>
      <c r="W2160">
        <v>1474</v>
      </c>
      <c r="X2160">
        <f>NHS_AE_2024_2025[[#This Row],[A&amp;E attendances Type 1]]+
NHS_AE_2024_2025[[#This Row],[A&amp;E attendances Type 2]]+
NHS_AE_2024_2025[[#This Row],[A&amp;E attendances Other A&amp;E Department]]</f>
        <v>25411</v>
      </c>
      <c r="Y2160">
        <f t="shared" si="66"/>
        <v>9123</v>
      </c>
      <c r="Z2160">
        <f t="shared" si="67"/>
        <v>5498</v>
      </c>
    </row>
    <row r="2161" spans="1:26" x14ac:dyDescent="0.2">
      <c r="A2161" t="s">
        <v>456</v>
      </c>
      <c r="B2161" t="s">
        <v>457</v>
      </c>
      <c r="C2161" t="s">
        <v>316</v>
      </c>
      <c r="D2161" t="s">
        <v>70</v>
      </c>
      <c r="E2161" t="s">
        <v>317</v>
      </c>
      <c r="F2161">
        <v>12575</v>
      </c>
      <c r="G2161">
        <v>0</v>
      </c>
      <c r="H2161">
        <v>8499</v>
      </c>
      <c r="I2161">
        <v>0</v>
      </c>
      <c r="J2161">
        <v>0</v>
      </c>
      <c r="K2161">
        <v>0</v>
      </c>
      <c r="L2161">
        <v>4452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1093</v>
      </c>
      <c r="S2161">
        <v>306</v>
      </c>
      <c r="T2161">
        <v>2703</v>
      </c>
      <c r="U2161">
        <v>0</v>
      </c>
      <c r="V2161">
        <v>0</v>
      </c>
      <c r="W2161">
        <v>1764</v>
      </c>
      <c r="X2161">
        <f>NHS_AE_2024_2025[[#This Row],[A&amp;E attendances Type 1]]+
NHS_AE_2024_2025[[#This Row],[A&amp;E attendances Type 2]]+
NHS_AE_2024_2025[[#This Row],[A&amp;E attendances Other A&amp;E Department]]</f>
        <v>21074</v>
      </c>
      <c r="Y2161">
        <f t="shared" si="66"/>
        <v>4454</v>
      </c>
      <c r="Z2161">
        <f t="shared" si="67"/>
        <v>4467</v>
      </c>
    </row>
    <row r="2162" spans="1:26" x14ac:dyDescent="0.2">
      <c r="A2162" t="s">
        <v>456</v>
      </c>
      <c r="B2162" t="s">
        <v>457</v>
      </c>
      <c r="C2162" t="s">
        <v>330</v>
      </c>
      <c r="D2162" t="s">
        <v>50</v>
      </c>
      <c r="E2162" t="s">
        <v>331</v>
      </c>
      <c r="F2162">
        <v>18217</v>
      </c>
      <c r="G2162">
        <v>710</v>
      </c>
      <c r="H2162">
        <v>12262</v>
      </c>
      <c r="I2162">
        <v>34</v>
      </c>
      <c r="J2162">
        <v>0</v>
      </c>
      <c r="K2162">
        <v>57</v>
      </c>
      <c r="L2162">
        <v>8009</v>
      </c>
      <c r="M2162">
        <v>0</v>
      </c>
      <c r="N2162">
        <v>113</v>
      </c>
      <c r="O2162">
        <v>8</v>
      </c>
      <c r="P2162">
        <v>0</v>
      </c>
      <c r="Q2162">
        <v>0</v>
      </c>
      <c r="R2162">
        <v>1783</v>
      </c>
      <c r="S2162">
        <v>461</v>
      </c>
      <c r="T2162">
        <v>3899</v>
      </c>
      <c r="U2162">
        <v>0</v>
      </c>
      <c r="V2162">
        <v>0</v>
      </c>
      <c r="W2162">
        <v>1319</v>
      </c>
      <c r="X2162">
        <f>NHS_AE_2024_2025[[#This Row],[A&amp;E attendances Type 1]]+
NHS_AE_2024_2025[[#This Row],[A&amp;E attendances Type 2]]+
NHS_AE_2024_2025[[#This Row],[A&amp;E attendances Other A&amp;E Department]]</f>
        <v>31189</v>
      </c>
      <c r="Y2162">
        <f t="shared" si="66"/>
        <v>8122</v>
      </c>
      <c r="Z2162">
        <f t="shared" si="67"/>
        <v>5218</v>
      </c>
    </row>
    <row r="2163" spans="1:26" x14ac:dyDescent="0.2">
      <c r="A2163" t="s">
        <v>456</v>
      </c>
      <c r="B2163" t="s">
        <v>457</v>
      </c>
      <c r="C2163" t="s">
        <v>336</v>
      </c>
      <c r="D2163" t="s">
        <v>50</v>
      </c>
      <c r="E2163" t="s">
        <v>337</v>
      </c>
      <c r="F2163">
        <v>10277</v>
      </c>
      <c r="G2163">
        <v>0</v>
      </c>
      <c r="H2163">
        <v>12309</v>
      </c>
      <c r="I2163">
        <v>0</v>
      </c>
      <c r="J2163">
        <v>0</v>
      </c>
      <c r="K2163">
        <v>0</v>
      </c>
      <c r="L2163">
        <v>3054</v>
      </c>
      <c r="M2163">
        <v>0</v>
      </c>
      <c r="N2163">
        <v>4</v>
      </c>
      <c r="O2163">
        <v>0</v>
      </c>
      <c r="P2163">
        <v>0</v>
      </c>
      <c r="Q2163">
        <v>0</v>
      </c>
      <c r="R2163">
        <v>113</v>
      </c>
      <c r="S2163">
        <v>1</v>
      </c>
      <c r="T2163">
        <v>4054</v>
      </c>
      <c r="U2163">
        <v>0</v>
      </c>
      <c r="V2163">
        <v>50</v>
      </c>
      <c r="W2163">
        <v>457</v>
      </c>
      <c r="X2163">
        <f>NHS_AE_2024_2025[[#This Row],[A&amp;E attendances Type 1]]+
NHS_AE_2024_2025[[#This Row],[A&amp;E attendances Type 2]]+
NHS_AE_2024_2025[[#This Row],[A&amp;E attendances Other A&amp;E Department]]</f>
        <v>22586</v>
      </c>
      <c r="Y2163">
        <f t="shared" si="66"/>
        <v>3058</v>
      </c>
      <c r="Z2163">
        <f t="shared" si="67"/>
        <v>4561</v>
      </c>
    </row>
    <row r="2164" spans="1:26" x14ac:dyDescent="0.2">
      <c r="A2164" t="s">
        <v>456</v>
      </c>
      <c r="B2164" t="s">
        <v>457</v>
      </c>
      <c r="C2164" t="s">
        <v>378</v>
      </c>
      <c r="D2164" t="s">
        <v>37</v>
      </c>
      <c r="E2164" t="s">
        <v>379</v>
      </c>
      <c r="F2164">
        <v>0</v>
      </c>
      <c r="G2164">
        <v>0</v>
      </c>
      <c r="H2164">
        <v>1470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14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28</v>
      </c>
      <c r="W2164">
        <v>0</v>
      </c>
      <c r="X2164">
        <f>NHS_AE_2024_2025[[#This Row],[A&amp;E attendances Type 1]]+
NHS_AE_2024_2025[[#This Row],[A&amp;E attendances Type 2]]+
NHS_AE_2024_2025[[#This Row],[A&amp;E attendances Other A&amp;E Department]]</f>
        <v>1470</v>
      </c>
      <c r="Y2164">
        <f t="shared" si="66"/>
        <v>14</v>
      </c>
      <c r="Z2164">
        <f t="shared" si="67"/>
        <v>28</v>
      </c>
    </row>
    <row r="2165" spans="1:26" x14ac:dyDescent="0.2">
      <c r="A2165" t="s">
        <v>456</v>
      </c>
      <c r="B2165" t="s">
        <v>457</v>
      </c>
      <c r="C2165" t="s">
        <v>352</v>
      </c>
      <c r="D2165" t="s">
        <v>50</v>
      </c>
      <c r="E2165" t="s">
        <v>353</v>
      </c>
      <c r="F2165">
        <v>16821</v>
      </c>
      <c r="G2165">
        <v>162</v>
      </c>
      <c r="H2165">
        <v>6154</v>
      </c>
      <c r="I2165">
        <v>124</v>
      </c>
      <c r="J2165">
        <v>0</v>
      </c>
      <c r="K2165">
        <v>91</v>
      </c>
      <c r="L2165">
        <v>7417</v>
      </c>
      <c r="M2165">
        <v>0</v>
      </c>
      <c r="N2165">
        <v>466</v>
      </c>
      <c r="O2165">
        <v>2</v>
      </c>
      <c r="P2165">
        <v>0</v>
      </c>
      <c r="Q2165">
        <v>2</v>
      </c>
      <c r="R2165">
        <v>2491</v>
      </c>
      <c r="S2165">
        <v>205</v>
      </c>
      <c r="T2165">
        <v>3833</v>
      </c>
      <c r="U2165">
        <v>0</v>
      </c>
      <c r="V2165">
        <v>166</v>
      </c>
      <c r="W2165">
        <v>891</v>
      </c>
      <c r="X2165">
        <f>NHS_AE_2024_2025[[#This Row],[A&amp;E attendances Type 1]]+
NHS_AE_2024_2025[[#This Row],[A&amp;E attendances Type 2]]+
NHS_AE_2024_2025[[#This Row],[A&amp;E attendances Other A&amp;E Department]]</f>
        <v>23137</v>
      </c>
      <c r="Y2165">
        <f t="shared" si="66"/>
        <v>7883</v>
      </c>
      <c r="Z2165">
        <f t="shared" si="67"/>
        <v>4890</v>
      </c>
    </row>
    <row r="2166" spans="1:26" x14ac:dyDescent="0.2">
      <c r="A2166" t="s">
        <v>456</v>
      </c>
      <c r="B2166" t="s">
        <v>457</v>
      </c>
      <c r="C2166" t="s">
        <v>358</v>
      </c>
      <c r="D2166" t="s">
        <v>29</v>
      </c>
      <c r="E2166" t="s">
        <v>359</v>
      </c>
      <c r="F2166">
        <v>12400</v>
      </c>
      <c r="G2166">
        <v>3848</v>
      </c>
      <c r="H2166">
        <v>7519</v>
      </c>
      <c r="I2166">
        <v>0</v>
      </c>
      <c r="J2166">
        <v>0</v>
      </c>
      <c r="K2166">
        <v>484</v>
      </c>
      <c r="L2166">
        <v>5086</v>
      </c>
      <c r="M2166">
        <v>21</v>
      </c>
      <c r="N2166">
        <v>545</v>
      </c>
      <c r="O2166">
        <v>0</v>
      </c>
      <c r="P2166">
        <v>0</v>
      </c>
      <c r="Q2166">
        <v>0</v>
      </c>
      <c r="R2166">
        <v>655</v>
      </c>
      <c r="S2166">
        <v>461</v>
      </c>
      <c r="T2166">
        <v>4108</v>
      </c>
      <c r="U2166">
        <v>1</v>
      </c>
      <c r="V2166">
        <v>0</v>
      </c>
      <c r="W2166">
        <v>1235</v>
      </c>
      <c r="X2166">
        <f>NHS_AE_2024_2025[[#This Row],[A&amp;E attendances Type 1]]+
NHS_AE_2024_2025[[#This Row],[A&amp;E attendances Type 2]]+
NHS_AE_2024_2025[[#This Row],[A&amp;E attendances Other A&amp;E Department]]</f>
        <v>23767</v>
      </c>
      <c r="Y2166">
        <f t="shared" si="66"/>
        <v>5652</v>
      </c>
      <c r="Z2166">
        <f t="shared" si="67"/>
        <v>5344</v>
      </c>
    </row>
    <row r="2167" spans="1:26" x14ac:dyDescent="0.2">
      <c r="A2167" t="s">
        <v>456</v>
      </c>
      <c r="B2167" t="s">
        <v>457</v>
      </c>
      <c r="C2167" t="s">
        <v>244</v>
      </c>
      <c r="D2167" t="s">
        <v>70</v>
      </c>
      <c r="E2167" t="s">
        <v>245</v>
      </c>
      <c r="F2167">
        <v>14981</v>
      </c>
      <c r="G2167">
        <v>0</v>
      </c>
      <c r="H2167">
        <v>4400</v>
      </c>
      <c r="I2167">
        <v>316</v>
      </c>
      <c r="J2167">
        <v>0</v>
      </c>
      <c r="K2167">
        <v>448</v>
      </c>
      <c r="L2167">
        <v>6417</v>
      </c>
      <c r="M2167">
        <v>0</v>
      </c>
      <c r="N2167">
        <v>208</v>
      </c>
      <c r="O2167">
        <v>71</v>
      </c>
      <c r="P2167">
        <v>0</v>
      </c>
      <c r="Q2167">
        <v>6</v>
      </c>
      <c r="R2167">
        <v>516</v>
      </c>
      <c r="S2167">
        <v>847</v>
      </c>
      <c r="T2167">
        <v>3826</v>
      </c>
      <c r="U2167">
        <v>0</v>
      </c>
      <c r="V2167">
        <v>36</v>
      </c>
      <c r="W2167">
        <v>1517</v>
      </c>
      <c r="X2167">
        <f>NHS_AE_2024_2025[[#This Row],[A&amp;E attendances Type 1]]+
NHS_AE_2024_2025[[#This Row],[A&amp;E attendances Type 2]]+
NHS_AE_2024_2025[[#This Row],[A&amp;E attendances Other A&amp;E Department]]</f>
        <v>19381</v>
      </c>
      <c r="Y2167">
        <f t="shared" si="66"/>
        <v>6625</v>
      </c>
      <c r="Z2167">
        <f t="shared" si="67"/>
        <v>5379</v>
      </c>
    </row>
    <row r="2168" spans="1:26" x14ac:dyDescent="0.2">
      <c r="A2168" t="s">
        <v>456</v>
      </c>
      <c r="B2168" t="s">
        <v>457</v>
      </c>
      <c r="C2168" t="s">
        <v>250</v>
      </c>
      <c r="D2168" t="s">
        <v>32</v>
      </c>
      <c r="E2168" t="s">
        <v>251</v>
      </c>
      <c r="F2168">
        <v>10856</v>
      </c>
      <c r="G2168">
        <v>0</v>
      </c>
      <c r="H2168">
        <v>5622</v>
      </c>
      <c r="I2168">
        <v>339</v>
      </c>
      <c r="J2168">
        <v>0</v>
      </c>
      <c r="K2168">
        <v>151</v>
      </c>
      <c r="L2168">
        <v>4824</v>
      </c>
      <c r="M2168">
        <v>0</v>
      </c>
      <c r="N2168">
        <v>256</v>
      </c>
      <c r="O2168">
        <v>152</v>
      </c>
      <c r="P2168">
        <v>0</v>
      </c>
      <c r="Q2168">
        <v>1</v>
      </c>
      <c r="R2168">
        <v>812</v>
      </c>
      <c r="S2168">
        <v>150</v>
      </c>
      <c r="T2168">
        <v>3933</v>
      </c>
      <c r="U2168">
        <v>0</v>
      </c>
      <c r="V2168">
        <v>0</v>
      </c>
      <c r="W2168">
        <v>251</v>
      </c>
      <c r="X2168">
        <f>NHS_AE_2024_2025[[#This Row],[A&amp;E attendances Type 1]]+
NHS_AE_2024_2025[[#This Row],[A&amp;E attendances Type 2]]+
NHS_AE_2024_2025[[#This Row],[A&amp;E attendances Other A&amp;E Department]]</f>
        <v>16478</v>
      </c>
      <c r="Y2168">
        <f t="shared" si="66"/>
        <v>5080</v>
      </c>
      <c r="Z2168">
        <f t="shared" si="67"/>
        <v>4184</v>
      </c>
    </row>
    <row r="2169" spans="1:26" x14ac:dyDescent="0.2">
      <c r="A2169" t="s">
        <v>456</v>
      </c>
      <c r="B2169" t="s">
        <v>457</v>
      </c>
      <c r="C2169" t="s">
        <v>182</v>
      </c>
      <c r="D2169" t="s">
        <v>29</v>
      </c>
      <c r="E2169" t="s">
        <v>183</v>
      </c>
      <c r="F2169">
        <v>0</v>
      </c>
      <c r="G2169">
        <v>0</v>
      </c>
      <c r="H2169">
        <v>11907</v>
      </c>
      <c r="I2169">
        <v>0</v>
      </c>
      <c r="J2169">
        <v>0</v>
      </c>
      <c r="K2169">
        <v>464</v>
      </c>
      <c r="L2169">
        <v>0</v>
      </c>
      <c r="M2169">
        <v>0</v>
      </c>
      <c r="N2169">
        <v>323</v>
      </c>
      <c r="O2169">
        <v>0</v>
      </c>
      <c r="P2169">
        <v>0</v>
      </c>
      <c r="Q2169">
        <v>13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f>NHS_AE_2024_2025[[#This Row],[A&amp;E attendances Type 1]]+
NHS_AE_2024_2025[[#This Row],[A&amp;E attendances Type 2]]+
NHS_AE_2024_2025[[#This Row],[A&amp;E attendances Other A&amp;E Department]]</f>
        <v>11907</v>
      </c>
      <c r="Y2169">
        <f t="shared" si="66"/>
        <v>323</v>
      </c>
      <c r="Z2169">
        <f t="shared" si="67"/>
        <v>0</v>
      </c>
    </row>
    <row r="2170" spans="1:26" x14ac:dyDescent="0.2">
      <c r="A2170" t="s">
        <v>456</v>
      </c>
      <c r="B2170" t="s">
        <v>457</v>
      </c>
      <c r="C2170" t="s">
        <v>382</v>
      </c>
      <c r="D2170" t="s">
        <v>26</v>
      </c>
      <c r="E2170" t="s">
        <v>383</v>
      </c>
      <c r="F2170">
        <v>13140</v>
      </c>
      <c r="G2170">
        <v>0</v>
      </c>
      <c r="H2170">
        <v>9517</v>
      </c>
      <c r="I2170">
        <v>0</v>
      </c>
      <c r="J2170">
        <v>0</v>
      </c>
      <c r="K2170">
        <v>0</v>
      </c>
      <c r="L2170">
        <v>5631</v>
      </c>
      <c r="M2170">
        <v>0</v>
      </c>
      <c r="N2170">
        <v>236</v>
      </c>
      <c r="O2170">
        <v>0</v>
      </c>
      <c r="P2170">
        <v>0</v>
      </c>
      <c r="Q2170">
        <v>0</v>
      </c>
      <c r="R2170">
        <v>491</v>
      </c>
      <c r="S2170">
        <v>78</v>
      </c>
      <c r="T2170">
        <v>3303</v>
      </c>
      <c r="U2170">
        <v>0</v>
      </c>
      <c r="V2170">
        <v>0</v>
      </c>
      <c r="W2170">
        <v>2173</v>
      </c>
      <c r="X2170">
        <f>NHS_AE_2024_2025[[#This Row],[A&amp;E attendances Type 1]]+
NHS_AE_2024_2025[[#This Row],[A&amp;E attendances Type 2]]+
NHS_AE_2024_2025[[#This Row],[A&amp;E attendances Other A&amp;E Department]]</f>
        <v>22657</v>
      </c>
      <c r="Y2170">
        <f t="shared" si="66"/>
        <v>5867</v>
      </c>
      <c r="Z2170">
        <f t="shared" si="67"/>
        <v>5476</v>
      </c>
    </row>
    <row r="2171" spans="1:26" x14ac:dyDescent="0.2">
      <c r="A2171" t="s">
        <v>456</v>
      </c>
      <c r="B2171" t="s">
        <v>457</v>
      </c>
      <c r="C2171" t="s">
        <v>406</v>
      </c>
      <c r="D2171" t="s">
        <v>37</v>
      </c>
      <c r="E2171" t="s">
        <v>407</v>
      </c>
      <c r="F2171">
        <v>11638</v>
      </c>
      <c r="G2171">
        <v>2479</v>
      </c>
      <c r="H2171">
        <v>1390</v>
      </c>
      <c r="I2171">
        <v>975</v>
      </c>
      <c r="J2171">
        <v>24</v>
      </c>
      <c r="K2171">
        <v>0</v>
      </c>
      <c r="L2171">
        <v>4294</v>
      </c>
      <c r="M2171">
        <v>21</v>
      </c>
      <c r="N2171">
        <v>0</v>
      </c>
      <c r="O2171">
        <v>271</v>
      </c>
      <c r="P2171">
        <v>0</v>
      </c>
      <c r="Q2171">
        <v>0</v>
      </c>
      <c r="R2171">
        <v>539</v>
      </c>
      <c r="S2171">
        <v>0</v>
      </c>
      <c r="T2171">
        <v>2340</v>
      </c>
      <c r="U2171">
        <v>0</v>
      </c>
      <c r="V2171">
        <v>0</v>
      </c>
      <c r="W2171">
        <v>404</v>
      </c>
      <c r="X2171">
        <f>NHS_AE_2024_2025[[#This Row],[A&amp;E attendances Type 1]]+
NHS_AE_2024_2025[[#This Row],[A&amp;E attendances Type 2]]+
NHS_AE_2024_2025[[#This Row],[A&amp;E attendances Other A&amp;E Department]]</f>
        <v>15507</v>
      </c>
      <c r="Y2171">
        <f t="shared" si="66"/>
        <v>4315</v>
      </c>
      <c r="Z2171">
        <f t="shared" si="67"/>
        <v>2744</v>
      </c>
    </row>
    <row r="2172" spans="1:26" x14ac:dyDescent="0.2">
      <c r="A2172" t="s">
        <v>456</v>
      </c>
      <c r="B2172" t="s">
        <v>457</v>
      </c>
      <c r="C2172" t="s">
        <v>390</v>
      </c>
      <c r="D2172" t="s">
        <v>26</v>
      </c>
      <c r="E2172" t="s">
        <v>391</v>
      </c>
      <c r="F2172">
        <v>5742</v>
      </c>
      <c r="G2172">
        <v>0</v>
      </c>
      <c r="H2172">
        <v>5558</v>
      </c>
      <c r="I2172">
        <v>0</v>
      </c>
      <c r="J2172">
        <v>0</v>
      </c>
      <c r="K2172">
        <v>0</v>
      </c>
      <c r="L2172">
        <v>2707</v>
      </c>
      <c r="M2172">
        <v>0</v>
      </c>
      <c r="N2172">
        <v>393</v>
      </c>
      <c r="O2172">
        <v>0</v>
      </c>
      <c r="P2172">
        <v>0</v>
      </c>
      <c r="Q2172">
        <v>0</v>
      </c>
      <c r="R2172">
        <v>683</v>
      </c>
      <c r="S2172">
        <v>268</v>
      </c>
      <c r="T2172">
        <v>2574</v>
      </c>
      <c r="U2172">
        <v>0</v>
      </c>
      <c r="V2172">
        <v>0</v>
      </c>
      <c r="W2172">
        <v>1407</v>
      </c>
      <c r="X2172">
        <f>NHS_AE_2024_2025[[#This Row],[A&amp;E attendances Type 1]]+
NHS_AE_2024_2025[[#This Row],[A&amp;E attendances Type 2]]+
NHS_AE_2024_2025[[#This Row],[A&amp;E attendances Other A&amp;E Department]]</f>
        <v>11300</v>
      </c>
      <c r="Y2172">
        <f t="shared" si="66"/>
        <v>3100</v>
      </c>
      <c r="Z2172">
        <f t="shared" si="67"/>
        <v>3981</v>
      </c>
    </row>
    <row r="2173" spans="1:26" x14ac:dyDescent="0.2">
      <c r="A2173" t="s">
        <v>456</v>
      </c>
      <c r="B2173" t="s">
        <v>457</v>
      </c>
      <c r="C2173" t="s">
        <v>114</v>
      </c>
      <c r="D2173" t="s">
        <v>32</v>
      </c>
      <c r="E2173" t="s">
        <v>115</v>
      </c>
      <c r="F2173">
        <v>10232</v>
      </c>
      <c r="G2173">
        <v>541</v>
      </c>
      <c r="H2173">
        <v>2347</v>
      </c>
      <c r="I2173">
        <v>1714</v>
      </c>
      <c r="J2173">
        <v>0</v>
      </c>
      <c r="K2173">
        <v>81</v>
      </c>
      <c r="L2173">
        <v>3859</v>
      </c>
      <c r="M2173">
        <v>6</v>
      </c>
      <c r="N2173">
        <v>115</v>
      </c>
      <c r="O2173">
        <v>527</v>
      </c>
      <c r="P2173">
        <v>0</v>
      </c>
      <c r="Q2173">
        <v>5</v>
      </c>
      <c r="R2173">
        <v>462</v>
      </c>
      <c r="S2173">
        <v>804</v>
      </c>
      <c r="T2173">
        <v>2053</v>
      </c>
      <c r="U2173">
        <v>0</v>
      </c>
      <c r="V2173">
        <v>0</v>
      </c>
      <c r="W2173">
        <v>1304</v>
      </c>
      <c r="X2173">
        <f>NHS_AE_2024_2025[[#This Row],[A&amp;E attendances Type 1]]+
NHS_AE_2024_2025[[#This Row],[A&amp;E attendances Type 2]]+
NHS_AE_2024_2025[[#This Row],[A&amp;E attendances Other A&amp;E Department]]</f>
        <v>13120</v>
      </c>
      <c r="Y2173">
        <f t="shared" si="66"/>
        <v>3980</v>
      </c>
      <c r="Z2173">
        <f t="shared" si="67"/>
        <v>3357</v>
      </c>
    </row>
    <row r="2174" spans="1:26" x14ac:dyDescent="0.2">
      <c r="A2174" t="s">
        <v>456</v>
      </c>
      <c r="B2174" t="s">
        <v>457</v>
      </c>
      <c r="C2174" t="s">
        <v>230</v>
      </c>
      <c r="D2174" t="s">
        <v>29</v>
      </c>
      <c r="E2174" t="s">
        <v>231</v>
      </c>
      <c r="F2174">
        <v>17893</v>
      </c>
      <c r="G2174">
        <v>0</v>
      </c>
      <c r="H2174">
        <v>8899</v>
      </c>
      <c r="I2174">
        <v>0</v>
      </c>
      <c r="J2174">
        <v>0</v>
      </c>
      <c r="K2174">
        <v>0</v>
      </c>
      <c r="L2174">
        <v>6677</v>
      </c>
      <c r="M2174">
        <v>0</v>
      </c>
      <c r="N2174">
        <v>119</v>
      </c>
      <c r="O2174">
        <v>0</v>
      </c>
      <c r="P2174">
        <v>0</v>
      </c>
      <c r="Q2174">
        <v>0</v>
      </c>
      <c r="R2174">
        <v>1116</v>
      </c>
      <c r="S2174">
        <v>835</v>
      </c>
      <c r="T2174">
        <v>4011</v>
      </c>
      <c r="U2174">
        <v>0</v>
      </c>
      <c r="V2174">
        <v>0</v>
      </c>
      <c r="W2174">
        <v>597</v>
      </c>
      <c r="X2174">
        <f>NHS_AE_2024_2025[[#This Row],[A&amp;E attendances Type 1]]+
NHS_AE_2024_2025[[#This Row],[A&amp;E attendances Type 2]]+
NHS_AE_2024_2025[[#This Row],[A&amp;E attendances Other A&amp;E Department]]</f>
        <v>26792</v>
      </c>
      <c r="Y2174">
        <f t="shared" si="66"/>
        <v>6796</v>
      </c>
      <c r="Z2174">
        <f t="shared" si="67"/>
        <v>4608</v>
      </c>
    </row>
    <row r="2175" spans="1:26" x14ac:dyDescent="0.2">
      <c r="A2175" t="s">
        <v>456</v>
      </c>
      <c r="B2175" t="s">
        <v>457</v>
      </c>
      <c r="C2175" t="s">
        <v>398</v>
      </c>
      <c r="D2175" t="s">
        <v>55</v>
      </c>
      <c r="E2175" t="s">
        <v>399</v>
      </c>
      <c r="F2175">
        <v>8011</v>
      </c>
      <c r="G2175">
        <v>0</v>
      </c>
      <c r="H2175">
        <v>3133</v>
      </c>
      <c r="I2175">
        <v>0</v>
      </c>
      <c r="J2175">
        <v>0</v>
      </c>
      <c r="K2175">
        <v>224</v>
      </c>
      <c r="L2175">
        <v>4446</v>
      </c>
      <c r="M2175">
        <v>0</v>
      </c>
      <c r="N2175">
        <v>13</v>
      </c>
      <c r="O2175">
        <v>0</v>
      </c>
      <c r="P2175">
        <v>0</v>
      </c>
      <c r="Q2175">
        <v>2</v>
      </c>
      <c r="R2175">
        <v>471</v>
      </c>
      <c r="S2175">
        <v>878</v>
      </c>
      <c r="T2175">
        <v>2161</v>
      </c>
      <c r="U2175">
        <v>0</v>
      </c>
      <c r="V2175">
        <v>0</v>
      </c>
      <c r="W2175">
        <v>1920</v>
      </c>
      <c r="X2175">
        <f>NHS_AE_2024_2025[[#This Row],[A&amp;E attendances Type 1]]+
NHS_AE_2024_2025[[#This Row],[A&amp;E attendances Type 2]]+
NHS_AE_2024_2025[[#This Row],[A&amp;E attendances Other A&amp;E Department]]</f>
        <v>11144</v>
      </c>
      <c r="Y2175">
        <f t="shared" si="66"/>
        <v>4459</v>
      </c>
      <c r="Z2175">
        <f t="shared" si="67"/>
        <v>4081</v>
      </c>
    </row>
    <row r="2176" spans="1:26" x14ac:dyDescent="0.2">
      <c r="A2176" t="s">
        <v>456</v>
      </c>
      <c r="B2176" t="s">
        <v>457</v>
      </c>
      <c r="C2176" t="s">
        <v>308</v>
      </c>
      <c r="D2176" t="s">
        <v>32</v>
      </c>
      <c r="E2176" t="s">
        <v>309</v>
      </c>
      <c r="F2176">
        <v>8720</v>
      </c>
      <c r="G2176">
        <v>0</v>
      </c>
      <c r="H2176">
        <v>442</v>
      </c>
      <c r="I2176">
        <v>0</v>
      </c>
      <c r="J2176">
        <v>0</v>
      </c>
      <c r="K2176">
        <v>0</v>
      </c>
      <c r="L2176">
        <v>3373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441</v>
      </c>
      <c r="S2176">
        <v>1</v>
      </c>
      <c r="T2176">
        <v>2487</v>
      </c>
      <c r="U2176">
        <v>0</v>
      </c>
      <c r="V2176">
        <v>0</v>
      </c>
      <c r="W2176">
        <v>926</v>
      </c>
      <c r="X2176">
        <f>NHS_AE_2024_2025[[#This Row],[A&amp;E attendances Type 1]]+
NHS_AE_2024_2025[[#This Row],[A&amp;E attendances Type 2]]+
NHS_AE_2024_2025[[#This Row],[A&amp;E attendances Other A&amp;E Department]]</f>
        <v>9162</v>
      </c>
      <c r="Y2176">
        <f t="shared" si="66"/>
        <v>3373</v>
      </c>
      <c r="Z2176">
        <f t="shared" si="67"/>
        <v>3413</v>
      </c>
    </row>
    <row r="2177" spans="1:26" x14ac:dyDescent="0.2">
      <c r="A2177" t="s">
        <v>456</v>
      </c>
      <c r="B2177" t="s">
        <v>457</v>
      </c>
      <c r="C2177" t="s">
        <v>418</v>
      </c>
      <c r="D2177" t="s">
        <v>55</v>
      </c>
      <c r="E2177" t="s">
        <v>419</v>
      </c>
      <c r="F2177">
        <v>26692</v>
      </c>
      <c r="G2177">
        <v>0</v>
      </c>
      <c r="H2177">
        <v>9335</v>
      </c>
      <c r="I2177">
        <v>0</v>
      </c>
      <c r="J2177">
        <v>0</v>
      </c>
      <c r="K2177">
        <v>0</v>
      </c>
      <c r="L2177">
        <v>11798</v>
      </c>
      <c r="M2177">
        <v>0</v>
      </c>
      <c r="N2177">
        <v>437</v>
      </c>
      <c r="O2177">
        <v>0</v>
      </c>
      <c r="P2177">
        <v>0</v>
      </c>
      <c r="Q2177">
        <v>0</v>
      </c>
      <c r="R2177">
        <v>1260</v>
      </c>
      <c r="S2177">
        <v>1316</v>
      </c>
      <c r="T2177">
        <v>7515</v>
      </c>
      <c r="U2177">
        <v>0</v>
      </c>
      <c r="V2177">
        <v>379</v>
      </c>
      <c r="W2177">
        <v>2027</v>
      </c>
      <c r="X2177">
        <f>NHS_AE_2024_2025[[#This Row],[A&amp;E attendances Type 1]]+
NHS_AE_2024_2025[[#This Row],[A&amp;E attendances Type 2]]+
NHS_AE_2024_2025[[#This Row],[A&amp;E attendances Other A&amp;E Department]]</f>
        <v>36027</v>
      </c>
      <c r="Y2177">
        <f t="shared" si="66"/>
        <v>12235</v>
      </c>
      <c r="Z2177">
        <f t="shared" si="67"/>
        <v>9921</v>
      </c>
    </row>
    <row r="2178" spans="1:26" x14ac:dyDescent="0.2">
      <c r="A2178" t="s">
        <v>456</v>
      </c>
      <c r="B2178" t="s">
        <v>457</v>
      </c>
      <c r="C2178" t="s">
        <v>424</v>
      </c>
      <c r="D2178" t="s">
        <v>37</v>
      </c>
      <c r="E2178" t="s">
        <v>425</v>
      </c>
      <c r="F2178">
        <v>12988</v>
      </c>
      <c r="G2178">
        <v>1830</v>
      </c>
      <c r="H2178">
        <v>2419</v>
      </c>
      <c r="I2178">
        <v>1789</v>
      </c>
      <c r="J2178">
        <v>0</v>
      </c>
      <c r="K2178">
        <v>132</v>
      </c>
      <c r="L2178">
        <v>5258</v>
      </c>
      <c r="M2178">
        <v>0</v>
      </c>
      <c r="N2178">
        <v>3</v>
      </c>
      <c r="O2178">
        <v>671</v>
      </c>
      <c r="P2178">
        <v>0</v>
      </c>
      <c r="Q2178">
        <v>2</v>
      </c>
      <c r="R2178">
        <v>947</v>
      </c>
      <c r="S2178">
        <v>0</v>
      </c>
      <c r="T2178">
        <v>4821</v>
      </c>
      <c r="U2178">
        <v>117</v>
      </c>
      <c r="V2178">
        <v>9</v>
      </c>
      <c r="W2178">
        <v>4774</v>
      </c>
      <c r="X2178">
        <f>NHS_AE_2024_2025[[#This Row],[A&amp;E attendances Type 1]]+
NHS_AE_2024_2025[[#This Row],[A&amp;E attendances Type 2]]+
NHS_AE_2024_2025[[#This Row],[A&amp;E attendances Other A&amp;E Department]]</f>
        <v>17237</v>
      </c>
      <c r="Y2178">
        <f t="shared" ref="Y2178:Y2241" si="68">L2178+M2178+N2178</f>
        <v>5261</v>
      </c>
      <c r="Z2178">
        <f t="shared" ref="Z2178:Z2241" si="69">T2178+U2178+V2178+W2178</f>
        <v>9721</v>
      </c>
    </row>
    <row r="2179" spans="1:26" x14ac:dyDescent="0.2">
      <c r="A2179" t="s">
        <v>456</v>
      </c>
      <c r="B2179" t="s">
        <v>457</v>
      </c>
      <c r="C2179" t="s">
        <v>350</v>
      </c>
      <c r="D2179" t="s">
        <v>55</v>
      </c>
      <c r="E2179" t="s">
        <v>351</v>
      </c>
      <c r="F2179">
        <v>7216</v>
      </c>
      <c r="G2179">
        <v>0</v>
      </c>
      <c r="H2179">
        <v>3065</v>
      </c>
      <c r="I2179">
        <v>252</v>
      </c>
      <c r="J2179">
        <v>0</v>
      </c>
      <c r="K2179">
        <v>116</v>
      </c>
      <c r="L2179">
        <v>3728</v>
      </c>
      <c r="M2179">
        <v>0</v>
      </c>
      <c r="N2179">
        <v>93</v>
      </c>
      <c r="O2179">
        <v>86</v>
      </c>
      <c r="P2179">
        <v>0</v>
      </c>
      <c r="Q2179">
        <v>4</v>
      </c>
      <c r="R2179">
        <v>676</v>
      </c>
      <c r="S2179">
        <v>843</v>
      </c>
      <c r="T2179">
        <v>1808</v>
      </c>
      <c r="U2179">
        <v>0</v>
      </c>
      <c r="V2179">
        <v>0</v>
      </c>
      <c r="W2179">
        <v>175</v>
      </c>
      <c r="X2179">
        <f>NHS_AE_2024_2025[[#This Row],[A&amp;E attendances Type 1]]+
NHS_AE_2024_2025[[#This Row],[A&amp;E attendances Type 2]]+
NHS_AE_2024_2025[[#This Row],[A&amp;E attendances Other A&amp;E Department]]</f>
        <v>10281</v>
      </c>
      <c r="Y2179">
        <f t="shared" si="68"/>
        <v>3821</v>
      </c>
      <c r="Z2179">
        <f t="shared" si="69"/>
        <v>1983</v>
      </c>
    </row>
    <row r="2180" spans="1:26" x14ac:dyDescent="0.2">
      <c r="A2180" t="s">
        <v>456</v>
      </c>
      <c r="B2180" t="s">
        <v>457</v>
      </c>
      <c r="C2180" t="s">
        <v>110</v>
      </c>
      <c r="D2180" t="s">
        <v>37</v>
      </c>
      <c r="E2180" t="s">
        <v>111</v>
      </c>
      <c r="F2180">
        <v>0</v>
      </c>
      <c r="G2180">
        <v>0</v>
      </c>
      <c r="H2180">
        <v>1138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f>NHS_AE_2024_2025[[#This Row],[A&amp;E attendances Type 1]]+
NHS_AE_2024_2025[[#This Row],[A&amp;E attendances Type 2]]+
NHS_AE_2024_2025[[#This Row],[A&amp;E attendances Other A&amp;E Department]]</f>
        <v>1138</v>
      </c>
      <c r="Y2180">
        <f t="shared" si="68"/>
        <v>0</v>
      </c>
      <c r="Z2180">
        <f t="shared" si="69"/>
        <v>0</v>
      </c>
    </row>
    <row r="2181" spans="1:26" x14ac:dyDescent="0.2">
      <c r="A2181" t="s">
        <v>456</v>
      </c>
      <c r="B2181" t="s">
        <v>457</v>
      </c>
      <c r="C2181" t="s">
        <v>306</v>
      </c>
      <c r="D2181" t="s">
        <v>29</v>
      </c>
      <c r="E2181" t="s">
        <v>307</v>
      </c>
      <c r="F2181">
        <v>9297</v>
      </c>
      <c r="G2181">
        <v>0</v>
      </c>
      <c r="H2181">
        <v>3353</v>
      </c>
      <c r="I2181">
        <v>554</v>
      </c>
      <c r="J2181">
        <v>0</v>
      </c>
      <c r="K2181">
        <v>0</v>
      </c>
      <c r="L2181">
        <v>2771</v>
      </c>
      <c r="M2181">
        <v>0</v>
      </c>
      <c r="N2181">
        <v>4</v>
      </c>
      <c r="O2181">
        <v>86</v>
      </c>
      <c r="P2181">
        <v>0</v>
      </c>
      <c r="Q2181">
        <v>0</v>
      </c>
      <c r="R2181">
        <v>635</v>
      </c>
      <c r="S2181">
        <v>798</v>
      </c>
      <c r="T2181">
        <v>2685</v>
      </c>
      <c r="U2181">
        <v>0</v>
      </c>
      <c r="V2181">
        <v>0</v>
      </c>
      <c r="W2181">
        <v>777</v>
      </c>
      <c r="X2181">
        <f>NHS_AE_2024_2025[[#This Row],[A&amp;E attendances Type 1]]+
NHS_AE_2024_2025[[#This Row],[A&amp;E attendances Type 2]]+
NHS_AE_2024_2025[[#This Row],[A&amp;E attendances Other A&amp;E Department]]</f>
        <v>12650</v>
      </c>
      <c r="Y2181">
        <f t="shared" si="68"/>
        <v>2775</v>
      </c>
      <c r="Z2181">
        <f t="shared" si="69"/>
        <v>3462</v>
      </c>
    </row>
    <row r="2182" spans="1:26" x14ac:dyDescent="0.2">
      <c r="A2182" t="s">
        <v>456</v>
      </c>
      <c r="B2182" t="s">
        <v>457</v>
      </c>
      <c r="C2182" t="s">
        <v>234</v>
      </c>
      <c r="D2182" t="s">
        <v>26</v>
      </c>
      <c r="E2182" t="s">
        <v>235</v>
      </c>
      <c r="F2182">
        <v>4194</v>
      </c>
      <c r="G2182">
        <v>0</v>
      </c>
      <c r="H2182">
        <v>0</v>
      </c>
      <c r="I2182">
        <v>384</v>
      </c>
      <c r="J2182">
        <v>0</v>
      </c>
      <c r="K2182">
        <v>4079</v>
      </c>
      <c r="L2182">
        <v>1726</v>
      </c>
      <c r="M2182">
        <v>0</v>
      </c>
      <c r="N2182">
        <v>0</v>
      </c>
      <c r="O2182">
        <v>88</v>
      </c>
      <c r="P2182">
        <v>0</v>
      </c>
      <c r="Q2182">
        <v>2</v>
      </c>
      <c r="R2182">
        <v>213</v>
      </c>
      <c r="S2182">
        <v>41</v>
      </c>
      <c r="T2182">
        <v>1880</v>
      </c>
      <c r="U2182">
        <v>0</v>
      </c>
      <c r="V2182">
        <v>0</v>
      </c>
      <c r="W2182">
        <v>506</v>
      </c>
      <c r="X2182">
        <f>NHS_AE_2024_2025[[#This Row],[A&amp;E attendances Type 1]]+
NHS_AE_2024_2025[[#This Row],[A&amp;E attendances Type 2]]+
NHS_AE_2024_2025[[#This Row],[A&amp;E attendances Other A&amp;E Department]]</f>
        <v>4194</v>
      </c>
      <c r="Y2182">
        <f t="shared" si="68"/>
        <v>1726</v>
      </c>
      <c r="Z2182">
        <f t="shared" si="69"/>
        <v>2386</v>
      </c>
    </row>
    <row r="2183" spans="1:26" x14ac:dyDescent="0.2">
      <c r="A2183" t="s">
        <v>456</v>
      </c>
      <c r="B2183" t="s">
        <v>457</v>
      </c>
      <c r="C2183" t="s">
        <v>388</v>
      </c>
      <c r="D2183" t="s">
        <v>55</v>
      </c>
      <c r="E2183" t="s">
        <v>389</v>
      </c>
      <c r="F2183">
        <v>8453</v>
      </c>
      <c r="G2183">
        <v>0</v>
      </c>
      <c r="H2183">
        <v>3584</v>
      </c>
      <c r="I2183">
        <v>86</v>
      </c>
      <c r="J2183">
        <v>0</v>
      </c>
      <c r="K2183">
        <v>61</v>
      </c>
      <c r="L2183">
        <v>4365</v>
      </c>
      <c r="M2183">
        <v>0</v>
      </c>
      <c r="N2183">
        <v>180</v>
      </c>
      <c r="O2183">
        <v>41</v>
      </c>
      <c r="P2183">
        <v>0</v>
      </c>
      <c r="Q2183">
        <v>4</v>
      </c>
      <c r="R2183">
        <v>505</v>
      </c>
      <c r="S2183">
        <v>675</v>
      </c>
      <c r="T2183">
        <v>2380</v>
      </c>
      <c r="U2183">
        <v>0</v>
      </c>
      <c r="V2183">
        <v>113</v>
      </c>
      <c r="W2183">
        <v>886</v>
      </c>
      <c r="X2183">
        <f>NHS_AE_2024_2025[[#This Row],[A&amp;E attendances Type 1]]+
NHS_AE_2024_2025[[#This Row],[A&amp;E attendances Type 2]]+
NHS_AE_2024_2025[[#This Row],[A&amp;E attendances Other A&amp;E Department]]</f>
        <v>12037</v>
      </c>
      <c r="Y2183">
        <f t="shared" si="68"/>
        <v>4545</v>
      </c>
      <c r="Z2183">
        <f t="shared" si="69"/>
        <v>3379</v>
      </c>
    </row>
    <row r="2184" spans="1:26" x14ac:dyDescent="0.2">
      <c r="A2184" t="s">
        <v>456</v>
      </c>
      <c r="B2184" t="s">
        <v>457</v>
      </c>
      <c r="C2184" t="s">
        <v>136</v>
      </c>
      <c r="D2184" t="s">
        <v>32</v>
      </c>
      <c r="E2184" t="s">
        <v>137</v>
      </c>
      <c r="F2184">
        <v>0</v>
      </c>
      <c r="G2184">
        <v>0</v>
      </c>
      <c r="H2184">
        <v>6146</v>
      </c>
      <c r="I2184">
        <v>0</v>
      </c>
      <c r="J2184">
        <v>0</v>
      </c>
      <c r="K2184">
        <v>610</v>
      </c>
      <c r="L2184">
        <v>0</v>
      </c>
      <c r="M2184">
        <v>0</v>
      </c>
      <c r="N2184">
        <v>30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f>NHS_AE_2024_2025[[#This Row],[A&amp;E attendances Type 1]]+
NHS_AE_2024_2025[[#This Row],[A&amp;E attendances Type 2]]+
NHS_AE_2024_2025[[#This Row],[A&amp;E attendances Other A&amp;E Department]]</f>
        <v>6146</v>
      </c>
      <c r="Y2184">
        <f t="shared" si="68"/>
        <v>30</v>
      </c>
      <c r="Z2184">
        <f t="shared" si="69"/>
        <v>0</v>
      </c>
    </row>
    <row r="2185" spans="1:26" x14ac:dyDescent="0.2">
      <c r="A2185" t="s">
        <v>456</v>
      </c>
      <c r="B2185" t="s">
        <v>457</v>
      </c>
      <c r="C2185" t="s">
        <v>176</v>
      </c>
      <c r="D2185" t="s">
        <v>55</v>
      </c>
      <c r="E2185" t="s">
        <v>177</v>
      </c>
      <c r="F2185">
        <v>8970</v>
      </c>
      <c r="G2185">
        <v>0</v>
      </c>
      <c r="H2185">
        <v>10528</v>
      </c>
      <c r="I2185">
        <v>332</v>
      </c>
      <c r="J2185">
        <v>0</v>
      </c>
      <c r="K2185">
        <v>305</v>
      </c>
      <c r="L2185">
        <v>4194</v>
      </c>
      <c r="M2185">
        <v>0</v>
      </c>
      <c r="N2185">
        <v>90</v>
      </c>
      <c r="O2185">
        <v>113</v>
      </c>
      <c r="P2185">
        <v>0</v>
      </c>
      <c r="Q2185">
        <v>0</v>
      </c>
      <c r="R2185">
        <v>379</v>
      </c>
      <c r="S2185">
        <v>805</v>
      </c>
      <c r="T2185">
        <v>2583</v>
      </c>
      <c r="U2185">
        <v>0</v>
      </c>
      <c r="V2185">
        <v>0</v>
      </c>
      <c r="W2185">
        <v>1587</v>
      </c>
      <c r="X2185">
        <f>NHS_AE_2024_2025[[#This Row],[A&amp;E attendances Type 1]]+
NHS_AE_2024_2025[[#This Row],[A&amp;E attendances Type 2]]+
NHS_AE_2024_2025[[#This Row],[A&amp;E attendances Other A&amp;E Department]]</f>
        <v>19498</v>
      </c>
      <c r="Y2185">
        <f t="shared" si="68"/>
        <v>4284</v>
      </c>
      <c r="Z2185">
        <f t="shared" si="69"/>
        <v>4170</v>
      </c>
    </row>
    <row r="2186" spans="1:26" x14ac:dyDescent="0.2">
      <c r="A2186" t="s">
        <v>456</v>
      </c>
      <c r="B2186" t="s">
        <v>457</v>
      </c>
      <c r="C2186" t="s">
        <v>34</v>
      </c>
      <c r="D2186" t="s">
        <v>29</v>
      </c>
      <c r="E2186" t="s">
        <v>35</v>
      </c>
      <c r="F2186">
        <v>0</v>
      </c>
      <c r="G2186">
        <v>0</v>
      </c>
      <c r="H2186">
        <v>3624</v>
      </c>
      <c r="I2186">
        <v>0</v>
      </c>
      <c r="J2186">
        <v>0</v>
      </c>
      <c r="K2186">
        <v>307</v>
      </c>
      <c r="L2186">
        <v>0</v>
      </c>
      <c r="M2186">
        <v>0</v>
      </c>
      <c r="N2186">
        <v>26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f>NHS_AE_2024_2025[[#This Row],[A&amp;E attendances Type 1]]+
NHS_AE_2024_2025[[#This Row],[A&amp;E attendances Type 2]]+
NHS_AE_2024_2025[[#This Row],[A&amp;E attendances Other A&amp;E Department]]</f>
        <v>3624</v>
      </c>
      <c r="Y2186">
        <f t="shared" si="68"/>
        <v>26</v>
      </c>
      <c r="Z2186">
        <f t="shared" si="69"/>
        <v>0</v>
      </c>
    </row>
    <row r="2187" spans="1:26" x14ac:dyDescent="0.2">
      <c r="A2187" t="s">
        <v>456</v>
      </c>
      <c r="B2187" t="s">
        <v>431</v>
      </c>
      <c r="C2187" t="s">
        <v>431</v>
      </c>
      <c r="D2187" t="s">
        <v>431</v>
      </c>
      <c r="E2187" t="s">
        <v>431</v>
      </c>
      <c r="F2187">
        <v>1422317</v>
      </c>
      <c r="G2187">
        <v>49017</v>
      </c>
      <c r="H2187">
        <v>809058</v>
      </c>
      <c r="I2187">
        <v>30925</v>
      </c>
      <c r="J2187">
        <v>700</v>
      </c>
      <c r="K2187">
        <v>48519</v>
      </c>
      <c r="L2187">
        <v>601329</v>
      </c>
      <c r="M2187">
        <v>2163</v>
      </c>
      <c r="N2187">
        <v>23500</v>
      </c>
      <c r="O2187">
        <v>7784</v>
      </c>
      <c r="P2187">
        <v>20</v>
      </c>
      <c r="Q2187">
        <v>546</v>
      </c>
      <c r="R2187">
        <v>99172</v>
      </c>
      <c r="S2187">
        <v>49616</v>
      </c>
      <c r="T2187">
        <v>415893</v>
      </c>
      <c r="U2187">
        <v>1327</v>
      </c>
      <c r="V2187">
        <v>4828</v>
      </c>
      <c r="W2187">
        <v>145400</v>
      </c>
      <c r="X2187">
        <f>NHS_AE_2024_2025[[#This Row],[A&amp;E attendances Type 1]]+
NHS_AE_2024_2025[[#This Row],[A&amp;E attendances Type 2]]+
NHS_AE_2024_2025[[#This Row],[A&amp;E attendances Other A&amp;E Department]]</f>
        <v>2280392</v>
      </c>
      <c r="Y2187">
        <f t="shared" si="68"/>
        <v>626992</v>
      </c>
      <c r="Z2187">
        <f t="shared" si="69"/>
        <v>567448</v>
      </c>
    </row>
    <row r="2188" spans="1:26" x14ac:dyDescent="0.2">
      <c r="A2188" t="s">
        <v>458</v>
      </c>
      <c r="B2188" t="s">
        <v>459</v>
      </c>
      <c r="C2188" t="s">
        <v>412</v>
      </c>
      <c r="D2188" t="s">
        <v>32</v>
      </c>
      <c r="E2188" t="s">
        <v>413</v>
      </c>
      <c r="F2188">
        <v>0</v>
      </c>
      <c r="G2188">
        <v>0</v>
      </c>
      <c r="H2188">
        <v>402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f>NHS_AE_2024_2025[[#This Row],[A&amp;E attendances Type 1]]+
NHS_AE_2024_2025[[#This Row],[A&amp;E attendances Type 2]]+
NHS_AE_2024_2025[[#This Row],[A&amp;E attendances Other A&amp;E Department]]</f>
        <v>402</v>
      </c>
      <c r="Y2188">
        <f t="shared" si="68"/>
        <v>0</v>
      </c>
      <c r="Z2188">
        <f t="shared" si="69"/>
        <v>0</v>
      </c>
    </row>
    <row r="2189" spans="1:26" x14ac:dyDescent="0.2">
      <c r="A2189" t="s">
        <v>458</v>
      </c>
      <c r="B2189" t="s">
        <v>459</v>
      </c>
      <c r="C2189" t="s">
        <v>124</v>
      </c>
      <c r="D2189" t="s">
        <v>37</v>
      </c>
      <c r="E2189" t="s">
        <v>125</v>
      </c>
      <c r="F2189">
        <v>0</v>
      </c>
      <c r="G2189">
        <v>0</v>
      </c>
      <c r="H2189">
        <v>2834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50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114</v>
      </c>
      <c r="X2189">
        <f>NHS_AE_2024_2025[[#This Row],[A&amp;E attendances Type 1]]+
NHS_AE_2024_2025[[#This Row],[A&amp;E attendances Type 2]]+
NHS_AE_2024_2025[[#This Row],[A&amp;E attendances Other A&amp;E Department]]</f>
        <v>2834</v>
      </c>
      <c r="Y2189">
        <f t="shared" si="68"/>
        <v>50</v>
      </c>
      <c r="Z2189">
        <f t="shared" si="69"/>
        <v>114</v>
      </c>
    </row>
    <row r="2190" spans="1:26" x14ac:dyDescent="0.2">
      <c r="A2190" t="s">
        <v>458</v>
      </c>
      <c r="B2190" t="s">
        <v>459</v>
      </c>
      <c r="C2190" t="s">
        <v>59</v>
      </c>
      <c r="D2190" t="s">
        <v>37</v>
      </c>
      <c r="E2190" t="s">
        <v>60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f>NHS_AE_2024_2025[[#This Row],[A&amp;E attendances Type 1]]+
NHS_AE_2024_2025[[#This Row],[A&amp;E attendances Type 2]]+
NHS_AE_2024_2025[[#This Row],[A&amp;E attendances Other A&amp;E Department]]</f>
        <v>0</v>
      </c>
      <c r="Y2190">
        <f t="shared" si="68"/>
        <v>0</v>
      </c>
      <c r="Z2190">
        <f t="shared" si="69"/>
        <v>0</v>
      </c>
    </row>
    <row r="2191" spans="1:26" x14ac:dyDescent="0.2">
      <c r="A2191" t="s">
        <v>458</v>
      </c>
      <c r="B2191" t="s">
        <v>459</v>
      </c>
      <c r="C2191" t="s">
        <v>63</v>
      </c>
      <c r="D2191" t="s">
        <v>32</v>
      </c>
      <c r="E2191" t="s">
        <v>64</v>
      </c>
      <c r="F2191">
        <v>0</v>
      </c>
      <c r="G2191">
        <v>0</v>
      </c>
      <c r="H2191">
        <v>6285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f>NHS_AE_2024_2025[[#This Row],[A&amp;E attendances Type 1]]+
NHS_AE_2024_2025[[#This Row],[A&amp;E attendances Type 2]]+
NHS_AE_2024_2025[[#This Row],[A&amp;E attendances Other A&amp;E Department]]</f>
        <v>6285</v>
      </c>
      <c r="Y2191">
        <f t="shared" si="68"/>
        <v>0</v>
      </c>
      <c r="Z2191">
        <f t="shared" si="69"/>
        <v>0</v>
      </c>
    </row>
    <row r="2192" spans="1:26" x14ac:dyDescent="0.2">
      <c r="A2192" t="s">
        <v>458</v>
      </c>
      <c r="B2192" t="s">
        <v>459</v>
      </c>
      <c r="C2192" t="s">
        <v>25</v>
      </c>
      <c r="D2192" t="s">
        <v>26</v>
      </c>
      <c r="E2192" t="s">
        <v>27</v>
      </c>
      <c r="F2192">
        <v>0</v>
      </c>
      <c r="G2192">
        <v>0</v>
      </c>
      <c r="H2192">
        <v>515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f>NHS_AE_2024_2025[[#This Row],[A&amp;E attendances Type 1]]+
NHS_AE_2024_2025[[#This Row],[A&amp;E attendances Type 2]]+
NHS_AE_2024_2025[[#This Row],[A&amp;E attendances Other A&amp;E Department]]</f>
        <v>515</v>
      </c>
      <c r="Y2192">
        <f t="shared" si="68"/>
        <v>0</v>
      </c>
      <c r="Z2192">
        <f t="shared" si="69"/>
        <v>0</v>
      </c>
    </row>
    <row r="2193" spans="1:26" x14ac:dyDescent="0.2">
      <c r="A2193" t="s">
        <v>458</v>
      </c>
      <c r="B2193" t="s">
        <v>459</v>
      </c>
      <c r="C2193" t="s">
        <v>132</v>
      </c>
      <c r="D2193" t="s">
        <v>37</v>
      </c>
      <c r="E2193" t="s">
        <v>133</v>
      </c>
      <c r="F2193">
        <v>0</v>
      </c>
      <c r="G2193">
        <v>0</v>
      </c>
      <c r="H2193">
        <v>5599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f>NHS_AE_2024_2025[[#This Row],[A&amp;E attendances Type 1]]+
NHS_AE_2024_2025[[#This Row],[A&amp;E attendances Type 2]]+
NHS_AE_2024_2025[[#This Row],[A&amp;E attendances Other A&amp;E Department]]</f>
        <v>5599</v>
      </c>
      <c r="Y2193">
        <f t="shared" si="68"/>
        <v>0</v>
      </c>
      <c r="Z2193">
        <f t="shared" si="69"/>
        <v>0</v>
      </c>
    </row>
    <row r="2194" spans="1:26" x14ac:dyDescent="0.2">
      <c r="A2194" t="s">
        <v>458</v>
      </c>
      <c r="B2194" t="s">
        <v>459</v>
      </c>
      <c r="C2194" t="s">
        <v>278</v>
      </c>
      <c r="D2194" t="s">
        <v>32</v>
      </c>
      <c r="E2194" t="s">
        <v>279</v>
      </c>
      <c r="F2194">
        <v>0</v>
      </c>
      <c r="G2194">
        <v>0</v>
      </c>
      <c r="H2194">
        <v>319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f>NHS_AE_2024_2025[[#This Row],[A&amp;E attendances Type 1]]+
NHS_AE_2024_2025[[#This Row],[A&amp;E attendances Type 2]]+
NHS_AE_2024_2025[[#This Row],[A&amp;E attendances Other A&amp;E Department]]</f>
        <v>319</v>
      </c>
      <c r="Y2194">
        <f t="shared" si="68"/>
        <v>0</v>
      </c>
      <c r="Z2194">
        <f t="shared" si="69"/>
        <v>0</v>
      </c>
    </row>
    <row r="2195" spans="1:26" x14ac:dyDescent="0.2">
      <c r="A2195" t="s">
        <v>458</v>
      </c>
      <c r="B2195" t="s">
        <v>459</v>
      </c>
      <c r="C2195" t="s">
        <v>94</v>
      </c>
      <c r="D2195" t="s">
        <v>32</v>
      </c>
      <c r="E2195" t="s">
        <v>95</v>
      </c>
      <c r="F2195">
        <v>0</v>
      </c>
      <c r="G2195">
        <v>0</v>
      </c>
      <c r="H2195">
        <v>322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f>NHS_AE_2024_2025[[#This Row],[A&amp;E attendances Type 1]]+
NHS_AE_2024_2025[[#This Row],[A&amp;E attendances Type 2]]+
NHS_AE_2024_2025[[#This Row],[A&amp;E attendances Other A&amp;E Department]]</f>
        <v>322</v>
      </c>
      <c r="Y2195">
        <f t="shared" si="68"/>
        <v>0</v>
      </c>
      <c r="Z2195">
        <f t="shared" si="69"/>
        <v>0</v>
      </c>
    </row>
    <row r="2196" spans="1:26" x14ac:dyDescent="0.2">
      <c r="A2196" t="s">
        <v>458</v>
      </c>
      <c r="B2196" t="s">
        <v>459</v>
      </c>
      <c r="C2196" t="s">
        <v>96</v>
      </c>
      <c r="D2196" t="s">
        <v>29</v>
      </c>
      <c r="E2196" t="s">
        <v>97</v>
      </c>
      <c r="F2196">
        <v>0</v>
      </c>
      <c r="G2196">
        <v>0</v>
      </c>
      <c r="H2196">
        <v>2605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14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f>NHS_AE_2024_2025[[#This Row],[A&amp;E attendances Type 1]]+
NHS_AE_2024_2025[[#This Row],[A&amp;E attendances Type 2]]+
NHS_AE_2024_2025[[#This Row],[A&amp;E attendances Other A&amp;E Department]]</f>
        <v>2605</v>
      </c>
      <c r="Y2196">
        <f t="shared" si="68"/>
        <v>14</v>
      </c>
      <c r="Z2196">
        <f t="shared" si="69"/>
        <v>0</v>
      </c>
    </row>
    <row r="2197" spans="1:26" x14ac:dyDescent="0.2">
      <c r="A2197" t="s">
        <v>458</v>
      </c>
      <c r="B2197" t="s">
        <v>459</v>
      </c>
      <c r="C2197" t="s">
        <v>98</v>
      </c>
      <c r="D2197" t="s">
        <v>29</v>
      </c>
      <c r="E2197" t="s">
        <v>99</v>
      </c>
      <c r="F2197">
        <v>0</v>
      </c>
      <c r="G2197">
        <v>0</v>
      </c>
      <c r="H2197">
        <v>2638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6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f>NHS_AE_2024_2025[[#This Row],[A&amp;E attendances Type 1]]+
NHS_AE_2024_2025[[#This Row],[A&amp;E attendances Type 2]]+
NHS_AE_2024_2025[[#This Row],[A&amp;E attendances Other A&amp;E Department]]</f>
        <v>2638</v>
      </c>
      <c r="Y2197">
        <f t="shared" si="68"/>
        <v>6</v>
      </c>
      <c r="Z2197">
        <f t="shared" si="69"/>
        <v>0</v>
      </c>
    </row>
    <row r="2198" spans="1:26" x14ac:dyDescent="0.2">
      <c r="A2198" t="s">
        <v>458</v>
      </c>
      <c r="B2198" t="s">
        <v>459</v>
      </c>
      <c r="C2198" t="s">
        <v>110</v>
      </c>
      <c r="D2198" t="s">
        <v>37</v>
      </c>
      <c r="E2198" t="s">
        <v>111</v>
      </c>
      <c r="F2198">
        <v>0</v>
      </c>
      <c r="G2198">
        <v>0</v>
      </c>
      <c r="H2198">
        <v>1005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f>NHS_AE_2024_2025[[#This Row],[A&amp;E attendances Type 1]]+
NHS_AE_2024_2025[[#This Row],[A&amp;E attendances Type 2]]+
NHS_AE_2024_2025[[#This Row],[A&amp;E attendances Other A&amp;E Department]]</f>
        <v>1005</v>
      </c>
      <c r="Y2198">
        <f t="shared" si="68"/>
        <v>0</v>
      </c>
      <c r="Z2198">
        <f t="shared" si="69"/>
        <v>0</v>
      </c>
    </row>
    <row r="2199" spans="1:26" x14ac:dyDescent="0.2">
      <c r="A2199" t="s">
        <v>458</v>
      </c>
      <c r="B2199" t="s">
        <v>459</v>
      </c>
      <c r="C2199" t="s">
        <v>72</v>
      </c>
      <c r="D2199" t="s">
        <v>55</v>
      </c>
      <c r="E2199" t="s">
        <v>73</v>
      </c>
      <c r="F2199">
        <v>0</v>
      </c>
      <c r="G2199">
        <v>0</v>
      </c>
      <c r="H2199">
        <v>1749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27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f>NHS_AE_2024_2025[[#This Row],[A&amp;E attendances Type 1]]+
NHS_AE_2024_2025[[#This Row],[A&amp;E attendances Type 2]]+
NHS_AE_2024_2025[[#This Row],[A&amp;E attendances Other A&amp;E Department]]</f>
        <v>1749</v>
      </c>
      <c r="Y2199">
        <f t="shared" si="68"/>
        <v>27</v>
      </c>
      <c r="Z2199">
        <f t="shared" si="69"/>
        <v>0</v>
      </c>
    </row>
    <row r="2200" spans="1:26" x14ac:dyDescent="0.2">
      <c r="A2200" t="s">
        <v>458</v>
      </c>
      <c r="B2200" t="s">
        <v>459</v>
      </c>
      <c r="C2200" t="s">
        <v>74</v>
      </c>
      <c r="D2200" t="s">
        <v>26</v>
      </c>
      <c r="E2200" t="s">
        <v>75</v>
      </c>
      <c r="F2200">
        <v>0</v>
      </c>
      <c r="G2200">
        <v>0</v>
      </c>
      <c r="H2200">
        <v>1011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4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f>NHS_AE_2024_2025[[#This Row],[A&amp;E attendances Type 1]]+
NHS_AE_2024_2025[[#This Row],[A&amp;E attendances Type 2]]+
NHS_AE_2024_2025[[#This Row],[A&amp;E attendances Other A&amp;E Department]]</f>
        <v>1011</v>
      </c>
      <c r="Y2200">
        <f t="shared" si="68"/>
        <v>4</v>
      </c>
      <c r="Z2200">
        <f t="shared" si="69"/>
        <v>0</v>
      </c>
    </row>
    <row r="2201" spans="1:26" x14ac:dyDescent="0.2">
      <c r="A2201" t="s">
        <v>458</v>
      </c>
      <c r="B2201" t="s">
        <v>459</v>
      </c>
      <c r="C2201" t="s">
        <v>100</v>
      </c>
      <c r="D2201" t="s">
        <v>37</v>
      </c>
      <c r="E2201" t="s">
        <v>101</v>
      </c>
      <c r="F2201">
        <v>0</v>
      </c>
      <c r="G2201">
        <v>0</v>
      </c>
      <c r="H2201">
        <v>5011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89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f>NHS_AE_2024_2025[[#This Row],[A&amp;E attendances Type 1]]+
NHS_AE_2024_2025[[#This Row],[A&amp;E attendances Type 2]]+
NHS_AE_2024_2025[[#This Row],[A&amp;E attendances Other A&amp;E Department]]</f>
        <v>5011</v>
      </c>
      <c r="Y2201">
        <f t="shared" si="68"/>
        <v>89</v>
      </c>
      <c r="Z2201">
        <f t="shared" si="69"/>
        <v>0</v>
      </c>
    </row>
    <row r="2202" spans="1:26" x14ac:dyDescent="0.2">
      <c r="A2202" t="s">
        <v>458</v>
      </c>
      <c r="B2202" t="s">
        <v>459</v>
      </c>
      <c r="C2202" t="s">
        <v>78</v>
      </c>
      <c r="D2202" t="s">
        <v>37</v>
      </c>
      <c r="E2202" t="s">
        <v>79</v>
      </c>
      <c r="F2202">
        <v>0</v>
      </c>
      <c r="G2202">
        <v>0</v>
      </c>
      <c r="H2202">
        <v>2297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38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f>NHS_AE_2024_2025[[#This Row],[A&amp;E attendances Type 1]]+
NHS_AE_2024_2025[[#This Row],[A&amp;E attendances Type 2]]+
NHS_AE_2024_2025[[#This Row],[A&amp;E attendances Other A&amp;E Department]]</f>
        <v>2297</v>
      </c>
      <c r="Y2202">
        <f t="shared" si="68"/>
        <v>38</v>
      </c>
      <c r="Z2202">
        <f t="shared" si="69"/>
        <v>0</v>
      </c>
    </row>
    <row r="2203" spans="1:26" x14ac:dyDescent="0.2">
      <c r="A2203" t="s">
        <v>458</v>
      </c>
      <c r="B2203" t="s">
        <v>459</v>
      </c>
      <c r="C2203" t="s">
        <v>80</v>
      </c>
      <c r="D2203" t="s">
        <v>37</v>
      </c>
      <c r="E2203" t="s">
        <v>81</v>
      </c>
      <c r="F2203">
        <v>0</v>
      </c>
      <c r="G2203">
        <v>0</v>
      </c>
      <c r="H2203">
        <v>2304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38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f>NHS_AE_2024_2025[[#This Row],[A&amp;E attendances Type 1]]+
NHS_AE_2024_2025[[#This Row],[A&amp;E attendances Type 2]]+
NHS_AE_2024_2025[[#This Row],[A&amp;E attendances Other A&amp;E Department]]</f>
        <v>2304</v>
      </c>
      <c r="Y2203">
        <f t="shared" si="68"/>
        <v>38</v>
      </c>
      <c r="Z2203">
        <f t="shared" si="69"/>
        <v>0</v>
      </c>
    </row>
    <row r="2204" spans="1:26" x14ac:dyDescent="0.2">
      <c r="A2204" t="s">
        <v>458</v>
      </c>
      <c r="B2204" t="s">
        <v>459</v>
      </c>
      <c r="C2204" t="s">
        <v>154</v>
      </c>
      <c r="D2204" t="s">
        <v>70</v>
      </c>
      <c r="E2204" t="s">
        <v>155</v>
      </c>
      <c r="F2204">
        <v>7222</v>
      </c>
      <c r="G2204">
        <v>0</v>
      </c>
      <c r="H2204">
        <v>1456</v>
      </c>
      <c r="I2204">
        <v>0</v>
      </c>
      <c r="J2204">
        <v>0</v>
      </c>
      <c r="K2204">
        <v>0</v>
      </c>
      <c r="L2204">
        <v>3015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543</v>
      </c>
      <c r="S2204">
        <v>293</v>
      </c>
      <c r="T2204">
        <v>1554</v>
      </c>
      <c r="U2204">
        <v>0</v>
      </c>
      <c r="V2204">
        <v>0</v>
      </c>
      <c r="W2204">
        <v>427</v>
      </c>
      <c r="X2204">
        <f>NHS_AE_2024_2025[[#This Row],[A&amp;E attendances Type 1]]+
NHS_AE_2024_2025[[#This Row],[A&amp;E attendances Type 2]]+
NHS_AE_2024_2025[[#This Row],[A&amp;E attendances Other A&amp;E Department]]</f>
        <v>8678</v>
      </c>
      <c r="Y2204">
        <f t="shared" si="68"/>
        <v>3015</v>
      </c>
      <c r="Z2204">
        <f t="shared" si="69"/>
        <v>1981</v>
      </c>
    </row>
    <row r="2205" spans="1:26" x14ac:dyDescent="0.2">
      <c r="A2205" t="s">
        <v>458</v>
      </c>
      <c r="B2205" t="s">
        <v>459</v>
      </c>
      <c r="C2205" t="s">
        <v>47</v>
      </c>
      <c r="D2205" t="s">
        <v>26</v>
      </c>
      <c r="E2205" t="s">
        <v>48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9</v>
      </c>
      <c r="W2205">
        <v>57</v>
      </c>
      <c r="X2205">
        <f>NHS_AE_2024_2025[[#This Row],[A&amp;E attendances Type 1]]+
NHS_AE_2024_2025[[#This Row],[A&amp;E attendances Type 2]]+
NHS_AE_2024_2025[[#This Row],[A&amp;E attendances Other A&amp;E Department]]</f>
        <v>0</v>
      </c>
      <c r="Y2205">
        <f t="shared" si="68"/>
        <v>0</v>
      </c>
      <c r="Z2205">
        <f t="shared" si="69"/>
        <v>66</v>
      </c>
    </row>
    <row r="2206" spans="1:26" x14ac:dyDescent="0.2">
      <c r="A2206" t="s">
        <v>458</v>
      </c>
      <c r="B2206" t="s">
        <v>459</v>
      </c>
      <c r="C2206" t="s">
        <v>49</v>
      </c>
      <c r="D2206" t="s">
        <v>50</v>
      </c>
      <c r="E2206" t="s">
        <v>51</v>
      </c>
      <c r="F2206">
        <v>14877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4629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1150</v>
      </c>
      <c r="S2206">
        <v>4</v>
      </c>
      <c r="T2206">
        <v>3005</v>
      </c>
      <c r="U2206">
        <v>0</v>
      </c>
      <c r="V2206">
        <v>0</v>
      </c>
      <c r="W2206">
        <v>343</v>
      </c>
      <c r="X2206">
        <f>NHS_AE_2024_2025[[#This Row],[A&amp;E attendances Type 1]]+
NHS_AE_2024_2025[[#This Row],[A&amp;E attendances Type 2]]+
NHS_AE_2024_2025[[#This Row],[A&amp;E attendances Other A&amp;E Department]]</f>
        <v>14877</v>
      </c>
      <c r="Y2206">
        <f t="shared" si="68"/>
        <v>4629</v>
      </c>
      <c r="Z2206">
        <f t="shared" si="69"/>
        <v>3348</v>
      </c>
    </row>
    <row r="2207" spans="1:26" x14ac:dyDescent="0.2">
      <c r="A2207" t="s">
        <v>458</v>
      </c>
      <c r="B2207" t="s">
        <v>459</v>
      </c>
      <c r="C2207" t="s">
        <v>176</v>
      </c>
      <c r="D2207" t="s">
        <v>55</v>
      </c>
      <c r="E2207" t="s">
        <v>177</v>
      </c>
      <c r="F2207">
        <v>8420</v>
      </c>
      <c r="G2207">
        <v>0</v>
      </c>
      <c r="H2207">
        <v>9821</v>
      </c>
      <c r="I2207">
        <v>286</v>
      </c>
      <c r="J2207">
        <v>0</v>
      </c>
      <c r="K2207">
        <v>238</v>
      </c>
      <c r="L2207">
        <v>3917</v>
      </c>
      <c r="M2207">
        <v>0</v>
      </c>
      <c r="N2207">
        <v>59</v>
      </c>
      <c r="O2207">
        <v>100</v>
      </c>
      <c r="P2207">
        <v>0</v>
      </c>
      <c r="Q2207">
        <v>0</v>
      </c>
      <c r="R2207">
        <v>362</v>
      </c>
      <c r="S2207">
        <v>721</v>
      </c>
      <c r="T2207">
        <v>2461</v>
      </c>
      <c r="U2207">
        <v>0</v>
      </c>
      <c r="V2207">
        <v>0</v>
      </c>
      <c r="W2207">
        <v>1367</v>
      </c>
      <c r="X2207">
        <f>NHS_AE_2024_2025[[#This Row],[A&amp;E attendances Type 1]]+
NHS_AE_2024_2025[[#This Row],[A&amp;E attendances Type 2]]+
NHS_AE_2024_2025[[#This Row],[A&amp;E attendances Other A&amp;E Department]]</f>
        <v>18241</v>
      </c>
      <c r="Y2207">
        <f t="shared" si="68"/>
        <v>3976</v>
      </c>
      <c r="Z2207">
        <f t="shared" si="69"/>
        <v>3828</v>
      </c>
    </row>
    <row r="2208" spans="1:26" x14ac:dyDescent="0.2">
      <c r="A2208" t="s">
        <v>458</v>
      </c>
      <c r="B2208" t="s">
        <v>459</v>
      </c>
      <c r="C2208" t="s">
        <v>54</v>
      </c>
      <c r="D2208" t="s">
        <v>55</v>
      </c>
      <c r="E2208" t="s">
        <v>56</v>
      </c>
      <c r="F2208">
        <v>0</v>
      </c>
      <c r="G2208">
        <v>0</v>
      </c>
      <c r="H2208">
        <v>4248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100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f>NHS_AE_2024_2025[[#This Row],[A&amp;E attendances Type 1]]+
NHS_AE_2024_2025[[#This Row],[A&amp;E attendances Type 2]]+
NHS_AE_2024_2025[[#This Row],[A&amp;E attendances Other A&amp;E Department]]</f>
        <v>4248</v>
      </c>
      <c r="Y2208">
        <f t="shared" si="68"/>
        <v>100</v>
      </c>
      <c r="Z2208">
        <f t="shared" si="69"/>
        <v>0</v>
      </c>
    </row>
    <row r="2209" spans="1:26" x14ac:dyDescent="0.2">
      <c r="A2209" t="s">
        <v>458</v>
      </c>
      <c r="B2209" t="s">
        <v>459</v>
      </c>
      <c r="C2209" t="s">
        <v>61</v>
      </c>
      <c r="D2209" t="s">
        <v>55</v>
      </c>
      <c r="E2209" t="s">
        <v>62</v>
      </c>
      <c r="F2209">
        <v>0</v>
      </c>
      <c r="G2209">
        <v>0</v>
      </c>
      <c r="H2209">
        <v>1522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f>NHS_AE_2024_2025[[#This Row],[A&amp;E attendances Type 1]]+
NHS_AE_2024_2025[[#This Row],[A&amp;E attendances Type 2]]+
NHS_AE_2024_2025[[#This Row],[A&amp;E attendances Other A&amp;E Department]]</f>
        <v>1522</v>
      </c>
      <c r="Y2209">
        <f t="shared" si="68"/>
        <v>0</v>
      </c>
      <c r="Z2209">
        <f t="shared" si="69"/>
        <v>0</v>
      </c>
    </row>
    <row r="2210" spans="1:26" x14ac:dyDescent="0.2">
      <c r="A2210" t="s">
        <v>458</v>
      </c>
      <c r="B2210" t="s">
        <v>459</v>
      </c>
      <c r="C2210" t="s">
        <v>106</v>
      </c>
      <c r="D2210" t="s">
        <v>37</v>
      </c>
      <c r="E2210" t="s">
        <v>107</v>
      </c>
      <c r="F2210">
        <v>0</v>
      </c>
      <c r="G2210">
        <v>0</v>
      </c>
      <c r="H2210">
        <v>1700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f>NHS_AE_2024_2025[[#This Row],[A&amp;E attendances Type 1]]+
NHS_AE_2024_2025[[#This Row],[A&amp;E attendances Type 2]]+
NHS_AE_2024_2025[[#This Row],[A&amp;E attendances Other A&amp;E Department]]</f>
        <v>1700</v>
      </c>
      <c r="Y2210">
        <f t="shared" si="68"/>
        <v>0</v>
      </c>
      <c r="Z2210">
        <f t="shared" si="69"/>
        <v>0</v>
      </c>
    </row>
    <row r="2211" spans="1:26" x14ac:dyDescent="0.2">
      <c r="A2211" t="s">
        <v>458</v>
      </c>
      <c r="B2211" t="s">
        <v>459</v>
      </c>
      <c r="C2211" t="s">
        <v>222</v>
      </c>
      <c r="D2211" t="s">
        <v>32</v>
      </c>
      <c r="E2211" t="s">
        <v>223</v>
      </c>
      <c r="F2211">
        <v>0</v>
      </c>
      <c r="G2211">
        <v>0</v>
      </c>
      <c r="H2211">
        <v>3499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f>NHS_AE_2024_2025[[#This Row],[A&amp;E attendances Type 1]]+
NHS_AE_2024_2025[[#This Row],[A&amp;E attendances Type 2]]+
NHS_AE_2024_2025[[#This Row],[A&amp;E attendances Other A&amp;E Department]]</f>
        <v>3499</v>
      </c>
      <c r="Y2211">
        <f t="shared" si="68"/>
        <v>0</v>
      </c>
      <c r="Z2211">
        <f t="shared" si="69"/>
        <v>0</v>
      </c>
    </row>
    <row r="2212" spans="1:26" x14ac:dyDescent="0.2">
      <c r="A2212" t="s">
        <v>458</v>
      </c>
      <c r="B2212" t="s">
        <v>459</v>
      </c>
      <c r="C2212" t="s">
        <v>41</v>
      </c>
      <c r="D2212" t="s">
        <v>32</v>
      </c>
      <c r="E2212" t="s">
        <v>42</v>
      </c>
      <c r="F2212">
        <v>0</v>
      </c>
      <c r="G2212">
        <v>0</v>
      </c>
      <c r="H2212">
        <v>3003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f>NHS_AE_2024_2025[[#This Row],[A&amp;E attendances Type 1]]+
NHS_AE_2024_2025[[#This Row],[A&amp;E attendances Type 2]]+
NHS_AE_2024_2025[[#This Row],[A&amp;E attendances Other A&amp;E Department]]</f>
        <v>3003</v>
      </c>
      <c r="Y2212">
        <f t="shared" si="68"/>
        <v>0</v>
      </c>
      <c r="Z2212">
        <f t="shared" si="69"/>
        <v>0</v>
      </c>
    </row>
    <row r="2213" spans="1:26" x14ac:dyDescent="0.2">
      <c r="A2213" t="s">
        <v>458</v>
      </c>
      <c r="B2213" t="s">
        <v>459</v>
      </c>
      <c r="C2213" t="s">
        <v>43</v>
      </c>
      <c r="D2213" t="s">
        <v>26</v>
      </c>
      <c r="E2213" t="s">
        <v>44</v>
      </c>
      <c r="F2213">
        <v>6235</v>
      </c>
      <c r="G2213">
        <v>0</v>
      </c>
      <c r="H2213">
        <v>3242</v>
      </c>
      <c r="I2213">
        <v>375</v>
      </c>
      <c r="J2213">
        <v>0</v>
      </c>
      <c r="K2213">
        <v>127</v>
      </c>
      <c r="L2213">
        <v>3248</v>
      </c>
      <c r="M2213">
        <v>0</v>
      </c>
      <c r="N2213">
        <v>22</v>
      </c>
      <c r="O2213">
        <v>180</v>
      </c>
      <c r="P2213">
        <v>0</v>
      </c>
      <c r="Q2213">
        <v>0</v>
      </c>
      <c r="R2213">
        <v>363</v>
      </c>
      <c r="S2213">
        <v>82</v>
      </c>
      <c r="T2213">
        <v>2083</v>
      </c>
      <c r="U2213">
        <v>0</v>
      </c>
      <c r="V2213">
        <v>0</v>
      </c>
      <c r="W2213">
        <v>1131</v>
      </c>
      <c r="X2213">
        <f>NHS_AE_2024_2025[[#This Row],[A&amp;E attendances Type 1]]+
NHS_AE_2024_2025[[#This Row],[A&amp;E attendances Type 2]]+
NHS_AE_2024_2025[[#This Row],[A&amp;E attendances Other A&amp;E Department]]</f>
        <v>9477</v>
      </c>
      <c r="Y2213">
        <f t="shared" si="68"/>
        <v>3270</v>
      </c>
      <c r="Z2213">
        <f t="shared" si="69"/>
        <v>3214</v>
      </c>
    </row>
    <row r="2214" spans="1:26" x14ac:dyDescent="0.2">
      <c r="A2214" t="s">
        <v>458</v>
      </c>
      <c r="B2214" t="s">
        <v>459</v>
      </c>
      <c r="C2214" t="s">
        <v>82</v>
      </c>
      <c r="D2214" t="s">
        <v>55</v>
      </c>
      <c r="E2214" t="s">
        <v>83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179</v>
      </c>
      <c r="X2214">
        <f>NHS_AE_2024_2025[[#This Row],[A&amp;E attendances Type 1]]+
NHS_AE_2024_2025[[#This Row],[A&amp;E attendances Type 2]]+
NHS_AE_2024_2025[[#This Row],[A&amp;E attendances Other A&amp;E Department]]</f>
        <v>0</v>
      </c>
      <c r="Y2214">
        <f t="shared" si="68"/>
        <v>0</v>
      </c>
      <c r="Z2214">
        <f t="shared" si="69"/>
        <v>179</v>
      </c>
    </row>
    <row r="2215" spans="1:26" x14ac:dyDescent="0.2">
      <c r="A2215" t="s">
        <v>458</v>
      </c>
      <c r="B2215" t="s">
        <v>459</v>
      </c>
      <c r="C2215" t="s">
        <v>45</v>
      </c>
      <c r="D2215" t="s">
        <v>26</v>
      </c>
      <c r="E2215" t="s">
        <v>46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2</v>
      </c>
      <c r="W2215">
        <v>2</v>
      </c>
      <c r="X2215">
        <f>NHS_AE_2024_2025[[#This Row],[A&amp;E attendances Type 1]]+
NHS_AE_2024_2025[[#This Row],[A&amp;E attendances Type 2]]+
NHS_AE_2024_2025[[#This Row],[A&amp;E attendances Other A&amp;E Department]]</f>
        <v>0</v>
      </c>
      <c r="Y2215">
        <f t="shared" si="68"/>
        <v>0</v>
      </c>
      <c r="Z2215">
        <f t="shared" si="69"/>
        <v>4</v>
      </c>
    </row>
    <row r="2216" spans="1:26" x14ac:dyDescent="0.2">
      <c r="A2216" t="s">
        <v>458</v>
      </c>
      <c r="B2216" t="s">
        <v>459</v>
      </c>
      <c r="C2216" t="s">
        <v>164</v>
      </c>
      <c r="D2216" t="s">
        <v>37</v>
      </c>
      <c r="E2216" t="s">
        <v>165</v>
      </c>
      <c r="F2216">
        <v>10289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3736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495</v>
      </c>
      <c r="S2216">
        <v>674</v>
      </c>
      <c r="T2216">
        <v>3107</v>
      </c>
      <c r="U2216">
        <v>0</v>
      </c>
      <c r="V2216">
        <v>0</v>
      </c>
      <c r="W2216">
        <v>839</v>
      </c>
      <c r="X2216">
        <f>NHS_AE_2024_2025[[#This Row],[A&amp;E attendances Type 1]]+
NHS_AE_2024_2025[[#This Row],[A&amp;E attendances Type 2]]+
NHS_AE_2024_2025[[#This Row],[A&amp;E attendances Other A&amp;E Department]]</f>
        <v>10289</v>
      </c>
      <c r="Y2216">
        <f t="shared" si="68"/>
        <v>3736</v>
      </c>
      <c r="Z2216">
        <f t="shared" si="69"/>
        <v>3946</v>
      </c>
    </row>
    <row r="2217" spans="1:26" x14ac:dyDescent="0.2">
      <c r="A2217" t="s">
        <v>458</v>
      </c>
      <c r="B2217" t="s">
        <v>459</v>
      </c>
      <c r="C2217" t="s">
        <v>218</v>
      </c>
      <c r="D2217" t="s">
        <v>70</v>
      </c>
      <c r="E2217" t="s">
        <v>219</v>
      </c>
      <c r="F2217">
        <v>0</v>
      </c>
      <c r="G2217">
        <v>0</v>
      </c>
      <c r="H2217">
        <v>1181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27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f>NHS_AE_2024_2025[[#This Row],[A&amp;E attendances Type 1]]+
NHS_AE_2024_2025[[#This Row],[A&amp;E attendances Type 2]]+
NHS_AE_2024_2025[[#This Row],[A&amp;E attendances Other A&amp;E Department]]</f>
        <v>1181</v>
      </c>
      <c r="Y2217">
        <f t="shared" si="68"/>
        <v>27</v>
      </c>
      <c r="Z2217">
        <f t="shared" si="69"/>
        <v>0</v>
      </c>
    </row>
    <row r="2218" spans="1:26" x14ac:dyDescent="0.2">
      <c r="A2218" t="s">
        <v>458</v>
      </c>
      <c r="B2218" t="s">
        <v>459</v>
      </c>
      <c r="C2218" t="s">
        <v>128</v>
      </c>
      <c r="D2218" t="s">
        <v>37</v>
      </c>
      <c r="E2218" t="s">
        <v>129</v>
      </c>
      <c r="F2218">
        <v>0</v>
      </c>
      <c r="G2218">
        <v>0</v>
      </c>
      <c r="H2218">
        <v>15014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48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f>NHS_AE_2024_2025[[#This Row],[A&amp;E attendances Type 1]]+
NHS_AE_2024_2025[[#This Row],[A&amp;E attendances Type 2]]+
NHS_AE_2024_2025[[#This Row],[A&amp;E attendances Other A&amp;E Department]]</f>
        <v>15014</v>
      </c>
      <c r="Y2218">
        <f t="shared" si="68"/>
        <v>48</v>
      </c>
      <c r="Z2218">
        <f t="shared" si="69"/>
        <v>0</v>
      </c>
    </row>
    <row r="2219" spans="1:26" x14ac:dyDescent="0.2">
      <c r="A2219" t="s">
        <v>458</v>
      </c>
      <c r="B2219" t="s">
        <v>459</v>
      </c>
      <c r="C2219" t="s">
        <v>90</v>
      </c>
      <c r="D2219" t="s">
        <v>29</v>
      </c>
      <c r="E2219" t="s">
        <v>91</v>
      </c>
      <c r="F2219">
        <v>0</v>
      </c>
      <c r="G2219">
        <v>0</v>
      </c>
      <c r="H2219">
        <v>7268</v>
      </c>
      <c r="I2219">
        <v>0</v>
      </c>
      <c r="J2219">
        <v>0</v>
      </c>
      <c r="K2219">
        <v>427</v>
      </c>
      <c r="L2219">
        <v>0</v>
      </c>
      <c r="M2219">
        <v>0</v>
      </c>
      <c r="N2219">
        <v>175</v>
      </c>
      <c r="O2219">
        <v>0</v>
      </c>
      <c r="P2219">
        <v>0</v>
      </c>
      <c r="Q2219">
        <v>6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f>NHS_AE_2024_2025[[#This Row],[A&amp;E attendances Type 1]]+
NHS_AE_2024_2025[[#This Row],[A&amp;E attendances Type 2]]+
NHS_AE_2024_2025[[#This Row],[A&amp;E attendances Other A&amp;E Department]]</f>
        <v>7268</v>
      </c>
      <c r="Y2219">
        <f t="shared" si="68"/>
        <v>175</v>
      </c>
      <c r="Z2219">
        <f t="shared" si="69"/>
        <v>0</v>
      </c>
    </row>
    <row r="2220" spans="1:26" x14ac:dyDescent="0.2">
      <c r="A2220" t="s">
        <v>458</v>
      </c>
      <c r="B2220" t="s">
        <v>459</v>
      </c>
      <c r="C2220" t="s">
        <v>134</v>
      </c>
      <c r="D2220" t="s">
        <v>37</v>
      </c>
      <c r="E2220" t="s">
        <v>135</v>
      </c>
      <c r="F2220">
        <v>0</v>
      </c>
      <c r="G2220">
        <v>0</v>
      </c>
      <c r="H2220">
        <v>2312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f>NHS_AE_2024_2025[[#This Row],[A&amp;E attendances Type 1]]+
NHS_AE_2024_2025[[#This Row],[A&amp;E attendances Type 2]]+
NHS_AE_2024_2025[[#This Row],[A&amp;E attendances Other A&amp;E Department]]</f>
        <v>2312</v>
      </c>
      <c r="Y2220">
        <f t="shared" si="68"/>
        <v>0</v>
      </c>
      <c r="Z2220">
        <f t="shared" si="69"/>
        <v>0</v>
      </c>
    </row>
    <row r="2221" spans="1:26" x14ac:dyDescent="0.2">
      <c r="A2221" t="s">
        <v>458</v>
      </c>
      <c r="B2221" t="s">
        <v>459</v>
      </c>
      <c r="C2221" t="s">
        <v>232</v>
      </c>
      <c r="D2221" t="s">
        <v>29</v>
      </c>
      <c r="E2221" t="s">
        <v>233</v>
      </c>
      <c r="F2221">
        <v>6915</v>
      </c>
      <c r="G2221">
        <v>0</v>
      </c>
      <c r="H2221">
        <v>7765</v>
      </c>
      <c r="I2221">
        <v>0</v>
      </c>
      <c r="J2221">
        <v>0</v>
      </c>
      <c r="K2221">
        <v>0</v>
      </c>
      <c r="L2221">
        <v>3327</v>
      </c>
      <c r="M2221">
        <v>0</v>
      </c>
      <c r="N2221">
        <v>217</v>
      </c>
      <c r="O2221">
        <v>0</v>
      </c>
      <c r="P2221">
        <v>0</v>
      </c>
      <c r="Q2221">
        <v>0</v>
      </c>
      <c r="R2221">
        <v>270</v>
      </c>
      <c r="S2221">
        <v>185</v>
      </c>
      <c r="T2221">
        <v>2009</v>
      </c>
      <c r="U2221">
        <v>0</v>
      </c>
      <c r="V2221">
        <v>147</v>
      </c>
      <c r="W2221">
        <v>290</v>
      </c>
      <c r="X2221">
        <f>NHS_AE_2024_2025[[#This Row],[A&amp;E attendances Type 1]]+
NHS_AE_2024_2025[[#This Row],[A&amp;E attendances Type 2]]+
NHS_AE_2024_2025[[#This Row],[A&amp;E attendances Other A&amp;E Department]]</f>
        <v>14680</v>
      </c>
      <c r="Y2221">
        <f t="shared" si="68"/>
        <v>3544</v>
      </c>
      <c r="Z2221">
        <f t="shared" si="69"/>
        <v>2446</v>
      </c>
    </row>
    <row r="2222" spans="1:26" x14ac:dyDescent="0.2">
      <c r="A2222" t="s">
        <v>458</v>
      </c>
      <c r="B2222" t="s">
        <v>459</v>
      </c>
      <c r="C2222" t="s">
        <v>400</v>
      </c>
      <c r="D2222" t="s">
        <v>50</v>
      </c>
      <c r="E2222" t="s">
        <v>401</v>
      </c>
      <c r="F2222">
        <v>5056</v>
      </c>
      <c r="G2222">
        <v>0</v>
      </c>
      <c r="H2222">
        <v>1016</v>
      </c>
      <c r="I2222">
        <v>358</v>
      </c>
      <c r="J2222">
        <v>0</v>
      </c>
      <c r="K2222">
        <v>28</v>
      </c>
      <c r="L2222">
        <v>1506</v>
      </c>
      <c r="M2222">
        <v>0</v>
      </c>
      <c r="N2222">
        <v>0</v>
      </c>
      <c r="O2222">
        <v>76</v>
      </c>
      <c r="P2222">
        <v>0</v>
      </c>
      <c r="Q2222">
        <v>0</v>
      </c>
      <c r="R2222">
        <v>135</v>
      </c>
      <c r="S2222">
        <v>3</v>
      </c>
      <c r="T2222">
        <v>1095</v>
      </c>
      <c r="U2222">
        <v>0</v>
      </c>
      <c r="V2222">
        <v>0</v>
      </c>
      <c r="W2222">
        <v>278</v>
      </c>
      <c r="X2222">
        <f>NHS_AE_2024_2025[[#This Row],[A&amp;E attendances Type 1]]+
NHS_AE_2024_2025[[#This Row],[A&amp;E attendances Type 2]]+
NHS_AE_2024_2025[[#This Row],[A&amp;E attendances Other A&amp;E Department]]</f>
        <v>6072</v>
      </c>
      <c r="Y2222">
        <f t="shared" si="68"/>
        <v>1506</v>
      </c>
      <c r="Z2222">
        <f t="shared" si="69"/>
        <v>1373</v>
      </c>
    </row>
    <row r="2223" spans="1:26" x14ac:dyDescent="0.2">
      <c r="A2223" t="s">
        <v>458</v>
      </c>
      <c r="B2223" t="s">
        <v>459</v>
      </c>
      <c r="C2223" t="s">
        <v>310</v>
      </c>
      <c r="D2223" t="s">
        <v>26</v>
      </c>
      <c r="E2223" t="s">
        <v>311</v>
      </c>
      <c r="F2223">
        <v>8884</v>
      </c>
      <c r="G2223">
        <v>166</v>
      </c>
      <c r="H2223">
        <v>5169</v>
      </c>
      <c r="I2223">
        <v>0</v>
      </c>
      <c r="J2223">
        <v>0</v>
      </c>
      <c r="K2223">
        <v>0</v>
      </c>
      <c r="L2223">
        <v>4692</v>
      </c>
      <c r="M2223">
        <v>0</v>
      </c>
      <c r="N2223">
        <v>98</v>
      </c>
      <c r="O2223">
        <v>0</v>
      </c>
      <c r="P2223">
        <v>0</v>
      </c>
      <c r="Q2223">
        <v>0</v>
      </c>
      <c r="R2223">
        <v>641</v>
      </c>
      <c r="S2223">
        <v>430</v>
      </c>
      <c r="T2223">
        <v>2791</v>
      </c>
      <c r="U2223">
        <v>0</v>
      </c>
      <c r="V2223">
        <v>0</v>
      </c>
      <c r="W2223">
        <v>1289</v>
      </c>
      <c r="X2223">
        <f>NHS_AE_2024_2025[[#This Row],[A&amp;E attendances Type 1]]+
NHS_AE_2024_2025[[#This Row],[A&amp;E attendances Type 2]]+
NHS_AE_2024_2025[[#This Row],[A&amp;E attendances Other A&amp;E Department]]</f>
        <v>14219</v>
      </c>
      <c r="Y2223">
        <f t="shared" si="68"/>
        <v>4790</v>
      </c>
      <c r="Z2223">
        <f t="shared" si="69"/>
        <v>4080</v>
      </c>
    </row>
    <row r="2224" spans="1:26" x14ac:dyDescent="0.2">
      <c r="A2224" t="s">
        <v>458</v>
      </c>
      <c r="B2224" t="s">
        <v>459</v>
      </c>
      <c r="C2224" t="s">
        <v>104</v>
      </c>
      <c r="D2224" t="s">
        <v>29</v>
      </c>
      <c r="E2224" t="s">
        <v>105</v>
      </c>
      <c r="F2224">
        <v>10778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1837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208</v>
      </c>
      <c r="S2224">
        <v>17</v>
      </c>
      <c r="T2224">
        <v>1806</v>
      </c>
      <c r="U2224">
        <v>0</v>
      </c>
      <c r="V2224">
        <v>0</v>
      </c>
      <c r="W2224">
        <v>315</v>
      </c>
      <c r="X2224">
        <f>NHS_AE_2024_2025[[#This Row],[A&amp;E attendances Type 1]]+
NHS_AE_2024_2025[[#This Row],[A&amp;E attendances Type 2]]+
NHS_AE_2024_2025[[#This Row],[A&amp;E attendances Other A&amp;E Department]]</f>
        <v>10778</v>
      </c>
      <c r="Y2224">
        <f t="shared" si="68"/>
        <v>1837</v>
      </c>
      <c r="Z2224">
        <f t="shared" si="69"/>
        <v>2121</v>
      </c>
    </row>
    <row r="2225" spans="1:26" x14ac:dyDescent="0.2">
      <c r="A2225" t="s">
        <v>458</v>
      </c>
      <c r="B2225" t="s">
        <v>459</v>
      </c>
      <c r="C2225" t="s">
        <v>260</v>
      </c>
      <c r="D2225" t="s">
        <v>37</v>
      </c>
      <c r="E2225" t="s">
        <v>261</v>
      </c>
      <c r="F2225">
        <v>9511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3084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474</v>
      </c>
      <c r="S2225">
        <v>251</v>
      </c>
      <c r="T2225">
        <v>2648</v>
      </c>
      <c r="U2225">
        <v>0</v>
      </c>
      <c r="V2225">
        <v>0</v>
      </c>
      <c r="W2225">
        <v>620</v>
      </c>
      <c r="X2225">
        <f>NHS_AE_2024_2025[[#This Row],[A&amp;E attendances Type 1]]+
NHS_AE_2024_2025[[#This Row],[A&amp;E attendances Type 2]]+
NHS_AE_2024_2025[[#This Row],[A&amp;E attendances Other A&amp;E Department]]</f>
        <v>9511</v>
      </c>
      <c r="Y2225">
        <f t="shared" si="68"/>
        <v>3084</v>
      </c>
      <c r="Z2225">
        <f t="shared" si="69"/>
        <v>3268</v>
      </c>
    </row>
    <row r="2226" spans="1:26" x14ac:dyDescent="0.2">
      <c r="A2226" t="s">
        <v>458</v>
      </c>
      <c r="B2226" t="s">
        <v>459</v>
      </c>
      <c r="C2226" t="s">
        <v>102</v>
      </c>
      <c r="D2226" t="s">
        <v>55</v>
      </c>
      <c r="E2226" t="s">
        <v>103</v>
      </c>
      <c r="F2226">
        <v>15299</v>
      </c>
      <c r="G2226">
        <v>1752</v>
      </c>
      <c r="H2226">
        <v>7678</v>
      </c>
      <c r="I2226">
        <v>433</v>
      </c>
      <c r="J2226">
        <v>0</v>
      </c>
      <c r="K2226">
        <v>0</v>
      </c>
      <c r="L2226">
        <v>7794</v>
      </c>
      <c r="M2226">
        <v>101</v>
      </c>
      <c r="N2226">
        <v>165</v>
      </c>
      <c r="O2226">
        <v>77</v>
      </c>
      <c r="P2226">
        <v>0</v>
      </c>
      <c r="Q2226">
        <v>0</v>
      </c>
      <c r="R2226">
        <v>1820</v>
      </c>
      <c r="S2226">
        <v>810</v>
      </c>
      <c r="T2226">
        <v>4734</v>
      </c>
      <c r="U2226">
        <v>0</v>
      </c>
      <c r="V2226">
        <v>0</v>
      </c>
      <c r="W2226">
        <v>2822</v>
      </c>
      <c r="X2226">
        <f>NHS_AE_2024_2025[[#This Row],[A&amp;E attendances Type 1]]+
NHS_AE_2024_2025[[#This Row],[A&amp;E attendances Type 2]]+
NHS_AE_2024_2025[[#This Row],[A&amp;E attendances Other A&amp;E Department]]</f>
        <v>24729</v>
      </c>
      <c r="Y2226">
        <f t="shared" si="68"/>
        <v>8060</v>
      </c>
      <c r="Z2226">
        <f t="shared" si="69"/>
        <v>7556</v>
      </c>
    </row>
    <row r="2227" spans="1:26" x14ac:dyDescent="0.2">
      <c r="A2227" t="s">
        <v>458</v>
      </c>
      <c r="B2227" t="s">
        <v>459</v>
      </c>
      <c r="C2227" t="s">
        <v>84</v>
      </c>
      <c r="D2227" t="s">
        <v>50</v>
      </c>
      <c r="E2227" t="s">
        <v>85</v>
      </c>
      <c r="F2227">
        <v>8612</v>
      </c>
      <c r="G2227">
        <v>0</v>
      </c>
      <c r="H2227">
        <v>0</v>
      </c>
      <c r="I2227">
        <v>31</v>
      </c>
      <c r="J2227">
        <v>0</v>
      </c>
      <c r="K2227">
        <v>0</v>
      </c>
      <c r="L2227">
        <v>3099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457</v>
      </c>
      <c r="S2227">
        <v>0</v>
      </c>
      <c r="T2227">
        <v>2862</v>
      </c>
      <c r="U2227">
        <v>0</v>
      </c>
      <c r="V2227">
        <v>0</v>
      </c>
      <c r="W2227">
        <v>478</v>
      </c>
      <c r="X2227">
        <f>NHS_AE_2024_2025[[#This Row],[A&amp;E attendances Type 1]]+
NHS_AE_2024_2025[[#This Row],[A&amp;E attendances Type 2]]+
NHS_AE_2024_2025[[#This Row],[A&amp;E attendances Other A&amp;E Department]]</f>
        <v>8612</v>
      </c>
      <c r="Y2227">
        <f t="shared" si="68"/>
        <v>3099</v>
      </c>
      <c r="Z2227">
        <f t="shared" si="69"/>
        <v>3340</v>
      </c>
    </row>
    <row r="2228" spans="1:26" x14ac:dyDescent="0.2">
      <c r="A2228" t="s">
        <v>458</v>
      </c>
      <c r="B2228" t="s">
        <v>459</v>
      </c>
      <c r="C2228" t="s">
        <v>254</v>
      </c>
      <c r="D2228" t="s">
        <v>50</v>
      </c>
      <c r="E2228" t="s">
        <v>255</v>
      </c>
      <c r="F2228">
        <v>8784</v>
      </c>
      <c r="G2228">
        <v>0</v>
      </c>
      <c r="H2228">
        <v>1934</v>
      </c>
      <c r="I2228">
        <v>358</v>
      </c>
      <c r="J2228">
        <v>0</v>
      </c>
      <c r="K2228">
        <v>26</v>
      </c>
      <c r="L2228">
        <v>4221</v>
      </c>
      <c r="M2228">
        <v>0</v>
      </c>
      <c r="N2228">
        <v>78</v>
      </c>
      <c r="O2228">
        <v>92</v>
      </c>
      <c r="P2228">
        <v>0</v>
      </c>
      <c r="Q2228">
        <v>0</v>
      </c>
      <c r="R2228">
        <v>747</v>
      </c>
      <c r="S2228">
        <v>747</v>
      </c>
      <c r="T2228">
        <v>2313</v>
      </c>
      <c r="U2228">
        <v>0</v>
      </c>
      <c r="V2228">
        <v>0</v>
      </c>
      <c r="W2228">
        <v>711</v>
      </c>
      <c r="X2228">
        <f>NHS_AE_2024_2025[[#This Row],[A&amp;E attendances Type 1]]+
NHS_AE_2024_2025[[#This Row],[A&amp;E attendances Type 2]]+
NHS_AE_2024_2025[[#This Row],[A&amp;E attendances Other A&amp;E Department]]</f>
        <v>10718</v>
      </c>
      <c r="Y2228">
        <f t="shared" si="68"/>
        <v>4299</v>
      </c>
      <c r="Z2228">
        <f t="shared" si="69"/>
        <v>3024</v>
      </c>
    </row>
    <row r="2229" spans="1:26" x14ac:dyDescent="0.2">
      <c r="A2229" t="s">
        <v>458</v>
      </c>
      <c r="B2229" t="s">
        <v>459</v>
      </c>
      <c r="C2229" t="s">
        <v>258</v>
      </c>
      <c r="D2229" t="s">
        <v>50</v>
      </c>
      <c r="E2229" t="s">
        <v>259</v>
      </c>
      <c r="F2229">
        <v>5764</v>
      </c>
      <c r="G2229">
        <v>0</v>
      </c>
      <c r="H2229">
        <v>3239</v>
      </c>
      <c r="I2229">
        <v>28</v>
      </c>
      <c r="J2229">
        <v>0</v>
      </c>
      <c r="K2229">
        <v>1</v>
      </c>
      <c r="L2229">
        <v>2545</v>
      </c>
      <c r="M2229">
        <v>0</v>
      </c>
      <c r="N2229">
        <v>32</v>
      </c>
      <c r="O2229">
        <v>7</v>
      </c>
      <c r="P2229">
        <v>0</v>
      </c>
      <c r="Q2229">
        <v>0</v>
      </c>
      <c r="R2229">
        <v>938</v>
      </c>
      <c r="S2229">
        <v>0</v>
      </c>
      <c r="T2229">
        <v>1566</v>
      </c>
      <c r="U2229">
        <v>0</v>
      </c>
      <c r="V2229">
        <v>0</v>
      </c>
      <c r="W2229">
        <v>61</v>
      </c>
      <c r="X2229">
        <f>NHS_AE_2024_2025[[#This Row],[A&amp;E attendances Type 1]]+
NHS_AE_2024_2025[[#This Row],[A&amp;E attendances Type 2]]+
NHS_AE_2024_2025[[#This Row],[A&amp;E attendances Other A&amp;E Department]]</f>
        <v>9003</v>
      </c>
      <c r="Y2229">
        <f t="shared" si="68"/>
        <v>2577</v>
      </c>
      <c r="Z2229">
        <f t="shared" si="69"/>
        <v>1627</v>
      </c>
    </row>
    <row r="2230" spans="1:26" x14ac:dyDescent="0.2">
      <c r="A2230" t="s">
        <v>458</v>
      </c>
      <c r="B2230" t="s">
        <v>459</v>
      </c>
      <c r="C2230" t="s">
        <v>52</v>
      </c>
      <c r="D2230" t="s">
        <v>37</v>
      </c>
      <c r="E2230" t="s">
        <v>53</v>
      </c>
      <c r="F2230">
        <v>9751</v>
      </c>
      <c r="G2230">
        <v>1145</v>
      </c>
      <c r="H2230">
        <v>3457</v>
      </c>
      <c r="I2230">
        <v>0</v>
      </c>
      <c r="J2230">
        <v>0</v>
      </c>
      <c r="K2230">
        <v>0</v>
      </c>
      <c r="L2230">
        <v>3943</v>
      </c>
      <c r="M2230">
        <v>0</v>
      </c>
      <c r="N2230">
        <v>267</v>
      </c>
      <c r="O2230">
        <v>0</v>
      </c>
      <c r="P2230">
        <v>0</v>
      </c>
      <c r="Q2230">
        <v>0</v>
      </c>
      <c r="R2230">
        <v>315</v>
      </c>
      <c r="S2230">
        <v>298</v>
      </c>
      <c r="T2230">
        <v>4085</v>
      </c>
      <c r="U2230">
        <v>769</v>
      </c>
      <c r="V2230">
        <v>0</v>
      </c>
      <c r="W2230">
        <v>1755</v>
      </c>
      <c r="X2230">
        <f>NHS_AE_2024_2025[[#This Row],[A&amp;E attendances Type 1]]+
NHS_AE_2024_2025[[#This Row],[A&amp;E attendances Type 2]]+
NHS_AE_2024_2025[[#This Row],[A&amp;E attendances Other A&amp;E Department]]</f>
        <v>14353</v>
      </c>
      <c r="Y2230">
        <f t="shared" si="68"/>
        <v>4210</v>
      </c>
      <c r="Z2230">
        <f t="shared" si="69"/>
        <v>6609</v>
      </c>
    </row>
    <row r="2231" spans="1:26" x14ac:dyDescent="0.2">
      <c r="A2231" t="s">
        <v>458</v>
      </c>
      <c r="B2231" t="s">
        <v>459</v>
      </c>
      <c r="C2231" t="s">
        <v>220</v>
      </c>
      <c r="D2231" t="s">
        <v>50</v>
      </c>
      <c r="E2231" t="s">
        <v>221</v>
      </c>
      <c r="F2231">
        <v>0</v>
      </c>
      <c r="G2231">
        <v>0</v>
      </c>
      <c r="H2231">
        <v>307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f>NHS_AE_2024_2025[[#This Row],[A&amp;E attendances Type 1]]+
NHS_AE_2024_2025[[#This Row],[A&amp;E attendances Type 2]]+
NHS_AE_2024_2025[[#This Row],[A&amp;E attendances Other A&amp;E Department]]</f>
        <v>307</v>
      </c>
      <c r="Y2231">
        <f t="shared" si="68"/>
        <v>0</v>
      </c>
      <c r="Z2231">
        <f t="shared" si="69"/>
        <v>0</v>
      </c>
    </row>
    <row r="2232" spans="1:26" x14ac:dyDescent="0.2">
      <c r="A2232" t="s">
        <v>458</v>
      </c>
      <c r="B2232" t="s">
        <v>459</v>
      </c>
      <c r="C2232" t="s">
        <v>69</v>
      </c>
      <c r="D2232" t="s">
        <v>70</v>
      </c>
      <c r="E2232" t="s">
        <v>71</v>
      </c>
      <c r="F2232">
        <v>0</v>
      </c>
      <c r="G2232">
        <v>0</v>
      </c>
      <c r="H2232">
        <v>2247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107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f>NHS_AE_2024_2025[[#This Row],[A&amp;E attendances Type 1]]+
NHS_AE_2024_2025[[#This Row],[A&amp;E attendances Type 2]]+
NHS_AE_2024_2025[[#This Row],[A&amp;E attendances Other A&amp;E Department]]</f>
        <v>2247</v>
      </c>
      <c r="Y2232">
        <f t="shared" si="68"/>
        <v>107</v>
      </c>
      <c r="Z2232">
        <f t="shared" si="69"/>
        <v>0</v>
      </c>
    </row>
    <row r="2233" spans="1:26" x14ac:dyDescent="0.2">
      <c r="A2233" t="s">
        <v>458</v>
      </c>
      <c r="B2233" t="s">
        <v>459</v>
      </c>
      <c r="C2233" t="s">
        <v>148</v>
      </c>
      <c r="D2233" t="s">
        <v>32</v>
      </c>
      <c r="E2233" t="s">
        <v>149</v>
      </c>
      <c r="F2233">
        <v>0</v>
      </c>
      <c r="G2233">
        <v>0</v>
      </c>
      <c r="H2233">
        <v>3248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f>NHS_AE_2024_2025[[#This Row],[A&amp;E attendances Type 1]]+
NHS_AE_2024_2025[[#This Row],[A&amp;E attendances Type 2]]+
NHS_AE_2024_2025[[#This Row],[A&amp;E attendances Other A&amp;E Department]]</f>
        <v>3248</v>
      </c>
      <c r="Y2233">
        <f t="shared" si="68"/>
        <v>1</v>
      </c>
      <c r="Z2233">
        <f t="shared" si="69"/>
        <v>0</v>
      </c>
    </row>
    <row r="2234" spans="1:26" x14ac:dyDescent="0.2">
      <c r="A2234" t="s">
        <v>458</v>
      </c>
      <c r="B2234" t="s">
        <v>459</v>
      </c>
      <c r="C2234" t="s">
        <v>204</v>
      </c>
      <c r="D2234" t="s">
        <v>32</v>
      </c>
      <c r="E2234" t="s">
        <v>205</v>
      </c>
      <c r="F2234">
        <v>5902</v>
      </c>
      <c r="G2234">
        <v>1183</v>
      </c>
      <c r="H2234">
        <v>156</v>
      </c>
      <c r="I2234">
        <v>125</v>
      </c>
      <c r="J2234">
        <v>0</v>
      </c>
      <c r="K2234">
        <v>0</v>
      </c>
      <c r="L2234">
        <v>2484</v>
      </c>
      <c r="M2234">
        <v>0</v>
      </c>
      <c r="N2234">
        <v>0</v>
      </c>
      <c r="O2234">
        <v>38</v>
      </c>
      <c r="P2234">
        <v>0</v>
      </c>
      <c r="Q2234">
        <v>0</v>
      </c>
      <c r="R2234">
        <v>454</v>
      </c>
      <c r="S2234">
        <v>284</v>
      </c>
      <c r="T2234">
        <v>1438</v>
      </c>
      <c r="U2234">
        <v>0</v>
      </c>
      <c r="V2234">
        <v>0</v>
      </c>
      <c r="W2234">
        <v>152</v>
      </c>
      <c r="X2234">
        <f>NHS_AE_2024_2025[[#This Row],[A&amp;E attendances Type 1]]+
NHS_AE_2024_2025[[#This Row],[A&amp;E attendances Type 2]]+
NHS_AE_2024_2025[[#This Row],[A&amp;E attendances Other A&amp;E Department]]</f>
        <v>7241</v>
      </c>
      <c r="Y2234">
        <f t="shared" si="68"/>
        <v>2484</v>
      </c>
      <c r="Z2234">
        <f t="shared" si="69"/>
        <v>1590</v>
      </c>
    </row>
    <row r="2235" spans="1:26" x14ac:dyDescent="0.2">
      <c r="A2235" t="s">
        <v>458</v>
      </c>
      <c r="B2235" t="s">
        <v>459</v>
      </c>
      <c r="C2235" t="s">
        <v>410</v>
      </c>
      <c r="D2235" t="s">
        <v>32</v>
      </c>
      <c r="E2235" t="s">
        <v>411</v>
      </c>
      <c r="F2235">
        <v>4571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722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978</v>
      </c>
      <c r="U2235">
        <v>0</v>
      </c>
      <c r="V2235">
        <v>0</v>
      </c>
      <c r="W2235">
        <v>168</v>
      </c>
      <c r="X2235">
        <f>NHS_AE_2024_2025[[#This Row],[A&amp;E attendances Type 1]]+
NHS_AE_2024_2025[[#This Row],[A&amp;E attendances Type 2]]+
NHS_AE_2024_2025[[#This Row],[A&amp;E attendances Other A&amp;E Department]]</f>
        <v>4571</v>
      </c>
      <c r="Y2235">
        <f t="shared" si="68"/>
        <v>722</v>
      </c>
      <c r="Z2235">
        <f t="shared" si="69"/>
        <v>1146</v>
      </c>
    </row>
    <row r="2236" spans="1:26" x14ac:dyDescent="0.2">
      <c r="A2236" t="s">
        <v>458</v>
      </c>
      <c r="B2236" t="s">
        <v>459</v>
      </c>
      <c r="C2236" t="s">
        <v>108</v>
      </c>
      <c r="D2236" t="s">
        <v>37</v>
      </c>
      <c r="E2236" t="s">
        <v>109</v>
      </c>
      <c r="F2236">
        <v>0</v>
      </c>
      <c r="G2236">
        <v>0</v>
      </c>
      <c r="H2236">
        <v>2050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f>NHS_AE_2024_2025[[#This Row],[A&amp;E attendances Type 1]]+
NHS_AE_2024_2025[[#This Row],[A&amp;E attendances Type 2]]+
NHS_AE_2024_2025[[#This Row],[A&amp;E attendances Other A&amp;E Department]]</f>
        <v>2050</v>
      </c>
      <c r="Y2236">
        <f t="shared" si="68"/>
        <v>0</v>
      </c>
      <c r="Z2236">
        <f t="shared" si="69"/>
        <v>0</v>
      </c>
    </row>
    <row r="2237" spans="1:26" x14ac:dyDescent="0.2">
      <c r="A2237" t="s">
        <v>458</v>
      </c>
      <c r="B2237" t="s">
        <v>459</v>
      </c>
      <c r="C2237" t="s">
        <v>39</v>
      </c>
      <c r="D2237" t="s">
        <v>26</v>
      </c>
      <c r="E2237" t="s">
        <v>40</v>
      </c>
      <c r="F2237">
        <v>0</v>
      </c>
      <c r="G2237">
        <v>0</v>
      </c>
      <c r="H2237">
        <v>75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f>NHS_AE_2024_2025[[#This Row],[A&amp;E attendances Type 1]]+
NHS_AE_2024_2025[[#This Row],[A&amp;E attendances Type 2]]+
NHS_AE_2024_2025[[#This Row],[A&amp;E attendances Other A&amp;E Department]]</f>
        <v>75</v>
      </c>
      <c r="Y2237">
        <f t="shared" si="68"/>
        <v>0</v>
      </c>
      <c r="Z2237">
        <f t="shared" si="69"/>
        <v>0</v>
      </c>
    </row>
    <row r="2238" spans="1:26" x14ac:dyDescent="0.2">
      <c r="A2238" t="s">
        <v>458</v>
      </c>
      <c r="B2238" t="s">
        <v>459</v>
      </c>
      <c r="C2238" t="s">
        <v>422</v>
      </c>
      <c r="D2238" t="s">
        <v>26</v>
      </c>
      <c r="E2238" t="s">
        <v>423</v>
      </c>
      <c r="F2238">
        <v>0</v>
      </c>
      <c r="G2238">
        <v>0</v>
      </c>
      <c r="H2238">
        <v>8415</v>
      </c>
      <c r="I2238">
        <v>0</v>
      </c>
      <c r="J2238">
        <v>0</v>
      </c>
      <c r="K2238">
        <v>352</v>
      </c>
      <c r="L2238">
        <v>0</v>
      </c>
      <c r="M2238">
        <v>0</v>
      </c>
      <c r="N2238">
        <v>503</v>
      </c>
      <c r="O2238">
        <v>0</v>
      </c>
      <c r="P2238">
        <v>0</v>
      </c>
      <c r="Q2238">
        <v>47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f>NHS_AE_2024_2025[[#This Row],[A&amp;E attendances Type 1]]+
NHS_AE_2024_2025[[#This Row],[A&amp;E attendances Type 2]]+
NHS_AE_2024_2025[[#This Row],[A&amp;E attendances Other A&amp;E Department]]</f>
        <v>8415</v>
      </c>
      <c r="Y2238">
        <f t="shared" si="68"/>
        <v>503</v>
      </c>
      <c r="Z2238">
        <f t="shared" si="69"/>
        <v>0</v>
      </c>
    </row>
    <row r="2239" spans="1:26" x14ac:dyDescent="0.2">
      <c r="A2239" t="s">
        <v>458</v>
      </c>
      <c r="B2239" t="s">
        <v>459</v>
      </c>
      <c r="C2239" t="s">
        <v>118</v>
      </c>
      <c r="D2239" t="s">
        <v>32</v>
      </c>
      <c r="E2239" t="s">
        <v>119</v>
      </c>
      <c r="F2239">
        <v>0</v>
      </c>
      <c r="G2239">
        <v>0</v>
      </c>
      <c r="H2239">
        <v>1811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4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f>NHS_AE_2024_2025[[#This Row],[A&amp;E attendances Type 1]]+
NHS_AE_2024_2025[[#This Row],[A&amp;E attendances Type 2]]+
NHS_AE_2024_2025[[#This Row],[A&amp;E attendances Other A&amp;E Department]]</f>
        <v>1811</v>
      </c>
      <c r="Y2239">
        <f t="shared" si="68"/>
        <v>4</v>
      </c>
      <c r="Z2239">
        <f t="shared" si="69"/>
        <v>0</v>
      </c>
    </row>
    <row r="2240" spans="1:26" x14ac:dyDescent="0.2">
      <c r="A2240" t="s">
        <v>458</v>
      </c>
      <c r="B2240" t="s">
        <v>459</v>
      </c>
      <c r="C2240" t="s">
        <v>76</v>
      </c>
      <c r="D2240" t="s">
        <v>37</v>
      </c>
      <c r="E2240" t="s">
        <v>77</v>
      </c>
      <c r="F2240">
        <v>0</v>
      </c>
      <c r="G2240">
        <v>0</v>
      </c>
      <c r="H2240">
        <v>5201</v>
      </c>
      <c r="I2240">
        <v>0</v>
      </c>
      <c r="J2240">
        <v>0</v>
      </c>
      <c r="K2240">
        <v>233</v>
      </c>
      <c r="L2240">
        <v>0</v>
      </c>
      <c r="M2240">
        <v>0</v>
      </c>
      <c r="N2240">
        <v>144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f>NHS_AE_2024_2025[[#This Row],[A&amp;E attendances Type 1]]+
NHS_AE_2024_2025[[#This Row],[A&amp;E attendances Type 2]]+
NHS_AE_2024_2025[[#This Row],[A&amp;E attendances Other A&amp;E Department]]</f>
        <v>5201</v>
      </c>
      <c r="Y2240">
        <f t="shared" si="68"/>
        <v>144</v>
      </c>
      <c r="Z2240">
        <f t="shared" si="69"/>
        <v>0</v>
      </c>
    </row>
    <row r="2241" spans="1:26" x14ac:dyDescent="0.2">
      <c r="A2241" t="s">
        <v>458</v>
      </c>
      <c r="B2241" t="s">
        <v>459</v>
      </c>
      <c r="C2241" t="s">
        <v>184</v>
      </c>
      <c r="D2241" t="s">
        <v>55</v>
      </c>
      <c r="E2241" t="s">
        <v>185</v>
      </c>
      <c r="F2241">
        <v>0</v>
      </c>
      <c r="G2241">
        <v>0</v>
      </c>
      <c r="H2241">
        <v>1050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f>NHS_AE_2024_2025[[#This Row],[A&amp;E attendances Type 1]]+
NHS_AE_2024_2025[[#This Row],[A&amp;E attendances Type 2]]+
NHS_AE_2024_2025[[#This Row],[A&amp;E attendances Other A&amp;E Department]]</f>
        <v>1050</v>
      </c>
      <c r="Y2241">
        <f t="shared" si="68"/>
        <v>0</v>
      </c>
      <c r="Z2241">
        <f t="shared" si="69"/>
        <v>0</v>
      </c>
    </row>
    <row r="2242" spans="1:26" x14ac:dyDescent="0.2">
      <c r="A2242" t="s">
        <v>458</v>
      </c>
      <c r="B2242" t="s">
        <v>459</v>
      </c>
      <c r="C2242" t="s">
        <v>394</v>
      </c>
      <c r="D2242" t="s">
        <v>55</v>
      </c>
      <c r="E2242" t="s">
        <v>395</v>
      </c>
      <c r="F2242">
        <v>23533</v>
      </c>
      <c r="G2242">
        <v>3004</v>
      </c>
      <c r="H2242">
        <v>11304</v>
      </c>
      <c r="I2242">
        <v>3290</v>
      </c>
      <c r="J2242">
        <v>428</v>
      </c>
      <c r="K2242">
        <v>976</v>
      </c>
      <c r="L2242">
        <v>10679</v>
      </c>
      <c r="M2242">
        <v>117</v>
      </c>
      <c r="N2242">
        <v>570</v>
      </c>
      <c r="O2242">
        <v>1411</v>
      </c>
      <c r="P2242">
        <v>13</v>
      </c>
      <c r="Q2242">
        <v>87</v>
      </c>
      <c r="R2242">
        <v>3878</v>
      </c>
      <c r="S2242">
        <v>179</v>
      </c>
      <c r="T2242">
        <v>5452</v>
      </c>
      <c r="U2242">
        <v>137</v>
      </c>
      <c r="V2242">
        <v>168</v>
      </c>
      <c r="W2242">
        <v>455</v>
      </c>
      <c r="X2242">
        <f>NHS_AE_2024_2025[[#This Row],[A&amp;E attendances Type 1]]+
NHS_AE_2024_2025[[#This Row],[A&amp;E attendances Type 2]]+
NHS_AE_2024_2025[[#This Row],[A&amp;E attendances Other A&amp;E Department]]</f>
        <v>37841</v>
      </c>
      <c r="Y2242">
        <f t="shared" ref="Y2242:Y2305" si="70">L2242+M2242+N2242</f>
        <v>11366</v>
      </c>
      <c r="Z2242">
        <f t="shared" ref="Z2242:Z2305" si="71">T2242+U2242+V2242+W2242</f>
        <v>6212</v>
      </c>
    </row>
    <row r="2243" spans="1:26" x14ac:dyDescent="0.2">
      <c r="A2243" t="s">
        <v>458</v>
      </c>
      <c r="B2243" t="s">
        <v>459</v>
      </c>
      <c r="C2243" t="s">
        <v>192</v>
      </c>
      <c r="D2243" t="s">
        <v>55</v>
      </c>
      <c r="E2243" t="s">
        <v>193</v>
      </c>
      <c r="F2243">
        <v>5058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776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862</v>
      </c>
      <c r="U2243">
        <v>0</v>
      </c>
      <c r="V2243">
        <v>0</v>
      </c>
      <c r="W2243">
        <v>308</v>
      </c>
      <c r="X2243">
        <f>NHS_AE_2024_2025[[#This Row],[A&amp;E attendances Type 1]]+
NHS_AE_2024_2025[[#This Row],[A&amp;E attendances Type 2]]+
NHS_AE_2024_2025[[#This Row],[A&amp;E attendances Other A&amp;E Department]]</f>
        <v>5058</v>
      </c>
      <c r="Y2243">
        <f t="shared" si="70"/>
        <v>776</v>
      </c>
      <c r="Z2243">
        <f t="shared" si="71"/>
        <v>1170</v>
      </c>
    </row>
    <row r="2244" spans="1:26" x14ac:dyDescent="0.2">
      <c r="A2244" t="s">
        <v>458</v>
      </c>
      <c r="B2244" t="s">
        <v>459</v>
      </c>
      <c r="C2244" t="s">
        <v>126</v>
      </c>
      <c r="D2244" t="s">
        <v>70</v>
      </c>
      <c r="E2244" t="s">
        <v>127</v>
      </c>
      <c r="F2244">
        <v>7912</v>
      </c>
      <c r="G2244">
        <v>0</v>
      </c>
      <c r="H2244">
        <v>7595</v>
      </c>
      <c r="I2244">
        <v>0</v>
      </c>
      <c r="J2244">
        <v>0</v>
      </c>
      <c r="K2244">
        <v>834</v>
      </c>
      <c r="L2244">
        <v>2844</v>
      </c>
      <c r="M2244">
        <v>0</v>
      </c>
      <c r="N2244">
        <v>145</v>
      </c>
      <c r="O2244">
        <v>0</v>
      </c>
      <c r="P2244">
        <v>0</v>
      </c>
      <c r="Q2244">
        <v>0</v>
      </c>
      <c r="R2244">
        <v>742</v>
      </c>
      <c r="S2244">
        <v>20</v>
      </c>
      <c r="T2244">
        <v>4144</v>
      </c>
      <c r="U2244">
        <v>0</v>
      </c>
      <c r="V2244">
        <v>0</v>
      </c>
      <c r="W2244">
        <v>541</v>
      </c>
      <c r="X2244">
        <f>NHS_AE_2024_2025[[#This Row],[A&amp;E attendances Type 1]]+
NHS_AE_2024_2025[[#This Row],[A&amp;E attendances Type 2]]+
NHS_AE_2024_2025[[#This Row],[A&amp;E attendances Other A&amp;E Department]]</f>
        <v>15507</v>
      </c>
      <c r="Y2244">
        <f t="shared" si="70"/>
        <v>2989</v>
      </c>
      <c r="Z2244">
        <f t="shared" si="71"/>
        <v>4685</v>
      </c>
    </row>
    <row r="2245" spans="1:26" x14ac:dyDescent="0.2">
      <c r="A2245" t="s">
        <v>458</v>
      </c>
      <c r="B2245" t="s">
        <v>459</v>
      </c>
      <c r="C2245" t="s">
        <v>168</v>
      </c>
      <c r="D2245" t="s">
        <v>32</v>
      </c>
      <c r="E2245" t="s">
        <v>169</v>
      </c>
      <c r="F2245">
        <v>12531</v>
      </c>
      <c r="G2245">
        <v>0</v>
      </c>
      <c r="H2245">
        <v>5773</v>
      </c>
      <c r="I2245">
        <v>127</v>
      </c>
      <c r="J2245">
        <v>0</v>
      </c>
      <c r="K2245">
        <v>13</v>
      </c>
      <c r="L2245">
        <v>5764</v>
      </c>
      <c r="M2245">
        <v>0</v>
      </c>
      <c r="N2245">
        <v>13</v>
      </c>
      <c r="O2245">
        <v>43</v>
      </c>
      <c r="P2245">
        <v>0</v>
      </c>
      <c r="Q2245">
        <v>0</v>
      </c>
      <c r="R2245">
        <v>797</v>
      </c>
      <c r="S2245">
        <v>369</v>
      </c>
      <c r="T2245">
        <v>3329</v>
      </c>
      <c r="U2245">
        <v>0</v>
      </c>
      <c r="V2245">
        <v>0</v>
      </c>
      <c r="W2245">
        <v>887</v>
      </c>
      <c r="X2245">
        <f>NHS_AE_2024_2025[[#This Row],[A&amp;E attendances Type 1]]+
NHS_AE_2024_2025[[#This Row],[A&amp;E attendances Type 2]]+
NHS_AE_2024_2025[[#This Row],[A&amp;E attendances Other A&amp;E Department]]</f>
        <v>18304</v>
      </c>
      <c r="Y2245">
        <f t="shared" si="70"/>
        <v>5777</v>
      </c>
      <c r="Z2245">
        <f t="shared" si="71"/>
        <v>4216</v>
      </c>
    </row>
    <row r="2246" spans="1:26" x14ac:dyDescent="0.2">
      <c r="A2246" t="s">
        <v>458</v>
      </c>
      <c r="B2246" t="s">
        <v>459</v>
      </c>
      <c r="C2246" t="s">
        <v>174</v>
      </c>
      <c r="D2246" t="s">
        <v>50</v>
      </c>
      <c r="E2246" t="s">
        <v>175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106</v>
      </c>
      <c r="X2246">
        <f>NHS_AE_2024_2025[[#This Row],[A&amp;E attendances Type 1]]+
NHS_AE_2024_2025[[#This Row],[A&amp;E attendances Type 2]]+
NHS_AE_2024_2025[[#This Row],[A&amp;E attendances Other A&amp;E Department]]</f>
        <v>0</v>
      </c>
      <c r="Y2246">
        <f t="shared" si="70"/>
        <v>0</v>
      </c>
      <c r="Z2246">
        <f t="shared" si="71"/>
        <v>106</v>
      </c>
    </row>
    <row r="2247" spans="1:26" x14ac:dyDescent="0.2">
      <c r="A2247" t="s">
        <v>458</v>
      </c>
      <c r="B2247" t="s">
        <v>459</v>
      </c>
      <c r="C2247" t="s">
        <v>216</v>
      </c>
      <c r="D2247" t="s">
        <v>55</v>
      </c>
      <c r="E2247" t="s">
        <v>217</v>
      </c>
      <c r="F2247">
        <v>13080</v>
      </c>
      <c r="G2247">
        <v>0</v>
      </c>
      <c r="H2247">
        <v>10362</v>
      </c>
      <c r="I2247">
        <v>0</v>
      </c>
      <c r="J2247">
        <v>0</v>
      </c>
      <c r="K2247">
        <v>0</v>
      </c>
      <c r="L2247">
        <v>4577</v>
      </c>
      <c r="M2247">
        <v>0</v>
      </c>
      <c r="N2247">
        <v>581</v>
      </c>
      <c r="O2247">
        <v>0</v>
      </c>
      <c r="P2247">
        <v>0</v>
      </c>
      <c r="Q2247">
        <v>0</v>
      </c>
      <c r="R2247">
        <v>431</v>
      </c>
      <c r="S2247">
        <v>1146</v>
      </c>
      <c r="T2247">
        <v>4211</v>
      </c>
      <c r="U2247">
        <v>0</v>
      </c>
      <c r="V2247">
        <v>65</v>
      </c>
      <c r="W2247">
        <v>1770</v>
      </c>
      <c r="X2247">
        <f>NHS_AE_2024_2025[[#This Row],[A&amp;E attendances Type 1]]+
NHS_AE_2024_2025[[#This Row],[A&amp;E attendances Type 2]]+
NHS_AE_2024_2025[[#This Row],[A&amp;E attendances Other A&amp;E Department]]</f>
        <v>23442</v>
      </c>
      <c r="Y2247">
        <f t="shared" si="70"/>
        <v>5158</v>
      </c>
      <c r="Z2247">
        <f t="shared" si="71"/>
        <v>6046</v>
      </c>
    </row>
    <row r="2248" spans="1:26" x14ac:dyDescent="0.2">
      <c r="A2248" t="s">
        <v>458</v>
      </c>
      <c r="B2248" t="s">
        <v>459</v>
      </c>
      <c r="C2248" t="s">
        <v>31</v>
      </c>
      <c r="D2248" t="s">
        <v>32</v>
      </c>
      <c r="E2248" t="s">
        <v>33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2197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f>NHS_AE_2024_2025[[#This Row],[A&amp;E attendances Type 1]]+
NHS_AE_2024_2025[[#This Row],[A&amp;E attendances Type 2]]+
NHS_AE_2024_2025[[#This Row],[A&amp;E attendances Other A&amp;E Department]]</f>
        <v>0</v>
      </c>
      <c r="Y2248">
        <f t="shared" si="70"/>
        <v>0</v>
      </c>
      <c r="Z2248">
        <f t="shared" si="71"/>
        <v>0</v>
      </c>
    </row>
    <row r="2249" spans="1:26" x14ac:dyDescent="0.2">
      <c r="A2249" t="s">
        <v>458</v>
      </c>
      <c r="B2249" t="s">
        <v>459</v>
      </c>
      <c r="C2249" t="s">
        <v>92</v>
      </c>
      <c r="D2249" t="s">
        <v>26</v>
      </c>
      <c r="E2249" t="s">
        <v>93</v>
      </c>
      <c r="F2249">
        <v>0</v>
      </c>
      <c r="G2249">
        <v>0</v>
      </c>
      <c r="H2249">
        <v>2529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31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f>NHS_AE_2024_2025[[#This Row],[A&amp;E attendances Type 1]]+
NHS_AE_2024_2025[[#This Row],[A&amp;E attendances Type 2]]+
NHS_AE_2024_2025[[#This Row],[A&amp;E attendances Other A&amp;E Department]]</f>
        <v>2529</v>
      </c>
      <c r="Y2249">
        <f t="shared" si="70"/>
        <v>31</v>
      </c>
      <c r="Z2249">
        <f t="shared" si="71"/>
        <v>0</v>
      </c>
    </row>
    <row r="2250" spans="1:26" x14ac:dyDescent="0.2">
      <c r="A2250" t="s">
        <v>458</v>
      </c>
      <c r="B2250" t="s">
        <v>459</v>
      </c>
      <c r="C2250" t="s">
        <v>146</v>
      </c>
      <c r="D2250" t="s">
        <v>32</v>
      </c>
      <c r="E2250" t="s">
        <v>147</v>
      </c>
      <c r="F2250">
        <v>0</v>
      </c>
      <c r="G2250">
        <v>0</v>
      </c>
      <c r="H2250">
        <v>4900</v>
      </c>
      <c r="I2250">
        <v>0</v>
      </c>
      <c r="J2250">
        <v>0</v>
      </c>
      <c r="K2250">
        <v>253</v>
      </c>
      <c r="L2250">
        <v>0</v>
      </c>
      <c r="M2250">
        <v>0</v>
      </c>
      <c r="N2250">
        <v>71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f>NHS_AE_2024_2025[[#This Row],[A&amp;E attendances Type 1]]+
NHS_AE_2024_2025[[#This Row],[A&amp;E attendances Type 2]]+
NHS_AE_2024_2025[[#This Row],[A&amp;E attendances Other A&amp;E Department]]</f>
        <v>4900</v>
      </c>
      <c r="Y2250">
        <f t="shared" si="70"/>
        <v>71</v>
      </c>
      <c r="Z2250">
        <f t="shared" si="71"/>
        <v>0</v>
      </c>
    </row>
    <row r="2251" spans="1:26" x14ac:dyDescent="0.2">
      <c r="A2251" t="s">
        <v>458</v>
      </c>
      <c r="B2251" t="s">
        <v>459</v>
      </c>
      <c r="C2251" t="s">
        <v>226</v>
      </c>
      <c r="D2251" t="s">
        <v>37</v>
      </c>
      <c r="E2251" t="s">
        <v>227</v>
      </c>
      <c r="F2251">
        <v>6573</v>
      </c>
      <c r="G2251">
        <v>0</v>
      </c>
      <c r="H2251">
        <v>1514</v>
      </c>
      <c r="I2251">
        <v>596</v>
      </c>
      <c r="J2251">
        <v>0</v>
      </c>
      <c r="K2251">
        <v>7</v>
      </c>
      <c r="L2251">
        <v>1668</v>
      </c>
      <c r="M2251">
        <v>0</v>
      </c>
      <c r="N2251">
        <v>0</v>
      </c>
      <c r="O2251">
        <v>129</v>
      </c>
      <c r="P2251">
        <v>0</v>
      </c>
      <c r="Q2251">
        <v>0</v>
      </c>
      <c r="R2251">
        <v>219</v>
      </c>
      <c r="S2251">
        <v>2</v>
      </c>
      <c r="T2251">
        <v>2356</v>
      </c>
      <c r="U2251">
        <v>0</v>
      </c>
      <c r="V2251">
        <v>0</v>
      </c>
      <c r="W2251">
        <v>994</v>
      </c>
      <c r="X2251">
        <f>NHS_AE_2024_2025[[#This Row],[A&amp;E attendances Type 1]]+
NHS_AE_2024_2025[[#This Row],[A&amp;E attendances Type 2]]+
NHS_AE_2024_2025[[#This Row],[A&amp;E attendances Other A&amp;E Department]]</f>
        <v>8087</v>
      </c>
      <c r="Y2251">
        <f t="shared" si="70"/>
        <v>1668</v>
      </c>
      <c r="Z2251">
        <f t="shared" si="71"/>
        <v>3350</v>
      </c>
    </row>
    <row r="2252" spans="1:26" x14ac:dyDescent="0.2">
      <c r="A2252" t="s">
        <v>458</v>
      </c>
      <c r="B2252" t="s">
        <v>459</v>
      </c>
      <c r="C2252" t="s">
        <v>228</v>
      </c>
      <c r="D2252" t="s">
        <v>70</v>
      </c>
      <c r="E2252" t="s">
        <v>229</v>
      </c>
      <c r="F2252">
        <v>29860</v>
      </c>
      <c r="G2252">
        <v>0</v>
      </c>
      <c r="H2252">
        <v>5542</v>
      </c>
      <c r="I2252">
        <v>5</v>
      </c>
      <c r="J2252">
        <v>0</v>
      </c>
      <c r="K2252">
        <v>1</v>
      </c>
      <c r="L2252">
        <v>9787</v>
      </c>
      <c r="M2252">
        <v>0</v>
      </c>
      <c r="N2252">
        <v>208</v>
      </c>
      <c r="O2252">
        <v>2</v>
      </c>
      <c r="P2252">
        <v>0</v>
      </c>
      <c r="Q2252">
        <v>0</v>
      </c>
      <c r="R2252">
        <v>3285</v>
      </c>
      <c r="S2252">
        <v>87</v>
      </c>
      <c r="T2252">
        <v>8684</v>
      </c>
      <c r="U2252">
        <v>0</v>
      </c>
      <c r="V2252">
        <v>224</v>
      </c>
      <c r="W2252">
        <v>1203</v>
      </c>
      <c r="X2252">
        <f>NHS_AE_2024_2025[[#This Row],[A&amp;E attendances Type 1]]+
NHS_AE_2024_2025[[#This Row],[A&amp;E attendances Type 2]]+
NHS_AE_2024_2025[[#This Row],[A&amp;E attendances Other A&amp;E Department]]</f>
        <v>35402</v>
      </c>
      <c r="Y2252">
        <f t="shared" si="70"/>
        <v>9995</v>
      </c>
      <c r="Z2252">
        <f t="shared" si="71"/>
        <v>10111</v>
      </c>
    </row>
    <row r="2253" spans="1:26" x14ac:dyDescent="0.2">
      <c r="A2253" t="s">
        <v>458</v>
      </c>
      <c r="B2253" t="s">
        <v>459</v>
      </c>
      <c r="C2253" t="s">
        <v>28</v>
      </c>
      <c r="D2253" t="s">
        <v>29</v>
      </c>
      <c r="E2253" t="s">
        <v>30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23</v>
      </c>
      <c r="X2253">
        <f>NHS_AE_2024_2025[[#This Row],[A&amp;E attendances Type 1]]+
NHS_AE_2024_2025[[#This Row],[A&amp;E attendances Type 2]]+
NHS_AE_2024_2025[[#This Row],[A&amp;E attendances Other A&amp;E Department]]</f>
        <v>0</v>
      </c>
      <c r="Y2253">
        <f t="shared" si="70"/>
        <v>0</v>
      </c>
      <c r="Z2253">
        <f t="shared" si="71"/>
        <v>23</v>
      </c>
    </row>
    <row r="2254" spans="1:26" x14ac:dyDescent="0.2">
      <c r="A2254" t="s">
        <v>458</v>
      </c>
      <c r="B2254" t="s">
        <v>459</v>
      </c>
      <c r="C2254" t="s">
        <v>234</v>
      </c>
      <c r="D2254" t="s">
        <v>26</v>
      </c>
      <c r="E2254" t="s">
        <v>235</v>
      </c>
      <c r="F2254">
        <v>4224</v>
      </c>
      <c r="G2254">
        <v>0</v>
      </c>
      <c r="H2254">
        <v>0</v>
      </c>
      <c r="I2254">
        <v>327</v>
      </c>
      <c r="J2254">
        <v>0</v>
      </c>
      <c r="K2254">
        <v>3705</v>
      </c>
      <c r="L2254">
        <v>1431</v>
      </c>
      <c r="M2254">
        <v>0</v>
      </c>
      <c r="N2254">
        <v>0</v>
      </c>
      <c r="O2254">
        <v>76</v>
      </c>
      <c r="P2254">
        <v>0</v>
      </c>
      <c r="Q2254">
        <v>7</v>
      </c>
      <c r="R2254">
        <v>200</v>
      </c>
      <c r="S2254">
        <v>45</v>
      </c>
      <c r="T2254">
        <v>1826</v>
      </c>
      <c r="U2254">
        <v>0</v>
      </c>
      <c r="V2254">
        <v>0</v>
      </c>
      <c r="W2254">
        <v>460</v>
      </c>
      <c r="X2254">
        <f>NHS_AE_2024_2025[[#This Row],[A&amp;E attendances Type 1]]+
NHS_AE_2024_2025[[#This Row],[A&amp;E attendances Type 2]]+
NHS_AE_2024_2025[[#This Row],[A&amp;E attendances Other A&amp;E Department]]</f>
        <v>4224</v>
      </c>
      <c r="Y2254">
        <f t="shared" si="70"/>
        <v>1431</v>
      </c>
      <c r="Z2254">
        <f t="shared" si="71"/>
        <v>2286</v>
      </c>
    </row>
    <row r="2255" spans="1:26" x14ac:dyDescent="0.2">
      <c r="A2255" t="s">
        <v>458</v>
      </c>
      <c r="B2255" t="s">
        <v>459</v>
      </c>
      <c r="C2255" t="s">
        <v>294</v>
      </c>
      <c r="D2255" t="s">
        <v>70</v>
      </c>
      <c r="E2255" t="s">
        <v>295</v>
      </c>
      <c r="F2255">
        <v>15695</v>
      </c>
      <c r="G2255">
        <v>0</v>
      </c>
      <c r="H2255">
        <v>7173</v>
      </c>
      <c r="I2255">
        <v>0</v>
      </c>
      <c r="J2255">
        <v>0</v>
      </c>
      <c r="K2255">
        <v>792</v>
      </c>
      <c r="L2255">
        <v>5895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80</v>
      </c>
      <c r="S2255">
        <v>6</v>
      </c>
      <c r="T2255">
        <v>4430</v>
      </c>
      <c r="U2255">
        <v>0</v>
      </c>
      <c r="V2255">
        <v>0</v>
      </c>
      <c r="W2255">
        <v>2162</v>
      </c>
      <c r="X2255">
        <f>NHS_AE_2024_2025[[#This Row],[A&amp;E attendances Type 1]]+
NHS_AE_2024_2025[[#This Row],[A&amp;E attendances Type 2]]+
NHS_AE_2024_2025[[#This Row],[A&amp;E attendances Other A&amp;E Department]]</f>
        <v>22868</v>
      </c>
      <c r="Y2255">
        <f t="shared" si="70"/>
        <v>5895</v>
      </c>
      <c r="Z2255">
        <f t="shared" si="71"/>
        <v>6592</v>
      </c>
    </row>
    <row r="2256" spans="1:26" x14ac:dyDescent="0.2">
      <c r="A2256" t="s">
        <v>458</v>
      </c>
      <c r="B2256" t="s">
        <v>459</v>
      </c>
      <c r="C2256" t="s">
        <v>238</v>
      </c>
      <c r="D2256" t="s">
        <v>50</v>
      </c>
      <c r="E2256" t="s">
        <v>239</v>
      </c>
      <c r="F2256">
        <v>10220</v>
      </c>
      <c r="G2256">
        <v>348</v>
      </c>
      <c r="H2256">
        <v>6615</v>
      </c>
      <c r="I2256">
        <v>0</v>
      </c>
      <c r="J2256">
        <v>0</v>
      </c>
      <c r="K2256">
        <v>0</v>
      </c>
      <c r="L2256">
        <v>5877</v>
      </c>
      <c r="M2256">
        <v>0</v>
      </c>
      <c r="N2256">
        <v>234</v>
      </c>
      <c r="O2256">
        <v>0</v>
      </c>
      <c r="P2256">
        <v>0</v>
      </c>
      <c r="Q2256">
        <v>0</v>
      </c>
      <c r="R2256">
        <v>876</v>
      </c>
      <c r="S2256">
        <v>645</v>
      </c>
      <c r="T2256">
        <v>4299</v>
      </c>
      <c r="U2256">
        <v>0</v>
      </c>
      <c r="V2256">
        <v>0</v>
      </c>
      <c r="W2256">
        <v>1617</v>
      </c>
      <c r="X2256">
        <f>NHS_AE_2024_2025[[#This Row],[A&amp;E attendances Type 1]]+
NHS_AE_2024_2025[[#This Row],[A&amp;E attendances Type 2]]+
NHS_AE_2024_2025[[#This Row],[A&amp;E attendances Other A&amp;E Department]]</f>
        <v>17183</v>
      </c>
      <c r="Y2256">
        <f t="shared" si="70"/>
        <v>6111</v>
      </c>
      <c r="Z2256">
        <f t="shared" si="71"/>
        <v>5916</v>
      </c>
    </row>
    <row r="2257" spans="1:26" x14ac:dyDescent="0.2">
      <c r="A2257" t="s">
        <v>458</v>
      </c>
      <c r="B2257" t="s">
        <v>459</v>
      </c>
      <c r="C2257" t="s">
        <v>240</v>
      </c>
      <c r="D2257" t="s">
        <v>50</v>
      </c>
      <c r="E2257" t="s">
        <v>241</v>
      </c>
      <c r="F2257">
        <v>5682</v>
      </c>
      <c r="G2257">
        <v>255</v>
      </c>
      <c r="H2257">
        <v>0</v>
      </c>
      <c r="I2257">
        <v>462</v>
      </c>
      <c r="J2257">
        <v>0</v>
      </c>
      <c r="K2257">
        <v>0</v>
      </c>
      <c r="L2257">
        <v>2290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420</v>
      </c>
      <c r="S2257">
        <v>93</v>
      </c>
      <c r="T2257">
        <v>1421</v>
      </c>
      <c r="U2257">
        <v>0</v>
      </c>
      <c r="V2257">
        <v>0</v>
      </c>
      <c r="W2257">
        <v>532</v>
      </c>
      <c r="X2257">
        <f>NHS_AE_2024_2025[[#This Row],[A&amp;E attendances Type 1]]+
NHS_AE_2024_2025[[#This Row],[A&amp;E attendances Type 2]]+
NHS_AE_2024_2025[[#This Row],[A&amp;E attendances Other A&amp;E Department]]</f>
        <v>5937</v>
      </c>
      <c r="Y2257">
        <f t="shared" si="70"/>
        <v>2290</v>
      </c>
      <c r="Z2257">
        <f t="shared" si="71"/>
        <v>1953</v>
      </c>
    </row>
    <row r="2258" spans="1:26" x14ac:dyDescent="0.2">
      <c r="A2258" t="s">
        <v>458</v>
      </c>
      <c r="B2258" t="s">
        <v>459</v>
      </c>
      <c r="C2258" t="s">
        <v>402</v>
      </c>
      <c r="D2258" t="s">
        <v>70</v>
      </c>
      <c r="E2258" t="s">
        <v>403</v>
      </c>
      <c r="F2258">
        <v>6549</v>
      </c>
      <c r="G2258">
        <v>0</v>
      </c>
      <c r="H2258">
        <v>1163</v>
      </c>
      <c r="I2258">
        <v>0</v>
      </c>
      <c r="J2258">
        <v>0</v>
      </c>
      <c r="K2258">
        <v>0</v>
      </c>
      <c r="L2258">
        <v>2687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264</v>
      </c>
      <c r="S2258">
        <v>87</v>
      </c>
      <c r="T2258">
        <v>2094</v>
      </c>
      <c r="U2258">
        <v>0</v>
      </c>
      <c r="V2258">
        <v>0</v>
      </c>
      <c r="W2258">
        <v>225</v>
      </c>
      <c r="X2258">
        <f>NHS_AE_2024_2025[[#This Row],[A&amp;E attendances Type 1]]+
NHS_AE_2024_2025[[#This Row],[A&amp;E attendances Type 2]]+
NHS_AE_2024_2025[[#This Row],[A&amp;E attendances Other A&amp;E Department]]</f>
        <v>7712</v>
      </c>
      <c r="Y2258">
        <f t="shared" si="70"/>
        <v>2687</v>
      </c>
      <c r="Z2258">
        <f t="shared" si="71"/>
        <v>2319</v>
      </c>
    </row>
    <row r="2259" spans="1:26" x14ac:dyDescent="0.2">
      <c r="A2259" t="s">
        <v>458</v>
      </c>
      <c r="B2259" t="s">
        <v>459</v>
      </c>
      <c r="C2259" t="s">
        <v>152</v>
      </c>
      <c r="D2259" t="s">
        <v>26</v>
      </c>
      <c r="E2259" t="s">
        <v>153</v>
      </c>
      <c r="F2259">
        <v>6479</v>
      </c>
      <c r="G2259">
        <v>0</v>
      </c>
      <c r="H2259">
        <v>12187</v>
      </c>
      <c r="I2259">
        <v>0</v>
      </c>
      <c r="J2259">
        <v>0</v>
      </c>
      <c r="K2259">
        <v>0</v>
      </c>
      <c r="L2259">
        <v>4002</v>
      </c>
      <c r="M2259">
        <v>0</v>
      </c>
      <c r="N2259">
        <v>871</v>
      </c>
      <c r="O2259">
        <v>0</v>
      </c>
      <c r="P2259">
        <v>0</v>
      </c>
      <c r="Q2259">
        <v>0</v>
      </c>
      <c r="R2259">
        <v>578</v>
      </c>
      <c r="S2259">
        <v>605</v>
      </c>
      <c r="T2259">
        <v>2341</v>
      </c>
      <c r="U2259">
        <v>0</v>
      </c>
      <c r="V2259">
        <v>56</v>
      </c>
      <c r="W2259">
        <v>1333</v>
      </c>
      <c r="X2259">
        <f>NHS_AE_2024_2025[[#This Row],[A&amp;E attendances Type 1]]+
NHS_AE_2024_2025[[#This Row],[A&amp;E attendances Type 2]]+
NHS_AE_2024_2025[[#This Row],[A&amp;E attendances Other A&amp;E Department]]</f>
        <v>18666</v>
      </c>
      <c r="Y2259">
        <f t="shared" si="70"/>
        <v>4873</v>
      </c>
      <c r="Z2259">
        <f t="shared" si="71"/>
        <v>3730</v>
      </c>
    </row>
    <row r="2260" spans="1:26" x14ac:dyDescent="0.2">
      <c r="A2260" t="s">
        <v>458</v>
      </c>
      <c r="B2260" t="s">
        <v>459</v>
      </c>
      <c r="C2260" t="s">
        <v>198</v>
      </c>
      <c r="D2260" t="s">
        <v>55</v>
      </c>
      <c r="E2260" t="s">
        <v>199</v>
      </c>
      <c r="F2260">
        <v>0</v>
      </c>
      <c r="G2260">
        <v>1377</v>
      </c>
      <c r="H2260">
        <v>0</v>
      </c>
      <c r="I2260">
        <v>0</v>
      </c>
      <c r="J2260">
        <v>127</v>
      </c>
      <c r="K2260">
        <v>0</v>
      </c>
      <c r="L2260">
        <v>0</v>
      </c>
      <c r="M2260">
        <v>258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132</v>
      </c>
      <c r="V2260">
        <v>0</v>
      </c>
      <c r="W2260">
        <v>14</v>
      </c>
      <c r="X2260">
        <f>NHS_AE_2024_2025[[#This Row],[A&amp;E attendances Type 1]]+
NHS_AE_2024_2025[[#This Row],[A&amp;E attendances Type 2]]+
NHS_AE_2024_2025[[#This Row],[A&amp;E attendances Other A&amp;E Department]]</f>
        <v>1377</v>
      </c>
      <c r="Y2260">
        <f t="shared" si="70"/>
        <v>258</v>
      </c>
      <c r="Z2260">
        <f t="shared" si="71"/>
        <v>146</v>
      </c>
    </row>
    <row r="2261" spans="1:26" x14ac:dyDescent="0.2">
      <c r="A2261" t="s">
        <v>458</v>
      </c>
      <c r="B2261" t="s">
        <v>459</v>
      </c>
      <c r="C2261" t="s">
        <v>244</v>
      </c>
      <c r="D2261" t="s">
        <v>70</v>
      </c>
      <c r="E2261" t="s">
        <v>245</v>
      </c>
      <c r="F2261">
        <v>13806</v>
      </c>
      <c r="G2261">
        <v>0</v>
      </c>
      <c r="H2261">
        <v>4577</v>
      </c>
      <c r="I2261">
        <v>255</v>
      </c>
      <c r="J2261">
        <v>0</v>
      </c>
      <c r="K2261">
        <v>473</v>
      </c>
      <c r="L2261">
        <v>5236</v>
      </c>
      <c r="M2261">
        <v>0</v>
      </c>
      <c r="N2261">
        <v>222</v>
      </c>
      <c r="O2261">
        <v>84</v>
      </c>
      <c r="P2261">
        <v>0</v>
      </c>
      <c r="Q2261">
        <v>13</v>
      </c>
      <c r="R2261">
        <v>509</v>
      </c>
      <c r="S2261">
        <v>732</v>
      </c>
      <c r="T2261">
        <v>3535</v>
      </c>
      <c r="U2261">
        <v>0</v>
      </c>
      <c r="V2261">
        <v>34</v>
      </c>
      <c r="W2261">
        <v>1405</v>
      </c>
      <c r="X2261">
        <f>NHS_AE_2024_2025[[#This Row],[A&amp;E attendances Type 1]]+
NHS_AE_2024_2025[[#This Row],[A&amp;E attendances Type 2]]+
NHS_AE_2024_2025[[#This Row],[A&amp;E attendances Other A&amp;E Department]]</f>
        <v>18383</v>
      </c>
      <c r="Y2261">
        <f t="shared" si="70"/>
        <v>5458</v>
      </c>
      <c r="Z2261">
        <f t="shared" si="71"/>
        <v>4974</v>
      </c>
    </row>
    <row r="2262" spans="1:26" x14ac:dyDescent="0.2">
      <c r="A2262" t="s">
        <v>458</v>
      </c>
      <c r="B2262" t="s">
        <v>459</v>
      </c>
      <c r="C2262" t="s">
        <v>416</v>
      </c>
      <c r="D2262" t="s">
        <v>70</v>
      </c>
      <c r="E2262" t="s">
        <v>417</v>
      </c>
      <c r="F2262">
        <v>7550</v>
      </c>
      <c r="G2262">
        <v>0</v>
      </c>
      <c r="H2262">
        <v>635</v>
      </c>
      <c r="I2262">
        <v>69</v>
      </c>
      <c r="J2262">
        <v>0</v>
      </c>
      <c r="K2262">
        <v>0</v>
      </c>
      <c r="L2262">
        <v>2669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460</v>
      </c>
      <c r="S2262">
        <v>430</v>
      </c>
      <c r="T2262">
        <v>1848</v>
      </c>
      <c r="U2262">
        <v>0</v>
      </c>
      <c r="V2262">
        <v>0</v>
      </c>
      <c r="W2262">
        <v>382</v>
      </c>
      <c r="X2262">
        <f>NHS_AE_2024_2025[[#This Row],[A&amp;E attendances Type 1]]+
NHS_AE_2024_2025[[#This Row],[A&amp;E attendances Type 2]]+
NHS_AE_2024_2025[[#This Row],[A&amp;E attendances Other A&amp;E Department]]</f>
        <v>8185</v>
      </c>
      <c r="Y2262">
        <f t="shared" si="70"/>
        <v>2669</v>
      </c>
      <c r="Z2262">
        <f t="shared" si="71"/>
        <v>2230</v>
      </c>
    </row>
    <row r="2263" spans="1:26" x14ac:dyDescent="0.2">
      <c r="A2263" t="s">
        <v>458</v>
      </c>
      <c r="B2263" t="s">
        <v>459</v>
      </c>
      <c r="C2263" t="s">
        <v>408</v>
      </c>
      <c r="D2263" t="s">
        <v>50</v>
      </c>
      <c r="E2263" t="s">
        <v>409</v>
      </c>
      <c r="F2263">
        <v>8543</v>
      </c>
      <c r="G2263">
        <v>0</v>
      </c>
      <c r="H2263">
        <v>6157</v>
      </c>
      <c r="I2263">
        <v>0</v>
      </c>
      <c r="J2263">
        <v>0</v>
      </c>
      <c r="K2263">
        <v>360</v>
      </c>
      <c r="L2263">
        <v>4298</v>
      </c>
      <c r="M2263">
        <v>0</v>
      </c>
      <c r="N2263">
        <v>58</v>
      </c>
      <c r="O2263">
        <v>0</v>
      </c>
      <c r="P2263">
        <v>0</v>
      </c>
      <c r="Q2263">
        <v>4</v>
      </c>
      <c r="R2263">
        <v>697</v>
      </c>
      <c r="S2263">
        <v>672</v>
      </c>
      <c r="T2263">
        <v>4995</v>
      </c>
      <c r="U2263">
        <v>0</v>
      </c>
      <c r="V2263">
        <v>0</v>
      </c>
      <c r="W2263">
        <v>412</v>
      </c>
      <c r="X2263">
        <f>NHS_AE_2024_2025[[#This Row],[A&amp;E attendances Type 1]]+
NHS_AE_2024_2025[[#This Row],[A&amp;E attendances Type 2]]+
NHS_AE_2024_2025[[#This Row],[A&amp;E attendances Other A&amp;E Department]]</f>
        <v>14700</v>
      </c>
      <c r="Y2263">
        <f t="shared" si="70"/>
        <v>4356</v>
      </c>
      <c r="Z2263">
        <f t="shared" si="71"/>
        <v>5407</v>
      </c>
    </row>
    <row r="2264" spans="1:26" x14ac:dyDescent="0.2">
      <c r="A2264" t="s">
        <v>458</v>
      </c>
      <c r="B2264" t="s">
        <v>459</v>
      </c>
      <c r="C2264" t="s">
        <v>248</v>
      </c>
      <c r="D2264" t="s">
        <v>55</v>
      </c>
      <c r="E2264" t="s">
        <v>249</v>
      </c>
      <c r="F2264">
        <v>4835</v>
      </c>
      <c r="G2264">
        <v>0</v>
      </c>
      <c r="H2264">
        <v>2211</v>
      </c>
      <c r="I2264">
        <v>0</v>
      </c>
      <c r="J2264">
        <v>0</v>
      </c>
      <c r="K2264">
        <v>0</v>
      </c>
      <c r="L2264">
        <v>2496</v>
      </c>
      <c r="M2264">
        <v>0</v>
      </c>
      <c r="N2264">
        <v>155</v>
      </c>
      <c r="O2264">
        <v>0</v>
      </c>
      <c r="P2264">
        <v>0</v>
      </c>
      <c r="Q2264">
        <v>0</v>
      </c>
      <c r="R2264">
        <v>239</v>
      </c>
      <c r="S2264">
        <v>648</v>
      </c>
      <c r="T2264">
        <v>1584</v>
      </c>
      <c r="U2264">
        <v>0</v>
      </c>
      <c r="V2264">
        <v>0</v>
      </c>
      <c r="W2264">
        <v>1266</v>
      </c>
      <c r="X2264">
        <f>NHS_AE_2024_2025[[#This Row],[A&amp;E attendances Type 1]]+
NHS_AE_2024_2025[[#This Row],[A&amp;E attendances Type 2]]+
NHS_AE_2024_2025[[#This Row],[A&amp;E attendances Other A&amp;E Department]]</f>
        <v>7046</v>
      </c>
      <c r="Y2264">
        <f t="shared" si="70"/>
        <v>2651</v>
      </c>
      <c r="Z2264">
        <f t="shared" si="71"/>
        <v>2850</v>
      </c>
    </row>
    <row r="2265" spans="1:26" x14ac:dyDescent="0.2">
      <c r="A2265" t="s">
        <v>458</v>
      </c>
      <c r="B2265" t="s">
        <v>459</v>
      </c>
      <c r="C2265" t="s">
        <v>202</v>
      </c>
      <c r="D2265" t="s">
        <v>32</v>
      </c>
      <c r="E2265" t="s">
        <v>203</v>
      </c>
      <c r="F2265">
        <v>12573</v>
      </c>
      <c r="G2265">
        <v>0</v>
      </c>
      <c r="H2265">
        <v>6635</v>
      </c>
      <c r="I2265">
        <v>81</v>
      </c>
      <c r="J2265">
        <v>0</v>
      </c>
      <c r="K2265">
        <v>719</v>
      </c>
      <c r="L2265">
        <v>3944</v>
      </c>
      <c r="M2265">
        <v>0</v>
      </c>
      <c r="N2265">
        <v>53</v>
      </c>
      <c r="O2265">
        <v>19</v>
      </c>
      <c r="P2265">
        <v>0</v>
      </c>
      <c r="Q2265">
        <v>0</v>
      </c>
      <c r="R2265">
        <v>1168</v>
      </c>
      <c r="S2265">
        <v>253</v>
      </c>
      <c r="T2265">
        <v>5775</v>
      </c>
      <c r="U2265">
        <v>0</v>
      </c>
      <c r="V2265">
        <v>0</v>
      </c>
      <c r="W2265">
        <v>863</v>
      </c>
      <c r="X2265">
        <f>NHS_AE_2024_2025[[#This Row],[A&amp;E attendances Type 1]]+
NHS_AE_2024_2025[[#This Row],[A&amp;E attendances Type 2]]+
NHS_AE_2024_2025[[#This Row],[A&amp;E attendances Other A&amp;E Department]]</f>
        <v>19208</v>
      </c>
      <c r="Y2265">
        <f t="shared" si="70"/>
        <v>3997</v>
      </c>
      <c r="Z2265">
        <f t="shared" si="71"/>
        <v>6638</v>
      </c>
    </row>
    <row r="2266" spans="1:26" x14ac:dyDescent="0.2">
      <c r="A2266" t="s">
        <v>458</v>
      </c>
      <c r="B2266" t="s">
        <v>459</v>
      </c>
      <c r="C2266" t="s">
        <v>158</v>
      </c>
      <c r="D2266" t="s">
        <v>32</v>
      </c>
      <c r="E2266" t="s">
        <v>159</v>
      </c>
      <c r="F2266">
        <v>9183</v>
      </c>
      <c r="G2266">
        <v>0</v>
      </c>
      <c r="H2266">
        <v>4014</v>
      </c>
      <c r="I2266">
        <v>0</v>
      </c>
      <c r="J2266">
        <v>0</v>
      </c>
      <c r="K2266">
        <v>666</v>
      </c>
      <c r="L2266">
        <v>2540</v>
      </c>
      <c r="M2266">
        <v>0</v>
      </c>
      <c r="N2266">
        <v>69</v>
      </c>
      <c r="O2266">
        <v>0</v>
      </c>
      <c r="P2266">
        <v>0</v>
      </c>
      <c r="Q2266">
        <v>0</v>
      </c>
      <c r="R2266">
        <v>1939</v>
      </c>
      <c r="S2266">
        <v>71</v>
      </c>
      <c r="T2266">
        <v>3484</v>
      </c>
      <c r="U2266">
        <v>0</v>
      </c>
      <c r="V2266">
        <v>0</v>
      </c>
      <c r="W2266">
        <v>2250</v>
      </c>
      <c r="X2266">
        <f>NHS_AE_2024_2025[[#This Row],[A&amp;E attendances Type 1]]+
NHS_AE_2024_2025[[#This Row],[A&amp;E attendances Type 2]]+
NHS_AE_2024_2025[[#This Row],[A&amp;E attendances Other A&amp;E Department]]</f>
        <v>13197</v>
      </c>
      <c r="Y2266">
        <f t="shared" si="70"/>
        <v>2609</v>
      </c>
      <c r="Z2266">
        <f t="shared" si="71"/>
        <v>5734</v>
      </c>
    </row>
    <row r="2267" spans="1:26" x14ac:dyDescent="0.2">
      <c r="A2267" t="s">
        <v>458</v>
      </c>
      <c r="B2267" t="s">
        <v>459</v>
      </c>
      <c r="C2267" t="s">
        <v>160</v>
      </c>
      <c r="D2267" t="s">
        <v>32</v>
      </c>
      <c r="E2267" t="s">
        <v>161</v>
      </c>
      <c r="F2267">
        <v>9328</v>
      </c>
      <c r="G2267">
        <v>0</v>
      </c>
      <c r="H2267">
        <v>8057</v>
      </c>
      <c r="I2267">
        <v>330</v>
      </c>
      <c r="J2267">
        <v>0</v>
      </c>
      <c r="K2267">
        <v>0</v>
      </c>
      <c r="L2267">
        <v>3527</v>
      </c>
      <c r="M2267">
        <v>0</v>
      </c>
      <c r="N2267">
        <v>105</v>
      </c>
      <c r="O2267">
        <v>0</v>
      </c>
      <c r="P2267">
        <v>0</v>
      </c>
      <c r="Q2267">
        <v>0</v>
      </c>
      <c r="R2267">
        <v>1356</v>
      </c>
      <c r="S2267">
        <v>0</v>
      </c>
      <c r="T2267">
        <v>1952</v>
      </c>
      <c r="U2267">
        <v>0</v>
      </c>
      <c r="V2267">
        <v>0</v>
      </c>
      <c r="W2267">
        <v>206</v>
      </c>
      <c r="X2267">
        <f>NHS_AE_2024_2025[[#This Row],[A&amp;E attendances Type 1]]+
NHS_AE_2024_2025[[#This Row],[A&amp;E attendances Type 2]]+
NHS_AE_2024_2025[[#This Row],[A&amp;E attendances Other A&amp;E Department]]</f>
        <v>17385</v>
      </c>
      <c r="Y2267">
        <f t="shared" si="70"/>
        <v>3632</v>
      </c>
      <c r="Z2267">
        <f t="shared" si="71"/>
        <v>2158</v>
      </c>
    </row>
    <row r="2268" spans="1:26" x14ac:dyDescent="0.2">
      <c r="A2268" t="s">
        <v>458</v>
      </c>
      <c r="B2268" t="s">
        <v>459</v>
      </c>
      <c r="C2268" t="s">
        <v>332</v>
      </c>
      <c r="D2268" t="s">
        <v>55</v>
      </c>
      <c r="E2268" t="s">
        <v>333</v>
      </c>
      <c r="F2268">
        <v>7174</v>
      </c>
      <c r="G2268">
        <v>0</v>
      </c>
      <c r="H2268">
        <v>5104</v>
      </c>
      <c r="I2268">
        <v>0</v>
      </c>
      <c r="J2268">
        <v>0</v>
      </c>
      <c r="K2268">
        <v>0</v>
      </c>
      <c r="L2268">
        <v>3456</v>
      </c>
      <c r="M2268">
        <v>0</v>
      </c>
      <c r="N2268">
        <v>36</v>
      </c>
      <c r="O2268">
        <v>0</v>
      </c>
      <c r="P2268">
        <v>0</v>
      </c>
      <c r="Q2268">
        <v>0</v>
      </c>
      <c r="R2268">
        <v>1175</v>
      </c>
      <c r="S2268">
        <v>457</v>
      </c>
      <c r="T2268">
        <v>3058</v>
      </c>
      <c r="U2268">
        <v>0</v>
      </c>
      <c r="V2268">
        <v>0</v>
      </c>
      <c r="W2268">
        <v>793</v>
      </c>
      <c r="X2268">
        <f>NHS_AE_2024_2025[[#This Row],[A&amp;E attendances Type 1]]+
NHS_AE_2024_2025[[#This Row],[A&amp;E attendances Type 2]]+
NHS_AE_2024_2025[[#This Row],[A&amp;E attendances Other A&amp;E Department]]</f>
        <v>12278</v>
      </c>
      <c r="Y2268">
        <f t="shared" si="70"/>
        <v>3492</v>
      </c>
      <c r="Z2268">
        <f t="shared" si="71"/>
        <v>3851</v>
      </c>
    </row>
    <row r="2269" spans="1:26" x14ac:dyDescent="0.2">
      <c r="A2269" t="s">
        <v>458</v>
      </c>
      <c r="B2269" t="s">
        <v>459</v>
      </c>
      <c r="C2269" t="s">
        <v>88</v>
      </c>
      <c r="D2269" t="s">
        <v>29</v>
      </c>
      <c r="E2269" t="s">
        <v>89</v>
      </c>
      <c r="F2269">
        <v>12555</v>
      </c>
      <c r="G2269">
        <v>0</v>
      </c>
      <c r="H2269">
        <v>0</v>
      </c>
      <c r="I2269">
        <v>349</v>
      </c>
      <c r="J2269">
        <v>0</v>
      </c>
      <c r="K2269">
        <v>0</v>
      </c>
      <c r="L2269">
        <v>3472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378</v>
      </c>
      <c r="S2269">
        <v>85</v>
      </c>
      <c r="T2269">
        <v>1366</v>
      </c>
      <c r="U2269">
        <v>0</v>
      </c>
      <c r="V2269">
        <v>0</v>
      </c>
      <c r="W2269">
        <v>286</v>
      </c>
      <c r="X2269">
        <f>NHS_AE_2024_2025[[#This Row],[A&amp;E attendances Type 1]]+
NHS_AE_2024_2025[[#This Row],[A&amp;E attendances Type 2]]+
NHS_AE_2024_2025[[#This Row],[A&amp;E attendances Other A&amp;E Department]]</f>
        <v>12555</v>
      </c>
      <c r="Y2269">
        <f t="shared" si="70"/>
        <v>3472</v>
      </c>
      <c r="Z2269">
        <f t="shared" si="71"/>
        <v>1652</v>
      </c>
    </row>
    <row r="2270" spans="1:26" x14ac:dyDescent="0.2">
      <c r="A2270" t="s">
        <v>458</v>
      </c>
      <c r="B2270" t="s">
        <v>459</v>
      </c>
      <c r="C2270" t="s">
        <v>262</v>
      </c>
      <c r="D2270" t="s">
        <v>26</v>
      </c>
      <c r="E2270" t="s">
        <v>263</v>
      </c>
      <c r="F2270">
        <v>0</v>
      </c>
      <c r="G2270">
        <v>0</v>
      </c>
      <c r="H2270">
        <v>7270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25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</v>
      </c>
      <c r="W2270">
        <v>16</v>
      </c>
      <c r="X2270">
        <f>NHS_AE_2024_2025[[#This Row],[A&amp;E attendances Type 1]]+
NHS_AE_2024_2025[[#This Row],[A&amp;E attendances Type 2]]+
NHS_AE_2024_2025[[#This Row],[A&amp;E attendances Other A&amp;E Department]]</f>
        <v>7270</v>
      </c>
      <c r="Y2270">
        <f t="shared" si="70"/>
        <v>25</v>
      </c>
      <c r="Z2270">
        <f t="shared" si="71"/>
        <v>17</v>
      </c>
    </row>
    <row r="2271" spans="1:26" x14ac:dyDescent="0.2">
      <c r="A2271" t="s">
        <v>458</v>
      </c>
      <c r="B2271" t="s">
        <v>459</v>
      </c>
      <c r="C2271" t="s">
        <v>212</v>
      </c>
      <c r="D2271" t="s">
        <v>50</v>
      </c>
      <c r="E2271" t="s">
        <v>213</v>
      </c>
      <c r="F2271">
        <v>4549</v>
      </c>
      <c r="G2271">
        <v>0</v>
      </c>
      <c r="H2271">
        <v>10963</v>
      </c>
      <c r="I2271">
        <v>0</v>
      </c>
      <c r="J2271">
        <v>0</v>
      </c>
      <c r="K2271">
        <v>0</v>
      </c>
      <c r="L2271">
        <v>2201</v>
      </c>
      <c r="M2271">
        <v>0</v>
      </c>
      <c r="N2271">
        <v>38</v>
      </c>
      <c r="O2271">
        <v>0</v>
      </c>
      <c r="P2271">
        <v>0</v>
      </c>
      <c r="Q2271">
        <v>0</v>
      </c>
      <c r="R2271">
        <v>154</v>
      </c>
      <c r="S2271">
        <v>5</v>
      </c>
      <c r="T2271">
        <v>1614</v>
      </c>
      <c r="U2271">
        <v>0</v>
      </c>
      <c r="V2271">
        <v>525</v>
      </c>
      <c r="W2271">
        <v>2149</v>
      </c>
      <c r="X2271">
        <f>NHS_AE_2024_2025[[#This Row],[A&amp;E attendances Type 1]]+
NHS_AE_2024_2025[[#This Row],[A&amp;E attendances Type 2]]+
NHS_AE_2024_2025[[#This Row],[A&amp;E attendances Other A&amp;E Department]]</f>
        <v>15512</v>
      </c>
      <c r="Y2271">
        <f t="shared" si="70"/>
        <v>2239</v>
      </c>
      <c r="Z2271">
        <f t="shared" si="71"/>
        <v>4288</v>
      </c>
    </row>
    <row r="2272" spans="1:26" x14ac:dyDescent="0.2">
      <c r="A2272" t="s">
        <v>458</v>
      </c>
      <c r="B2272" t="s">
        <v>459</v>
      </c>
      <c r="C2272" t="s">
        <v>268</v>
      </c>
      <c r="D2272" t="s">
        <v>37</v>
      </c>
      <c r="E2272" t="s">
        <v>269</v>
      </c>
      <c r="F2272">
        <v>17850</v>
      </c>
      <c r="G2272">
        <v>0</v>
      </c>
      <c r="H2272">
        <v>2125</v>
      </c>
      <c r="I2272">
        <v>915</v>
      </c>
      <c r="J2272">
        <v>0</v>
      </c>
      <c r="K2272">
        <v>154</v>
      </c>
      <c r="L2272">
        <v>3382</v>
      </c>
      <c r="M2272">
        <v>0</v>
      </c>
      <c r="N2272">
        <v>4</v>
      </c>
      <c r="O2272">
        <v>98</v>
      </c>
      <c r="P2272">
        <v>0</v>
      </c>
      <c r="Q2272">
        <v>0</v>
      </c>
      <c r="R2272">
        <v>890</v>
      </c>
      <c r="S2272">
        <v>64</v>
      </c>
      <c r="T2272">
        <v>4902</v>
      </c>
      <c r="U2272">
        <v>0</v>
      </c>
      <c r="V2272">
        <v>0</v>
      </c>
      <c r="W2272">
        <v>893</v>
      </c>
      <c r="X2272">
        <f>NHS_AE_2024_2025[[#This Row],[A&amp;E attendances Type 1]]+
NHS_AE_2024_2025[[#This Row],[A&amp;E attendances Type 2]]+
NHS_AE_2024_2025[[#This Row],[A&amp;E attendances Other A&amp;E Department]]</f>
        <v>19975</v>
      </c>
      <c r="Y2272">
        <f t="shared" si="70"/>
        <v>3386</v>
      </c>
      <c r="Z2272">
        <f t="shared" si="71"/>
        <v>5795</v>
      </c>
    </row>
    <row r="2273" spans="1:26" x14ac:dyDescent="0.2">
      <c r="A2273" t="s">
        <v>458</v>
      </c>
      <c r="B2273" t="s">
        <v>459</v>
      </c>
      <c r="C2273" t="s">
        <v>272</v>
      </c>
      <c r="D2273" t="s">
        <v>32</v>
      </c>
      <c r="E2273" t="s">
        <v>273</v>
      </c>
      <c r="F2273">
        <v>10075</v>
      </c>
      <c r="G2273">
        <v>0</v>
      </c>
      <c r="H2273">
        <v>2289</v>
      </c>
      <c r="I2273">
        <v>0</v>
      </c>
      <c r="J2273">
        <v>0</v>
      </c>
      <c r="K2273">
        <v>0</v>
      </c>
      <c r="L2273">
        <v>5745</v>
      </c>
      <c r="M2273">
        <v>0</v>
      </c>
      <c r="N2273">
        <v>170</v>
      </c>
      <c r="O2273">
        <v>0</v>
      </c>
      <c r="P2273">
        <v>0</v>
      </c>
      <c r="Q2273">
        <v>0</v>
      </c>
      <c r="R2273">
        <v>484</v>
      </c>
      <c r="S2273">
        <v>587</v>
      </c>
      <c r="T2273">
        <v>3078</v>
      </c>
      <c r="U2273">
        <v>0</v>
      </c>
      <c r="V2273">
        <v>164</v>
      </c>
      <c r="W2273">
        <v>2030</v>
      </c>
      <c r="X2273">
        <f>NHS_AE_2024_2025[[#This Row],[A&amp;E attendances Type 1]]+
NHS_AE_2024_2025[[#This Row],[A&amp;E attendances Type 2]]+
NHS_AE_2024_2025[[#This Row],[A&amp;E attendances Other A&amp;E Department]]</f>
        <v>12364</v>
      </c>
      <c r="Y2273">
        <f t="shared" si="70"/>
        <v>5915</v>
      </c>
      <c r="Z2273">
        <f t="shared" si="71"/>
        <v>5272</v>
      </c>
    </row>
    <row r="2274" spans="1:26" x14ac:dyDescent="0.2">
      <c r="A2274" t="s">
        <v>458</v>
      </c>
      <c r="B2274" t="s">
        <v>459</v>
      </c>
      <c r="C2274" t="s">
        <v>178</v>
      </c>
      <c r="D2274" t="s">
        <v>55</v>
      </c>
      <c r="E2274" t="s">
        <v>179</v>
      </c>
      <c r="F2274">
        <v>0</v>
      </c>
      <c r="G2274">
        <v>0</v>
      </c>
      <c r="H2274">
        <v>2779</v>
      </c>
      <c r="I2274">
        <v>0</v>
      </c>
      <c r="J2274">
        <v>0</v>
      </c>
      <c r="K2274">
        <v>136</v>
      </c>
      <c r="L2274">
        <v>0</v>
      </c>
      <c r="M2274">
        <v>0</v>
      </c>
      <c r="N2274">
        <v>24</v>
      </c>
      <c r="O2274">
        <v>0</v>
      </c>
      <c r="P2274">
        <v>0</v>
      </c>
      <c r="Q2274">
        <v>2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f>NHS_AE_2024_2025[[#This Row],[A&amp;E attendances Type 1]]+
NHS_AE_2024_2025[[#This Row],[A&amp;E attendances Type 2]]+
NHS_AE_2024_2025[[#This Row],[A&amp;E attendances Other A&amp;E Department]]</f>
        <v>2779</v>
      </c>
      <c r="Y2274">
        <f t="shared" si="70"/>
        <v>24</v>
      </c>
      <c r="Z2274">
        <f t="shared" si="71"/>
        <v>0</v>
      </c>
    </row>
    <row r="2275" spans="1:26" x14ac:dyDescent="0.2">
      <c r="A2275" t="s">
        <v>458</v>
      </c>
      <c r="B2275" t="s">
        <v>459</v>
      </c>
      <c r="C2275" t="s">
        <v>57</v>
      </c>
      <c r="D2275" t="s">
        <v>32</v>
      </c>
      <c r="E2275" t="s">
        <v>58</v>
      </c>
      <c r="F2275">
        <v>0</v>
      </c>
      <c r="G2275">
        <v>0</v>
      </c>
      <c r="H2275">
        <v>5893</v>
      </c>
      <c r="I2275">
        <v>0</v>
      </c>
      <c r="J2275">
        <v>0</v>
      </c>
      <c r="K2275">
        <v>1365</v>
      </c>
      <c r="L2275">
        <v>0</v>
      </c>
      <c r="M2275">
        <v>0</v>
      </c>
      <c r="N2275">
        <v>33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f>NHS_AE_2024_2025[[#This Row],[A&amp;E attendances Type 1]]+
NHS_AE_2024_2025[[#This Row],[A&amp;E attendances Type 2]]+
NHS_AE_2024_2025[[#This Row],[A&amp;E attendances Other A&amp;E Department]]</f>
        <v>5893</v>
      </c>
      <c r="Y2275">
        <f t="shared" si="70"/>
        <v>33</v>
      </c>
      <c r="Z2275">
        <f t="shared" si="71"/>
        <v>0</v>
      </c>
    </row>
    <row r="2276" spans="1:26" x14ac:dyDescent="0.2">
      <c r="A2276" t="s">
        <v>458</v>
      </c>
      <c r="B2276" t="s">
        <v>459</v>
      </c>
      <c r="C2276" t="s">
        <v>356</v>
      </c>
      <c r="D2276" t="s">
        <v>32</v>
      </c>
      <c r="E2276" t="s">
        <v>357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6</v>
      </c>
      <c r="W2276">
        <v>62</v>
      </c>
      <c r="X2276">
        <f>NHS_AE_2024_2025[[#This Row],[A&amp;E attendances Type 1]]+
NHS_AE_2024_2025[[#This Row],[A&amp;E attendances Type 2]]+
NHS_AE_2024_2025[[#This Row],[A&amp;E attendances Other A&amp;E Department]]</f>
        <v>0</v>
      </c>
      <c r="Y2276">
        <f t="shared" si="70"/>
        <v>0</v>
      </c>
      <c r="Z2276">
        <f t="shared" si="71"/>
        <v>68</v>
      </c>
    </row>
    <row r="2277" spans="1:26" x14ac:dyDescent="0.2">
      <c r="A2277" t="s">
        <v>458</v>
      </c>
      <c r="B2277" t="s">
        <v>459</v>
      </c>
      <c r="C2277" t="s">
        <v>130</v>
      </c>
      <c r="D2277" t="s">
        <v>70</v>
      </c>
      <c r="E2277" t="s">
        <v>131</v>
      </c>
      <c r="F2277">
        <v>0</v>
      </c>
      <c r="G2277">
        <v>0</v>
      </c>
      <c r="H2277">
        <v>2396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f>NHS_AE_2024_2025[[#This Row],[A&amp;E attendances Type 1]]+
NHS_AE_2024_2025[[#This Row],[A&amp;E attendances Type 2]]+
NHS_AE_2024_2025[[#This Row],[A&amp;E attendances Other A&amp;E Department]]</f>
        <v>2396</v>
      </c>
      <c r="Y2277">
        <f t="shared" si="70"/>
        <v>0</v>
      </c>
      <c r="Z2277">
        <f t="shared" si="71"/>
        <v>0</v>
      </c>
    </row>
    <row r="2278" spans="1:26" x14ac:dyDescent="0.2">
      <c r="A2278" t="s">
        <v>458</v>
      </c>
      <c r="B2278" t="s">
        <v>459</v>
      </c>
      <c r="C2278" t="s">
        <v>65</v>
      </c>
      <c r="D2278" t="s">
        <v>32</v>
      </c>
      <c r="E2278" t="s">
        <v>66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2093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f>NHS_AE_2024_2025[[#This Row],[A&amp;E attendances Type 1]]+
NHS_AE_2024_2025[[#This Row],[A&amp;E attendances Type 2]]+
NHS_AE_2024_2025[[#This Row],[A&amp;E attendances Other A&amp;E Department]]</f>
        <v>0</v>
      </c>
      <c r="Y2278">
        <f t="shared" si="70"/>
        <v>0</v>
      </c>
      <c r="Z2278">
        <f t="shared" si="71"/>
        <v>0</v>
      </c>
    </row>
    <row r="2279" spans="1:26" x14ac:dyDescent="0.2">
      <c r="A2279" t="s">
        <v>458</v>
      </c>
      <c r="B2279" t="s">
        <v>459</v>
      </c>
      <c r="C2279" t="s">
        <v>36</v>
      </c>
      <c r="D2279" t="s">
        <v>37</v>
      </c>
      <c r="E2279" t="s">
        <v>38</v>
      </c>
      <c r="F2279">
        <v>0</v>
      </c>
      <c r="G2279">
        <v>0</v>
      </c>
      <c r="H2279">
        <v>2805</v>
      </c>
      <c r="I2279">
        <v>0</v>
      </c>
      <c r="J2279">
        <v>0</v>
      </c>
      <c r="K2279">
        <v>4</v>
      </c>
      <c r="L2279">
        <v>0</v>
      </c>
      <c r="M2279">
        <v>0</v>
      </c>
      <c r="N2279">
        <v>6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f>NHS_AE_2024_2025[[#This Row],[A&amp;E attendances Type 1]]+
NHS_AE_2024_2025[[#This Row],[A&amp;E attendances Type 2]]+
NHS_AE_2024_2025[[#This Row],[A&amp;E attendances Other A&amp;E Department]]</f>
        <v>2805</v>
      </c>
      <c r="Y2279">
        <f t="shared" si="70"/>
        <v>6</v>
      </c>
      <c r="Z2279">
        <f t="shared" si="71"/>
        <v>0</v>
      </c>
    </row>
    <row r="2280" spans="1:26" x14ac:dyDescent="0.2">
      <c r="A2280" t="s">
        <v>458</v>
      </c>
      <c r="B2280" t="s">
        <v>459</v>
      </c>
      <c r="C2280" t="s">
        <v>360</v>
      </c>
      <c r="D2280" t="s">
        <v>50</v>
      </c>
      <c r="E2280" t="s">
        <v>361</v>
      </c>
      <c r="F2280">
        <v>0</v>
      </c>
      <c r="G2280">
        <v>0</v>
      </c>
      <c r="H2280">
        <v>1937</v>
      </c>
      <c r="I2280">
        <v>0</v>
      </c>
      <c r="J2280">
        <v>0</v>
      </c>
      <c r="K2280">
        <v>250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f>NHS_AE_2024_2025[[#This Row],[A&amp;E attendances Type 1]]+
NHS_AE_2024_2025[[#This Row],[A&amp;E attendances Type 2]]+
NHS_AE_2024_2025[[#This Row],[A&amp;E attendances Other A&amp;E Department]]</f>
        <v>1937</v>
      </c>
      <c r="Y2280">
        <f t="shared" si="70"/>
        <v>0</v>
      </c>
      <c r="Z2280">
        <f t="shared" si="71"/>
        <v>0</v>
      </c>
    </row>
    <row r="2281" spans="1:26" x14ac:dyDescent="0.2">
      <c r="A2281" t="s">
        <v>458</v>
      </c>
      <c r="B2281" t="s">
        <v>459</v>
      </c>
      <c r="C2281" t="s">
        <v>280</v>
      </c>
      <c r="D2281" t="s">
        <v>50</v>
      </c>
      <c r="E2281" t="s">
        <v>281</v>
      </c>
      <c r="F2281">
        <v>0</v>
      </c>
      <c r="G2281">
        <v>0</v>
      </c>
      <c r="H2281">
        <v>3454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187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f>NHS_AE_2024_2025[[#This Row],[A&amp;E attendances Type 1]]+
NHS_AE_2024_2025[[#This Row],[A&amp;E attendances Type 2]]+
NHS_AE_2024_2025[[#This Row],[A&amp;E attendances Other A&amp;E Department]]</f>
        <v>3454</v>
      </c>
      <c r="Y2281">
        <f t="shared" si="70"/>
        <v>187</v>
      </c>
      <c r="Z2281">
        <f t="shared" si="71"/>
        <v>0</v>
      </c>
    </row>
    <row r="2282" spans="1:26" x14ac:dyDescent="0.2">
      <c r="A2282" t="s">
        <v>458</v>
      </c>
      <c r="B2282" t="s">
        <v>459</v>
      </c>
      <c r="C2282" t="s">
        <v>429</v>
      </c>
      <c r="D2282" t="s">
        <v>50</v>
      </c>
      <c r="E2282" t="s">
        <v>430</v>
      </c>
      <c r="F2282">
        <v>0</v>
      </c>
      <c r="G2282">
        <v>0</v>
      </c>
      <c r="H2282">
        <v>1526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27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f>NHS_AE_2024_2025[[#This Row],[A&amp;E attendances Type 1]]+
NHS_AE_2024_2025[[#This Row],[A&amp;E attendances Type 2]]+
NHS_AE_2024_2025[[#This Row],[A&amp;E attendances Other A&amp;E Department]]</f>
        <v>1526</v>
      </c>
      <c r="Y2282">
        <f t="shared" si="70"/>
        <v>27</v>
      </c>
      <c r="Z2282">
        <f t="shared" si="71"/>
        <v>0</v>
      </c>
    </row>
    <row r="2283" spans="1:26" x14ac:dyDescent="0.2">
      <c r="A2283" t="s">
        <v>458</v>
      </c>
      <c r="B2283" t="s">
        <v>459</v>
      </c>
      <c r="C2283" t="s">
        <v>282</v>
      </c>
      <c r="D2283" t="s">
        <v>50</v>
      </c>
      <c r="E2283" t="s">
        <v>283</v>
      </c>
      <c r="F2283">
        <v>0</v>
      </c>
      <c r="G2283">
        <v>0</v>
      </c>
      <c r="H2283">
        <v>2637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136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f>NHS_AE_2024_2025[[#This Row],[A&amp;E attendances Type 1]]+
NHS_AE_2024_2025[[#This Row],[A&amp;E attendances Type 2]]+
NHS_AE_2024_2025[[#This Row],[A&amp;E attendances Other A&amp;E Department]]</f>
        <v>2637</v>
      </c>
      <c r="Y2283">
        <f t="shared" si="70"/>
        <v>136</v>
      </c>
      <c r="Z2283">
        <f t="shared" si="71"/>
        <v>0</v>
      </c>
    </row>
    <row r="2284" spans="1:26" x14ac:dyDescent="0.2">
      <c r="A2284" t="s">
        <v>458</v>
      </c>
      <c r="B2284" t="s">
        <v>459</v>
      </c>
      <c r="C2284" t="s">
        <v>284</v>
      </c>
      <c r="D2284" t="s">
        <v>50</v>
      </c>
      <c r="E2284" t="s">
        <v>285</v>
      </c>
      <c r="F2284">
        <v>0</v>
      </c>
      <c r="G2284">
        <v>0</v>
      </c>
      <c r="H2284">
        <v>1522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40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f>NHS_AE_2024_2025[[#This Row],[A&amp;E attendances Type 1]]+
NHS_AE_2024_2025[[#This Row],[A&amp;E attendances Type 2]]+
NHS_AE_2024_2025[[#This Row],[A&amp;E attendances Other A&amp;E Department]]</f>
        <v>1522</v>
      </c>
      <c r="Y2284">
        <f t="shared" si="70"/>
        <v>40</v>
      </c>
      <c r="Z2284">
        <f t="shared" si="71"/>
        <v>0</v>
      </c>
    </row>
    <row r="2285" spans="1:26" x14ac:dyDescent="0.2">
      <c r="A2285" t="s">
        <v>458</v>
      </c>
      <c r="B2285" t="s">
        <v>459</v>
      </c>
      <c r="C2285" t="s">
        <v>136</v>
      </c>
      <c r="D2285" t="s">
        <v>32</v>
      </c>
      <c r="E2285" t="s">
        <v>137</v>
      </c>
      <c r="F2285">
        <v>0</v>
      </c>
      <c r="G2285">
        <v>0</v>
      </c>
      <c r="H2285">
        <v>5362</v>
      </c>
      <c r="I2285">
        <v>0</v>
      </c>
      <c r="J2285">
        <v>0</v>
      </c>
      <c r="K2285">
        <v>551</v>
      </c>
      <c r="L2285">
        <v>0</v>
      </c>
      <c r="M2285">
        <v>0</v>
      </c>
      <c r="N2285">
        <v>18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f>NHS_AE_2024_2025[[#This Row],[A&amp;E attendances Type 1]]+
NHS_AE_2024_2025[[#This Row],[A&amp;E attendances Type 2]]+
NHS_AE_2024_2025[[#This Row],[A&amp;E attendances Other A&amp;E Department]]</f>
        <v>5362</v>
      </c>
      <c r="Y2285">
        <f t="shared" si="70"/>
        <v>18</v>
      </c>
      <c r="Z2285">
        <f t="shared" si="71"/>
        <v>0</v>
      </c>
    </row>
    <row r="2286" spans="1:26" x14ac:dyDescent="0.2">
      <c r="A2286" t="s">
        <v>458</v>
      </c>
      <c r="B2286" t="s">
        <v>459</v>
      </c>
      <c r="C2286" t="s">
        <v>138</v>
      </c>
      <c r="D2286" t="s">
        <v>32</v>
      </c>
      <c r="E2286" t="s">
        <v>139</v>
      </c>
      <c r="F2286">
        <v>0</v>
      </c>
      <c r="G2286">
        <v>0</v>
      </c>
      <c r="H2286">
        <v>199</v>
      </c>
      <c r="I2286">
        <v>0</v>
      </c>
      <c r="J2286">
        <v>0</v>
      </c>
      <c r="K2286">
        <v>1927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f>NHS_AE_2024_2025[[#This Row],[A&amp;E attendances Type 1]]+
NHS_AE_2024_2025[[#This Row],[A&amp;E attendances Type 2]]+
NHS_AE_2024_2025[[#This Row],[A&amp;E attendances Other A&amp;E Department]]</f>
        <v>199</v>
      </c>
      <c r="Y2286">
        <f t="shared" si="70"/>
        <v>1</v>
      </c>
      <c r="Z2286">
        <f t="shared" si="71"/>
        <v>0</v>
      </c>
    </row>
    <row r="2287" spans="1:26" x14ac:dyDescent="0.2">
      <c r="A2287" t="s">
        <v>458</v>
      </c>
      <c r="B2287" t="s">
        <v>459</v>
      </c>
      <c r="C2287" t="s">
        <v>140</v>
      </c>
      <c r="D2287" t="s">
        <v>32</v>
      </c>
      <c r="E2287" t="s">
        <v>141</v>
      </c>
      <c r="F2287">
        <v>0</v>
      </c>
      <c r="G2287">
        <v>0</v>
      </c>
      <c r="H2287">
        <v>76</v>
      </c>
      <c r="I2287">
        <v>0</v>
      </c>
      <c r="J2287">
        <v>0</v>
      </c>
      <c r="K2287">
        <v>359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f>NHS_AE_2024_2025[[#This Row],[A&amp;E attendances Type 1]]+
NHS_AE_2024_2025[[#This Row],[A&amp;E attendances Type 2]]+
NHS_AE_2024_2025[[#This Row],[A&amp;E attendances Other A&amp;E Department]]</f>
        <v>76</v>
      </c>
      <c r="Y2287">
        <f t="shared" si="70"/>
        <v>0</v>
      </c>
      <c r="Z2287">
        <f t="shared" si="71"/>
        <v>0</v>
      </c>
    </row>
    <row r="2288" spans="1:26" x14ac:dyDescent="0.2">
      <c r="A2288" t="s">
        <v>458</v>
      </c>
      <c r="B2288" t="s">
        <v>459</v>
      </c>
      <c r="C2288" t="s">
        <v>142</v>
      </c>
      <c r="D2288" t="s">
        <v>32</v>
      </c>
      <c r="E2288" t="s">
        <v>143</v>
      </c>
      <c r="F2288">
        <v>0</v>
      </c>
      <c r="G2288">
        <v>0</v>
      </c>
      <c r="H2288">
        <v>58</v>
      </c>
      <c r="I2288">
        <v>0</v>
      </c>
      <c r="J2288">
        <v>0</v>
      </c>
      <c r="K2288">
        <v>341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f>NHS_AE_2024_2025[[#This Row],[A&amp;E attendances Type 1]]+
NHS_AE_2024_2025[[#This Row],[A&amp;E attendances Type 2]]+
NHS_AE_2024_2025[[#This Row],[A&amp;E attendances Other A&amp;E Department]]</f>
        <v>58</v>
      </c>
      <c r="Y2288">
        <f t="shared" si="70"/>
        <v>0</v>
      </c>
      <c r="Z2288">
        <f t="shared" si="71"/>
        <v>0</v>
      </c>
    </row>
    <row r="2289" spans="1:26" x14ac:dyDescent="0.2">
      <c r="A2289" t="s">
        <v>458</v>
      </c>
      <c r="B2289" t="s">
        <v>459</v>
      </c>
      <c r="C2289" t="s">
        <v>414</v>
      </c>
      <c r="D2289" t="s">
        <v>32</v>
      </c>
      <c r="E2289" t="s">
        <v>415</v>
      </c>
      <c r="F2289">
        <v>0</v>
      </c>
      <c r="G2289">
        <v>0</v>
      </c>
      <c r="H2289">
        <v>482</v>
      </c>
      <c r="I2289">
        <v>0</v>
      </c>
      <c r="J2289">
        <v>0</v>
      </c>
      <c r="K2289">
        <v>2161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f>NHS_AE_2024_2025[[#This Row],[A&amp;E attendances Type 1]]+
NHS_AE_2024_2025[[#This Row],[A&amp;E attendances Type 2]]+
NHS_AE_2024_2025[[#This Row],[A&amp;E attendances Other A&amp;E Department]]</f>
        <v>482</v>
      </c>
      <c r="Y2289">
        <f t="shared" si="70"/>
        <v>0</v>
      </c>
      <c r="Z2289">
        <f t="shared" si="71"/>
        <v>0</v>
      </c>
    </row>
    <row r="2290" spans="1:26" x14ac:dyDescent="0.2">
      <c r="A2290" t="s">
        <v>458</v>
      </c>
      <c r="B2290" t="s">
        <v>459</v>
      </c>
      <c r="C2290" t="s">
        <v>144</v>
      </c>
      <c r="D2290" t="s">
        <v>32</v>
      </c>
      <c r="E2290" t="s">
        <v>145</v>
      </c>
      <c r="F2290">
        <v>0</v>
      </c>
      <c r="G2290">
        <v>0</v>
      </c>
      <c r="H2290">
        <v>72</v>
      </c>
      <c r="I2290">
        <v>0</v>
      </c>
      <c r="J2290">
        <v>0</v>
      </c>
      <c r="K2290">
        <v>353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f>NHS_AE_2024_2025[[#This Row],[A&amp;E attendances Type 1]]+
NHS_AE_2024_2025[[#This Row],[A&amp;E attendances Type 2]]+
NHS_AE_2024_2025[[#This Row],[A&amp;E attendances Other A&amp;E Department]]</f>
        <v>72</v>
      </c>
      <c r="Y2290">
        <f t="shared" si="70"/>
        <v>0</v>
      </c>
      <c r="Z2290">
        <f t="shared" si="71"/>
        <v>0</v>
      </c>
    </row>
    <row r="2291" spans="1:26" x14ac:dyDescent="0.2">
      <c r="A2291" t="s">
        <v>458</v>
      </c>
      <c r="B2291" t="s">
        <v>459</v>
      </c>
      <c r="C2291" t="s">
        <v>120</v>
      </c>
      <c r="D2291" t="s">
        <v>50</v>
      </c>
      <c r="E2291" t="s">
        <v>121</v>
      </c>
      <c r="F2291">
        <v>11215</v>
      </c>
      <c r="G2291">
        <v>1228</v>
      </c>
      <c r="H2291">
        <v>5828</v>
      </c>
      <c r="I2291">
        <v>458</v>
      </c>
      <c r="J2291">
        <v>0</v>
      </c>
      <c r="K2291">
        <v>1285</v>
      </c>
      <c r="L2291">
        <v>4778</v>
      </c>
      <c r="M2291">
        <v>38</v>
      </c>
      <c r="N2291">
        <v>161</v>
      </c>
      <c r="O2291">
        <v>202</v>
      </c>
      <c r="P2291">
        <v>0</v>
      </c>
      <c r="Q2291">
        <v>44</v>
      </c>
      <c r="R2291">
        <v>403</v>
      </c>
      <c r="S2291">
        <v>2</v>
      </c>
      <c r="T2291">
        <v>4324</v>
      </c>
      <c r="U2291">
        <v>24</v>
      </c>
      <c r="V2291">
        <v>0</v>
      </c>
      <c r="W2291">
        <v>1216</v>
      </c>
      <c r="X2291">
        <f>NHS_AE_2024_2025[[#This Row],[A&amp;E attendances Type 1]]+
NHS_AE_2024_2025[[#This Row],[A&amp;E attendances Type 2]]+
NHS_AE_2024_2025[[#This Row],[A&amp;E attendances Other A&amp;E Department]]</f>
        <v>18271</v>
      </c>
      <c r="Y2291">
        <f t="shared" si="70"/>
        <v>4977</v>
      </c>
      <c r="Z2291">
        <f t="shared" si="71"/>
        <v>5564</v>
      </c>
    </row>
    <row r="2292" spans="1:26" x14ac:dyDescent="0.2">
      <c r="A2292" t="s">
        <v>458</v>
      </c>
      <c r="B2292" t="s">
        <v>459</v>
      </c>
      <c r="C2292" t="s">
        <v>186</v>
      </c>
      <c r="D2292" t="s">
        <v>26</v>
      </c>
      <c r="E2292" t="s">
        <v>187</v>
      </c>
      <c r="F2292">
        <v>12978</v>
      </c>
      <c r="G2292">
        <v>0</v>
      </c>
      <c r="H2292">
        <v>4777</v>
      </c>
      <c r="I2292">
        <v>0</v>
      </c>
      <c r="J2292">
        <v>0</v>
      </c>
      <c r="K2292">
        <v>0</v>
      </c>
      <c r="L2292">
        <v>4879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752</v>
      </c>
      <c r="S2292">
        <v>128</v>
      </c>
      <c r="T2292">
        <v>3915</v>
      </c>
      <c r="U2292">
        <v>0</v>
      </c>
      <c r="V2292">
        <v>0</v>
      </c>
      <c r="W2292">
        <v>2245</v>
      </c>
      <c r="X2292">
        <f>NHS_AE_2024_2025[[#This Row],[A&amp;E attendances Type 1]]+
NHS_AE_2024_2025[[#This Row],[A&amp;E attendances Type 2]]+
NHS_AE_2024_2025[[#This Row],[A&amp;E attendances Other A&amp;E Department]]</f>
        <v>17755</v>
      </c>
      <c r="Y2292">
        <f t="shared" si="70"/>
        <v>4879</v>
      </c>
      <c r="Z2292">
        <f t="shared" si="71"/>
        <v>6160</v>
      </c>
    </row>
    <row r="2293" spans="1:26" x14ac:dyDescent="0.2">
      <c r="A2293" t="s">
        <v>458</v>
      </c>
      <c r="B2293" t="s">
        <v>459</v>
      </c>
      <c r="C2293" t="s">
        <v>288</v>
      </c>
      <c r="D2293" t="s">
        <v>29</v>
      </c>
      <c r="E2293" t="s">
        <v>289</v>
      </c>
      <c r="F2293">
        <v>12797</v>
      </c>
      <c r="G2293">
        <v>0</v>
      </c>
      <c r="H2293">
        <v>14079</v>
      </c>
      <c r="I2293">
        <v>0</v>
      </c>
      <c r="J2293">
        <v>0</v>
      </c>
      <c r="K2293">
        <v>0</v>
      </c>
      <c r="L2293">
        <v>6832</v>
      </c>
      <c r="M2293">
        <v>0</v>
      </c>
      <c r="N2293">
        <v>81</v>
      </c>
      <c r="O2293">
        <v>0</v>
      </c>
      <c r="P2293">
        <v>0</v>
      </c>
      <c r="Q2293">
        <v>0</v>
      </c>
      <c r="R2293">
        <v>756</v>
      </c>
      <c r="S2293">
        <v>576</v>
      </c>
      <c r="T2293">
        <v>6418</v>
      </c>
      <c r="U2293">
        <v>0</v>
      </c>
      <c r="V2293">
        <v>0</v>
      </c>
      <c r="W2293">
        <v>285</v>
      </c>
      <c r="X2293">
        <f>NHS_AE_2024_2025[[#This Row],[A&amp;E attendances Type 1]]+
NHS_AE_2024_2025[[#This Row],[A&amp;E attendances Type 2]]+
NHS_AE_2024_2025[[#This Row],[A&amp;E attendances Other A&amp;E Department]]</f>
        <v>26876</v>
      </c>
      <c r="Y2293">
        <f t="shared" si="70"/>
        <v>6913</v>
      </c>
      <c r="Z2293">
        <f t="shared" si="71"/>
        <v>6703</v>
      </c>
    </row>
    <row r="2294" spans="1:26" x14ac:dyDescent="0.2">
      <c r="A2294" t="s">
        <v>458</v>
      </c>
      <c r="B2294" t="s">
        <v>459</v>
      </c>
      <c r="C2294" t="s">
        <v>190</v>
      </c>
      <c r="D2294" t="s">
        <v>50</v>
      </c>
      <c r="E2294" t="s">
        <v>191</v>
      </c>
      <c r="F2294">
        <v>8960</v>
      </c>
      <c r="G2294">
        <v>1219</v>
      </c>
      <c r="H2294">
        <v>3022</v>
      </c>
      <c r="I2294">
        <v>0</v>
      </c>
      <c r="J2294">
        <v>0</v>
      </c>
      <c r="K2294">
        <v>0</v>
      </c>
      <c r="L2294">
        <v>2273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729</v>
      </c>
      <c r="S2294">
        <v>55</v>
      </c>
      <c r="T2294">
        <v>2590</v>
      </c>
      <c r="U2294">
        <v>0</v>
      </c>
      <c r="V2294">
        <v>42</v>
      </c>
      <c r="W2294">
        <v>1363</v>
      </c>
      <c r="X2294">
        <f>NHS_AE_2024_2025[[#This Row],[A&amp;E attendances Type 1]]+
NHS_AE_2024_2025[[#This Row],[A&amp;E attendances Type 2]]+
NHS_AE_2024_2025[[#This Row],[A&amp;E attendances Other A&amp;E Department]]</f>
        <v>13201</v>
      </c>
      <c r="Y2294">
        <f t="shared" si="70"/>
        <v>2273</v>
      </c>
      <c r="Z2294">
        <f t="shared" si="71"/>
        <v>3995</v>
      </c>
    </row>
    <row r="2295" spans="1:26" x14ac:dyDescent="0.2">
      <c r="A2295" t="s">
        <v>458</v>
      </c>
      <c r="B2295" t="s">
        <v>459</v>
      </c>
      <c r="C2295" t="s">
        <v>290</v>
      </c>
      <c r="D2295" t="s">
        <v>29</v>
      </c>
      <c r="E2295" t="s">
        <v>291</v>
      </c>
      <c r="F2295">
        <v>7912</v>
      </c>
      <c r="G2295">
        <v>483</v>
      </c>
      <c r="H2295">
        <v>6512</v>
      </c>
      <c r="I2295">
        <v>82</v>
      </c>
      <c r="J2295">
        <v>2</v>
      </c>
      <c r="K2295">
        <v>92</v>
      </c>
      <c r="L2295">
        <v>3898</v>
      </c>
      <c r="M2295">
        <v>3</v>
      </c>
      <c r="N2295">
        <v>574</v>
      </c>
      <c r="O2295">
        <v>32</v>
      </c>
      <c r="P2295">
        <v>0</v>
      </c>
      <c r="Q2295">
        <v>7</v>
      </c>
      <c r="R2295">
        <v>300</v>
      </c>
      <c r="S2295">
        <v>791</v>
      </c>
      <c r="T2295">
        <v>1375</v>
      </c>
      <c r="U2295">
        <v>0</v>
      </c>
      <c r="V2295">
        <v>187</v>
      </c>
      <c r="W2295">
        <v>43</v>
      </c>
      <c r="X2295">
        <f>NHS_AE_2024_2025[[#This Row],[A&amp;E attendances Type 1]]+
NHS_AE_2024_2025[[#This Row],[A&amp;E attendances Type 2]]+
NHS_AE_2024_2025[[#This Row],[A&amp;E attendances Other A&amp;E Department]]</f>
        <v>14907</v>
      </c>
      <c r="Y2295">
        <f t="shared" si="70"/>
        <v>4475</v>
      </c>
      <c r="Z2295">
        <f t="shared" si="71"/>
        <v>1605</v>
      </c>
    </row>
    <row r="2296" spans="1:26" x14ac:dyDescent="0.2">
      <c r="A2296" t="s">
        <v>458</v>
      </c>
      <c r="B2296" t="s">
        <v>459</v>
      </c>
      <c r="C2296" t="s">
        <v>150</v>
      </c>
      <c r="D2296" t="s">
        <v>55</v>
      </c>
      <c r="E2296" t="s">
        <v>151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772</v>
      </c>
      <c r="X2296">
        <f>NHS_AE_2024_2025[[#This Row],[A&amp;E attendances Type 1]]+
NHS_AE_2024_2025[[#This Row],[A&amp;E attendances Type 2]]+
NHS_AE_2024_2025[[#This Row],[A&amp;E attendances Other A&amp;E Department]]</f>
        <v>0</v>
      </c>
      <c r="Y2296">
        <f t="shared" si="70"/>
        <v>0</v>
      </c>
      <c r="Z2296">
        <f t="shared" si="71"/>
        <v>772</v>
      </c>
    </row>
    <row r="2297" spans="1:26" x14ac:dyDescent="0.2">
      <c r="A2297" t="s">
        <v>458</v>
      </c>
      <c r="B2297" t="s">
        <v>459</v>
      </c>
      <c r="C2297" t="s">
        <v>194</v>
      </c>
      <c r="D2297" t="s">
        <v>50</v>
      </c>
      <c r="E2297" t="s">
        <v>195</v>
      </c>
      <c r="F2297">
        <v>4336</v>
      </c>
      <c r="G2297">
        <v>0</v>
      </c>
      <c r="H2297">
        <v>327</v>
      </c>
      <c r="I2297">
        <v>272</v>
      </c>
      <c r="J2297">
        <v>0</v>
      </c>
      <c r="K2297">
        <v>17</v>
      </c>
      <c r="L2297">
        <v>313</v>
      </c>
      <c r="M2297">
        <v>0</v>
      </c>
      <c r="N2297">
        <v>0</v>
      </c>
      <c r="O2297">
        <v>21</v>
      </c>
      <c r="P2297">
        <v>0</v>
      </c>
      <c r="Q2297">
        <v>0</v>
      </c>
      <c r="R2297">
        <v>11</v>
      </c>
      <c r="S2297">
        <v>0</v>
      </c>
      <c r="T2297">
        <v>1071</v>
      </c>
      <c r="U2297">
        <v>0</v>
      </c>
      <c r="V2297">
        <v>0</v>
      </c>
      <c r="W2297">
        <v>90</v>
      </c>
      <c r="X2297">
        <f>NHS_AE_2024_2025[[#This Row],[A&amp;E attendances Type 1]]+
NHS_AE_2024_2025[[#This Row],[A&amp;E attendances Type 2]]+
NHS_AE_2024_2025[[#This Row],[A&amp;E attendances Other A&amp;E Department]]</f>
        <v>4663</v>
      </c>
      <c r="Y2297">
        <f t="shared" si="70"/>
        <v>313</v>
      </c>
      <c r="Z2297">
        <f t="shared" si="71"/>
        <v>1161</v>
      </c>
    </row>
    <row r="2298" spans="1:26" x14ac:dyDescent="0.2">
      <c r="A2298" t="s">
        <v>458</v>
      </c>
      <c r="B2298" t="s">
        <v>459</v>
      </c>
      <c r="C2298" t="s">
        <v>242</v>
      </c>
      <c r="D2298" t="s">
        <v>70</v>
      </c>
      <c r="E2298" t="s">
        <v>243</v>
      </c>
      <c r="F2298">
        <v>8258</v>
      </c>
      <c r="G2298">
        <v>0</v>
      </c>
      <c r="H2298">
        <v>4584</v>
      </c>
      <c r="I2298">
        <v>431</v>
      </c>
      <c r="J2298">
        <v>0</v>
      </c>
      <c r="K2298">
        <v>135</v>
      </c>
      <c r="L2298">
        <v>3361</v>
      </c>
      <c r="M2298">
        <v>0</v>
      </c>
      <c r="N2298">
        <v>59</v>
      </c>
      <c r="O2298">
        <v>205</v>
      </c>
      <c r="P2298">
        <v>0</v>
      </c>
      <c r="Q2298">
        <v>0</v>
      </c>
      <c r="R2298">
        <v>582</v>
      </c>
      <c r="S2298">
        <v>0</v>
      </c>
      <c r="T2298">
        <v>1980</v>
      </c>
      <c r="U2298">
        <v>0</v>
      </c>
      <c r="V2298">
        <v>0</v>
      </c>
      <c r="W2298">
        <v>405</v>
      </c>
      <c r="X2298">
        <f>NHS_AE_2024_2025[[#This Row],[A&amp;E attendances Type 1]]+
NHS_AE_2024_2025[[#This Row],[A&amp;E attendances Type 2]]+
NHS_AE_2024_2025[[#This Row],[A&amp;E attendances Other A&amp;E Department]]</f>
        <v>12842</v>
      </c>
      <c r="Y2298">
        <f t="shared" si="70"/>
        <v>3420</v>
      </c>
      <c r="Z2298">
        <f t="shared" si="71"/>
        <v>2385</v>
      </c>
    </row>
    <row r="2299" spans="1:26" x14ac:dyDescent="0.2">
      <c r="A2299" t="s">
        <v>458</v>
      </c>
      <c r="B2299" t="s">
        <v>459</v>
      </c>
      <c r="C2299" t="s">
        <v>196</v>
      </c>
      <c r="D2299" t="s">
        <v>37</v>
      </c>
      <c r="E2299" t="s">
        <v>197</v>
      </c>
      <c r="F2299">
        <v>22006</v>
      </c>
      <c r="G2299">
        <v>968</v>
      </c>
      <c r="H2299">
        <v>10346</v>
      </c>
      <c r="I2299">
        <v>0</v>
      </c>
      <c r="J2299">
        <v>0</v>
      </c>
      <c r="K2299">
        <v>0</v>
      </c>
      <c r="L2299">
        <v>10332</v>
      </c>
      <c r="M2299">
        <v>0</v>
      </c>
      <c r="N2299">
        <v>107</v>
      </c>
      <c r="O2299">
        <v>0</v>
      </c>
      <c r="P2299">
        <v>0</v>
      </c>
      <c r="Q2299">
        <v>0</v>
      </c>
      <c r="R2299">
        <v>1910</v>
      </c>
      <c r="S2299">
        <v>247</v>
      </c>
      <c r="T2299">
        <v>5936</v>
      </c>
      <c r="U2299">
        <v>0</v>
      </c>
      <c r="V2299">
        <v>0</v>
      </c>
      <c r="W2299">
        <v>105</v>
      </c>
      <c r="X2299">
        <f>NHS_AE_2024_2025[[#This Row],[A&amp;E attendances Type 1]]+
NHS_AE_2024_2025[[#This Row],[A&amp;E attendances Type 2]]+
NHS_AE_2024_2025[[#This Row],[A&amp;E attendances Other A&amp;E Department]]</f>
        <v>33320</v>
      </c>
      <c r="Y2299">
        <f t="shared" si="70"/>
        <v>10439</v>
      </c>
      <c r="Z2299">
        <f t="shared" si="71"/>
        <v>6041</v>
      </c>
    </row>
    <row r="2300" spans="1:26" x14ac:dyDescent="0.2">
      <c r="A2300" t="s">
        <v>458</v>
      </c>
      <c r="B2300" t="s">
        <v>459</v>
      </c>
      <c r="C2300" t="s">
        <v>366</v>
      </c>
      <c r="D2300" t="s">
        <v>29</v>
      </c>
      <c r="E2300" t="s">
        <v>367</v>
      </c>
      <c r="F2300">
        <v>12549</v>
      </c>
      <c r="G2300">
        <v>2408</v>
      </c>
      <c r="H2300">
        <v>12453</v>
      </c>
      <c r="I2300">
        <v>0</v>
      </c>
      <c r="J2300">
        <v>0</v>
      </c>
      <c r="K2300">
        <v>0</v>
      </c>
      <c r="L2300">
        <v>5513</v>
      </c>
      <c r="M2300">
        <v>318</v>
      </c>
      <c r="N2300">
        <v>97</v>
      </c>
      <c r="O2300">
        <v>0</v>
      </c>
      <c r="P2300">
        <v>0</v>
      </c>
      <c r="Q2300">
        <v>0</v>
      </c>
      <c r="R2300">
        <v>693</v>
      </c>
      <c r="S2300">
        <v>618</v>
      </c>
      <c r="T2300">
        <v>7657</v>
      </c>
      <c r="U2300">
        <v>0</v>
      </c>
      <c r="V2300">
        <v>0</v>
      </c>
      <c r="W2300">
        <v>386</v>
      </c>
      <c r="X2300">
        <f>NHS_AE_2024_2025[[#This Row],[A&amp;E attendances Type 1]]+
NHS_AE_2024_2025[[#This Row],[A&amp;E attendances Type 2]]+
NHS_AE_2024_2025[[#This Row],[A&amp;E attendances Other A&amp;E Department]]</f>
        <v>27410</v>
      </c>
      <c r="Y2300">
        <f t="shared" si="70"/>
        <v>5928</v>
      </c>
      <c r="Z2300">
        <f t="shared" si="71"/>
        <v>8043</v>
      </c>
    </row>
    <row r="2301" spans="1:26" x14ac:dyDescent="0.2">
      <c r="A2301" t="s">
        <v>458</v>
      </c>
      <c r="B2301" t="s">
        <v>459</v>
      </c>
      <c r="C2301" t="s">
        <v>122</v>
      </c>
      <c r="D2301" t="s">
        <v>50</v>
      </c>
      <c r="E2301" t="s">
        <v>123</v>
      </c>
      <c r="F2301">
        <v>8327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2924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481</v>
      </c>
      <c r="S2301">
        <v>6</v>
      </c>
      <c r="T2301">
        <v>1887</v>
      </c>
      <c r="U2301">
        <v>0</v>
      </c>
      <c r="V2301">
        <v>0</v>
      </c>
      <c r="W2301">
        <v>360</v>
      </c>
      <c r="X2301">
        <f>NHS_AE_2024_2025[[#This Row],[A&amp;E attendances Type 1]]+
NHS_AE_2024_2025[[#This Row],[A&amp;E attendances Type 2]]+
NHS_AE_2024_2025[[#This Row],[A&amp;E attendances Other A&amp;E Department]]</f>
        <v>8327</v>
      </c>
      <c r="Y2301">
        <f t="shared" si="70"/>
        <v>2924</v>
      </c>
      <c r="Z2301">
        <f t="shared" si="71"/>
        <v>2247</v>
      </c>
    </row>
    <row r="2302" spans="1:26" x14ac:dyDescent="0.2">
      <c r="A2302" t="s">
        <v>458</v>
      </c>
      <c r="B2302" t="s">
        <v>459</v>
      </c>
      <c r="C2302" t="s">
        <v>298</v>
      </c>
      <c r="D2302" t="s">
        <v>32</v>
      </c>
      <c r="E2302" t="s">
        <v>299</v>
      </c>
      <c r="F2302">
        <v>6907</v>
      </c>
      <c r="G2302">
        <v>0</v>
      </c>
      <c r="H2302">
        <v>5664</v>
      </c>
      <c r="I2302">
        <v>249</v>
      </c>
      <c r="J2302">
        <v>0</v>
      </c>
      <c r="K2302">
        <v>105</v>
      </c>
      <c r="L2302">
        <v>3635</v>
      </c>
      <c r="M2302">
        <v>0</v>
      </c>
      <c r="N2302">
        <v>241</v>
      </c>
      <c r="O2302">
        <v>119</v>
      </c>
      <c r="P2302">
        <v>0</v>
      </c>
      <c r="Q2302">
        <v>34</v>
      </c>
      <c r="R2302">
        <v>940</v>
      </c>
      <c r="S2302">
        <v>99</v>
      </c>
      <c r="T2302">
        <v>2468</v>
      </c>
      <c r="U2302">
        <v>0</v>
      </c>
      <c r="V2302">
        <v>300</v>
      </c>
      <c r="W2302">
        <v>568</v>
      </c>
      <c r="X2302">
        <f>NHS_AE_2024_2025[[#This Row],[A&amp;E attendances Type 1]]+
NHS_AE_2024_2025[[#This Row],[A&amp;E attendances Type 2]]+
NHS_AE_2024_2025[[#This Row],[A&amp;E attendances Other A&amp;E Department]]</f>
        <v>12571</v>
      </c>
      <c r="Y2302">
        <f t="shared" si="70"/>
        <v>3876</v>
      </c>
      <c r="Z2302">
        <f t="shared" si="71"/>
        <v>3336</v>
      </c>
    </row>
    <row r="2303" spans="1:26" x14ac:dyDescent="0.2">
      <c r="A2303" t="s">
        <v>458</v>
      </c>
      <c r="B2303" t="s">
        <v>459</v>
      </c>
      <c r="C2303" t="s">
        <v>246</v>
      </c>
      <c r="D2303" t="s">
        <v>70</v>
      </c>
      <c r="E2303" t="s">
        <v>247</v>
      </c>
      <c r="F2303">
        <v>10326</v>
      </c>
      <c r="G2303">
        <v>0</v>
      </c>
      <c r="H2303">
        <v>5689</v>
      </c>
      <c r="I2303">
        <v>269</v>
      </c>
      <c r="J2303">
        <v>0</v>
      </c>
      <c r="K2303">
        <v>261</v>
      </c>
      <c r="L2303">
        <v>5112</v>
      </c>
      <c r="M2303">
        <v>0</v>
      </c>
      <c r="N2303">
        <v>139</v>
      </c>
      <c r="O2303">
        <v>88</v>
      </c>
      <c r="P2303">
        <v>0</v>
      </c>
      <c r="Q2303">
        <v>21</v>
      </c>
      <c r="R2303">
        <v>605</v>
      </c>
      <c r="S2303">
        <v>397</v>
      </c>
      <c r="T2303">
        <v>2733</v>
      </c>
      <c r="U2303">
        <v>0</v>
      </c>
      <c r="V2303">
        <v>23</v>
      </c>
      <c r="W2303">
        <v>470</v>
      </c>
      <c r="X2303">
        <f>NHS_AE_2024_2025[[#This Row],[A&amp;E attendances Type 1]]+
NHS_AE_2024_2025[[#This Row],[A&amp;E attendances Type 2]]+
NHS_AE_2024_2025[[#This Row],[A&amp;E attendances Other A&amp;E Department]]</f>
        <v>16015</v>
      </c>
      <c r="Y2303">
        <f t="shared" si="70"/>
        <v>5251</v>
      </c>
      <c r="Z2303">
        <f t="shared" si="71"/>
        <v>3226</v>
      </c>
    </row>
    <row r="2304" spans="1:26" x14ac:dyDescent="0.2">
      <c r="A2304" t="s">
        <v>458</v>
      </c>
      <c r="B2304" t="s">
        <v>459</v>
      </c>
      <c r="C2304" t="s">
        <v>404</v>
      </c>
      <c r="D2304" t="s">
        <v>26</v>
      </c>
      <c r="E2304" t="s">
        <v>405</v>
      </c>
      <c r="F2304">
        <v>12118</v>
      </c>
      <c r="G2304">
        <v>0</v>
      </c>
      <c r="H2304">
        <v>4225</v>
      </c>
      <c r="I2304">
        <v>1109</v>
      </c>
      <c r="J2304">
        <v>0</v>
      </c>
      <c r="K2304">
        <v>64</v>
      </c>
      <c r="L2304">
        <v>4581</v>
      </c>
      <c r="M2304">
        <v>0</v>
      </c>
      <c r="N2304">
        <v>33</v>
      </c>
      <c r="O2304">
        <v>327</v>
      </c>
      <c r="P2304">
        <v>0</v>
      </c>
      <c r="Q2304">
        <v>1</v>
      </c>
      <c r="R2304">
        <v>1330</v>
      </c>
      <c r="S2304">
        <v>31</v>
      </c>
      <c r="T2304">
        <v>3836</v>
      </c>
      <c r="U2304">
        <v>0</v>
      </c>
      <c r="V2304">
        <v>0</v>
      </c>
      <c r="W2304">
        <v>2141</v>
      </c>
      <c r="X2304">
        <f>NHS_AE_2024_2025[[#This Row],[A&amp;E attendances Type 1]]+
NHS_AE_2024_2025[[#This Row],[A&amp;E attendances Type 2]]+
NHS_AE_2024_2025[[#This Row],[A&amp;E attendances Other A&amp;E Department]]</f>
        <v>16343</v>
      </c>
      <c r="Y2304">
        <f t="shared" si="70"/>
        <v>4614</v>
      </c>
      <c r="Z2304">
        <f t="shared" si="71"/>
        <v>5977</v>
      </c>
    </row>
    <row r="2305" spans="1:26" x14ac:dyDescent="0.2">
      <c r="A2305" t="s">
        <v>458</v>
      </c>
      <c r="B2305" t="s">
        <v>459</v>
      </c>
      <c r="C2305" t="s">
        <v>304</v>
      </c>
      <c r="D2305" t="s">
        <v>29</v>
      </c>
      <c r="E2305" t="s">
        <v>305</v>
      </c>
      <c r="F2305">
        <v>12509</v>
      </c>
      <c r="G2305">
        <v>0</v>
      </c>
      <c r="H2305">
        <v>4747</v>
      </c>
      <c r="I2305">
        <v>0</v>
      </c>
      <c r="J2305">
        <v>0</v>
      </c>
      <c r="K2305">
        <v>0</v>
      </c>
      <c r="L2305">
        <v>4632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281</v>
      </c>
      <c r="S2305">
        <v>617</v>
      </c>
      <c r="T2305">
        <v>1256</v>
      </c>
      <c r="U2305">
        <v>0</v>
      </c>
      <c r="V2305">
        <v>0</v>
      </c>
      <c r="W2305">
        <v>110</v>
      </c>
      <c r="X2305">
        <f>NHS_AE_2024_2025[[#This Row],[A&amp;E attendances Type 1]]+
NHS_AE_2024_2025[[#This Row],[A&amp;E attendances Type 2]]+
NHS_AE_2024_2025[[#This Row],[A&amp;E attendances Other A&amp;E Department]]</f>
        <v>17256</v>
      </c>
      <c r="Y2305">
        <f t="shared" si="70"/>
        <v>4632</v>
      </c>
      <c r="Z2305">
        <f t="shared" si="71"/>
        <v>1366</v>
      </c>
    </row>
    <row r="2306" spans="1:26" x14ac:dyDescent="0.2">
      <c r="A2306" t="s">
        <v>458</v>
      </c>
      <c r="B2306" t="s">
        <v>459</v>
      </c>
      <c r="C2306" t="s">
        <v>112</v>
      </c>
      <c r="D2306" t="s">
        <v>55</v>
      </c>
      <c r="E2306" t="s">
        <v>113</v>
      </c>
      <c r="F2306">
        <v>4101</v>
      </c>
      <c r="G2306">
        <v>0</v>
      </c>
      <c r="H2306">
        <v>0</v>
      </c>
      <c r="I2306">
        <v>67</v>
      </c>
      <c r="J2306">
        <v>0</v>
      </c>
      <c r="K2306">
        <v>55</v>
      </c>
      <c r="L2306">
        <v>1982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214</v>
      </c>
      <c r="S2306">
        <v>182</v>
      </c>
      <c r="T2306">
        <v>827</v>
      </c>
      <c r="U2306">
        <v>0</v>
      </c>
      <c r="V2306">
        <v>0</v>
      </c>
      <c r="W2306">
        <v>211</v>
      </c>
      <c r="X2306">
        <f>NHS_AE_2024_2025[[#This Row],[A&amp;E attendances Type 1]]+
NHS_AE_2024_2025[[#This Row],[A&amp;E attendances Type 2]]+
NHS_AE_2024_2025[[#This Row],[A&amp;E attendances Other A&amp;E Department]]</f>
        <v>4101</v>
      </c>
      <c r="Y2306">
        <f t="shared" ref="Y2306:Y2369" si="72">L2306+M2306+N2306</f>
        <v>1982</v>
      </c>
      <c r="Z2306">
        <f t="shared" ref="Z2306:Z2369" si="73">T2306+U2306+V2306+W2306</f>
        <v>1038</v>
      </c>
    </row>
    <row r="2307" spans="1:26" x14ac:dyDescent="0.2">
      <c r="A2307" t="s">
        <v>458</v>
      </c>
      <c r="B2307" t="s">
        <v>459</v>
      </c>
      <c r="C2307" t="s">
        <v>156</v>
      </c>
      <c r="D2307" t="s">
        <v>29</v>
      </c>
      <c r="E2307" t="s">
        <v>157</v>
      </c>
      <c r="F2307">
        <v>15439</v>
      </c>
      <c r="G2307">
        <v>0</v>
      </c>
      <c r="H2307">
        <v>8350</v>
      </c>
      <c r="I2307">
        <v>63</v>
      </c>
      <c r="J2307">
        <v>0</v>
      </c>
      <c r="K2307">
        <v>1208</v>
      </c>
      <c r="L2307">
        <v>6317</v>
      </c>
      <c r="M2307">
        <v>0</v>
      </c>
      <c r="N2307">
        <v>557</v>
      </c>
      <c r="O2307">
        <v>17</v>
      </c>
      <c r="P2307">
        <v>0</v>
      </c>
      <c r="Q2307">
        <v>1</v>
      </c>
      <c r="R2307">
        <v>1469</v>
      </c>
      <c r="S2307">
        <v>647</v>
      </c>
      <c r="T2307">
        <v>4545</v>
      </c>
      <c r="U2307">
        <v>0</v>
      </c>
      <c r="V2307">
        <v>0</v>
      </c>
      <c r="W2307">
        <v>329</v>
      </c>
      <c r="X2307">
        <f>NHS_AE_2024_2025[[#This Row],[A&amp;E attendances Type 1]]+
NHS_AE_2024_2025[[#This Row],[A&amp;E attendances Type 2]]+
NHS_AE_2024_2025[[#This Row],[A&amp;E attendances Other A&amp;E Department]]</f>
        <v>23789</v>
      </c>
      <c r="Y2307">
        <f t="shared" si="72"/>
        <v>6874</v>
      </c>
      <c r="Z2307">
        <f t="shared" si="73"/>
        <v>4874</v>
      </c>
    </row>
    <row r="2308" spans="1:26" x14ac:dyDescent="0.2">
      <c r="A2308" t="s">
        <v>458</v>
      </c>
      <c r="B2308" t="s">
        <v>459</v>
      </c>
      <c r="C2308" t="s">
        <v>250</v>
      </c>
      <c r="D2308" t="s">
        <v>32</v>
      </c>
      <c r="E2308" t="s">
        <v>251</v>
      </c>
      <c r="F2308">
        <v>10570</v>
      </c>
      <c r="G2308">
        <v>0</v>
      </c>
      <c r="H2308">
        <v>5086</v>
      </c>
      <c r="I2308">
        <v>347</v>
      </c>
      <c r="J2308">
        <v>0</v>
      </c>
      <c r="K2308">
        <v>135</v>
      </c>
      <c r="L2308">
        <v>3989</v>
      </c>
      <c r="M2308">
        <v>0</v>
      </c>
      <c r="N2308">
        <v>123</v>
      </c>
      <c r="O2308">
        <v>144</v>
      </c>
      <c r="P2308">
        <v>0</v>
      </c>
      <c r="Q2308">
        <v>2</v>
      </c>
      <c r="R2308">
        <v>623</v>
      </c>
      <c r="S2308">
        <v>127</v>
      </c>
      <c r="T2308">
        <v>3772</v>
      </c>
      <c r="U2308">
        <v>0</v>
      </c>
      <c r="V2308">
        <v>0</v>
      </c>
      <c r="W2308">
        <v>221</v>
      </c>
      <c r="X2308">
        <f>NHS_AE_2024_2025[[#This Row],[A&amp;E attendances Type 1]]+
NHS_AE_2024_2025[[#This Row],[A&amp;E attendances Type 2]]+
NHS_AE_2024_2025[[#This Row],[A&amp;E attendances Other A&amp;E Department]]</f>
        <v>15656</v>
      </c>
      <c r="Y2308">
        <f t="shared" si="72"/>
        <v>4112</v>
      </c>
      <c r="Z2308">
        <f t="shared" si="73"/>
        <v>3993</v>
      </c>
    </row>
    <row r="2309" spans="1:26" x14ac:dyDescent="0.2">
      <c r="A2309" t="s">
        <v>458</v>
      </c>
      <c r="B2309" t="s">
        <v>459</v>
      </c>
      <c r="C2309" t="s">
        <v>386</v>
      </c>
      <c r="D2309" t="s">
        <v>32</v>
      </c>
      <c r="E2309" t="s">
        <v>387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20</v>
      </c>
      <c r="X2309">
        <f>NHS_AE_2024_2025[[#This Row],[A&amp;E attendances Type 1]]+
NHS_AE_2024_2025[[#This Row],[A&amp;E attendances Type 2]]+
NHS_AE_2024_2025[[#This Row],[A&amp;E attendances Other A&amp;E Department]]</f>
        <v>0</v>
      </c>
      <c r="Y2309">
        <f t="shared" si="72"/>
        <v>0</v>
      </c>
      <c r="Z2309">
        <f t="shared" si="73"/>
        <v>20</v>
      </c>
    </row>
    <row r="2310" spans="1:26" x14ac:dyDescent="0.2">
      <c r="A2310" t="s">
        <v>458</v>
      </c>
      <c r="B2310" t="s">
        <v>459</v>
      </c>
      <c r="C2310" t="s">
        <v>318</v>
      </c>
      <c r="D2310" t="s">
        <v>55</v>
      </c>
      <c r="E2310" t="s">
        <v>319</v>
      </c>
      <c r="F2310">
        <v>8525</v>
      </c>
      <c r="G2310">
        <v>0</v>
      </c>
      <c r="H2310">
        <v>2323</v>
      </c>
      <c r="I2310">
        <v>407</v>
      </c>
      <c r="J2310">
        <v>0</v>
      </c>
      <c r="K2310">
        <v>250</v>
      </c>
      <c r="L2310">
        <v>3915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652</v>
      </c>
      <c r="S2310">
        <v>286</v>
      </c>
      <c r="T2310">
        <v>1853</v>
      </c>
      <c r="U2310">
        <v>0</v>
      </c>
      <c r="V2310">
        <v>0</v>
      </c>
      <c r="W2310">
        <v>345</v>
      </c>
      <c r="X2310">
        <f>NHS_AE_2024_2025[[#This Row],[A&amp;E attendances Type 1]]+
NHS_AE_2024_2025[[#This Row],[A&amp;E attendances Type 2]]+
NHS_AE_2024_2025[[#This Row],[A&amp;E attendances Other A&amp;E Department]]</f>
        <v>10848</v>
      </c>
      <c r="Y2310">
        <f t="shared" si="72"/>
        <v>3915</v>
      </c>
      <c r="Z2310">
        <f t="shared" si="73"/>
        <v>2198</v>
      </c>
    </row>
    <row r="2311" spans="1:26" x14ac:dyDescent="0.2">
      <c r="A2311" t="s">
        <v>458</v>
      </c>
      <c r="B2311" t="s">
        <v>459</v>
      </c>
      <c r="C2311" t="s">
        <v>390</v>
      </c>
      <c r="D2311" t="s">
        <v>26</v>
      </c>
      <c r="E2311" t="s">
        <v>391</v>
      </c>
      <c r="F2311">
        <v>5531</v>
      </c>
      <c r="G2311">
        <v>0</v>
      </c>
      <c r="H2311">
        <v>5535</v>
      </c>
      <c r="I2311">
        <v>0</v>
      </c>
      <c r="J2311">
        <v>0</v>
      </c>
      <c r="K2311">
        <v>0</v>
      </c>
      <c r="L2311">
        <v>2339</v>
      </c>
      <c r="M2311">
        <v>0</v>
      </c>
      <c r="N2311">
        <v>160</v>
      </c>
      <c r="O2311">
        <v>0</v>
      </c>
      <c r="P2311">
        <v>0</v>
      </c>
      <c r="Q2311">
        <v>0</v>
      </c>
      <c r="R2311">
        <v>580</v>
      </c>
      <c r="S2311">
        <v>0</v>
      </c>
      <c r="T2311">
        <v>2495</v>
      </c>
      <c r="U2311">
        <v>0</v>
      </c>
      <c r="V2311">
        <v>0</v>
      </c>
      <c r="W2311">
        <v>1312</v>
      </c>
      <c r="X2311">
        <f>NHS_AE_2024_2025[[#This Row],[A&amp;E attendances Type 1]]+
NHS_AE_2024_2025[[#This Row],[A&amp;E attendances Type 2]]+
NHS_AE_2024_2025[[#This Row],[A&amp;E attendances Other A&amp;E Department]]</f>
        <v>11066</v>
      </c>
      <c r="Y2311">
        <f t="shared" si="72"/>
        <v>2499</v>
      </c>
      <c r="Z2311">
        <f t="shared" si="73"/>
        <v>3807</v>
      </c>
    </row>
    <row r="2312" spans="1:26" x14ac:dyDescent="0.2">
      <c r="A2312" t="s">
        <v>458</v>
      </c>
      <c r="B2312" t="s">
        <v>459</v>
      </c>
      <c r="C2312" t="s">
        <v>114</v>
      </c>
      <c r="D2312" t="s">
        <v>32</v>
      </c>
      <c r="E2312" t="s">
        <v>115</v>
      </c>
      <c r="F2312">
        <v>9886</v>
      </c>
      <c r="G2312">
        <v>513</v>
      </c>
      <c r="H2312">
        <v>2040</v>
      </c>
      <c r="I2312">
        <v>1252</v>
      </c>
      <c r="J2312">
        <v>2</v>
      </c>
      <c r="K2312">
        <v>78</v>
      </c>
      <c r="L2312">
        <v>3466</v>
      </c>
      <c r="M2312">
        <v>7</v>
      </c>
      <c r="N2312">
        <v>95</v>
      </c>
      <c r="O2312">
        <v>329</v>
      </c>
      <c r="P2312">
        <v>0</v>
      </c>
      <c r="Q2312">
        <v>8</v>
      </c>
      <c r="R2312">
        <v>476</v>
      </c>
      <c r="S2312">
        <v>680</v>
      </c>
      <c r="T2312">
        <v>1973</v>
      </c>
      <c r="U2312">
        <v>0</v>
      </c>
      <c r="V2312">
        <v>0</v>
      </c>
      <c r="W2312">
        <v>1135</v>
      </c>
      <c r="X2312">
        <f>NHS_AE_2024_2025[[#This Row],[A&amp;E attendances Type 1]]+
NHS_AE_2024_2025[[#This Row],[A&amp;E attendances Type 2]]+
NHS_AE_2024_2025[[#This Row],[A&amp;E attendances Other A&amp;E Department]]</f>
        <v>12439</v>
      </c>
      <c r="Y2312">
        <f t="shared" si="72"/>
        <v>3568</v>
      </c>
      <c r="Z2312">
        <f t="shared" si="73"/>
        <v>3108</v>
      </c>
    </row>
    <row r="2313" spans="1:26" x14ac:dyDescent="0.2">
      <c r="A2313" t="s">
        <v>458</v>
      </c>
      <c r="B2313" t="s">
        <v>459</v>
      </c>
      <c r="C2313" t="s">
        <v>256</v>
      </c>
      <c r="D2313" t="s">
        <v>37</v>
      </c>
      <c r="E2313" t="s">
        <v>257</v>
      </c>
      <c r="F2313">
        <v>0</v>
      </c>
      <c r="G2313">
        <v>0</v>
      </c>
      <c r="H2313">
        <v>4098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430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f>NHS_AE_2024_2025[[#This Row],[A&amp;E attendances Type 1]]+
NHS_AE_2024_2025[[#This Row],[A&amp;E attendances Type 2]]+
NHS_AE_2024_2025[[#This Row],[A&amp;E attendances Other A&amp;E Department]]</f>
        <v>4098</v>
      </c>
      <c r="Y2313">
        <f t="shared" si="72"/>
        <v>430</v>
      </c>
      <c r="Z2313">
        <f t="shared" si="73"/>
        <v>0</v>
      </c>
    </row>
    <row r="2314" spans="1:26" x14ac:dyDescent="0.2">
      <c r="A2314" t="s">
        <v>458</v>
      </c>
      <c r="B2314" t="s">
        <v>459</v>
      </c>
      <c r="C2314" t="s">
        <v>320</v>
      </c>
      <c r="D2314" t="s">
        <v>26</v>
      </c>
      <c r="E2314" t="s">
        <v>321</v>
      </c>
      <c r="F2314">
        <v>4560</v>
      </c>
      <c r="G2314">
        <v>297</v>
      </c>
      <c r="H2314">
        <v>1619</v>
      </c>
      <c r="I2314">
        <v>132</v>
      </c>
      <c r="J2314">
        <v>0</v>
      </c>
      <c r="K2314">
        <v>0</v>
      </c>
      <c r="L2314">
        <v>2027</v>
      </c>
      <c r="M2314">
        <v>0</v>
      </c>
      <c r="N2314">
        <v>0</v>
      </c>
      <c r="O2314">
        <v>51</v>
      </c>
      <c r="P2314">
        <v>0</v>
      </c>
      <c r="Q2314">
        <v>0</v>
      </c>
      <c r="R2314">
        <v>413</v>
      </c>
      <c r="S2314">
        <v>8</v>
      </c>
      <c r="T2314">
        <v>1290</v>
      </c>
      <c r="U2314">
        <v>0</v>
      </c>
      <c r="V2314">
        <v>0</v>
      </c>
      <c r="W2314">
        <v>869</v>
      </c>
      <c r="X2314">
        <f>NHS_AE_2024_2025[[#This Row],[A&amp;E attendances Type 1]]+
NHS_AE_2024_2025[[#This Row],[A&amp;E attendances Type 2]]+
NHS_AE_2024_2025[[#This Row],[A&amp;E attendances Other A&amp;E Department]]</f>
        <v>6476</v>
      </c>
      <c r="Y2314">
        <f t="shared" si="72"/>
        <v>2027</v>
      </c>
      <c r="Z2314">
        <f t="shared" si="73"/>
        <v>2159</v>
      </c>
    </row>
    <row r="2315" spans="1:26" x14ac:dyDescent="0.2">
      <c r="A2315" t="s">
        <v>458</v>
      </c>
      <c r="B2315" t="s">
        <v>459</v>
      </c>
      <c r="C2315" t="s">
        <v>86</v>
      </c>
      <c r="D2315" t="s">
        <v>37</v>
      </c>
      <c r="E2315" t="s">
        <v>87</v>
      </c>
      <c r="F2315">
        <v>0</v>
      </c>
      <c r="G2315">
        <v>0</v>
      </c>
      <c r="H2315">
        <v>1494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23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</v>
      </c>
      <c r="W2315">
        <v>551</v>
      </c>
      <c r="X2315">
        <f>NHS_AE_2024_2025[[#This Row],[A&amp;E attendances Type 1]]+
NHS_AE_2024_2025[[#This Row],[A&amp;E attendances Type 2]]+
NHS_AE_2024_2025[[#This Row],[A&amp;E attendances Other A&amp;E Department]]</f>
        <v>1494</v>
      </c>
      <c r="Y2315">
        <f t="shared" si="72"/>
        <v>23</v>
      </c>
      <c r="Z2315">
        <f t="shared" si="73"/>
        <v>552</v>
      </c>
    </row>
    <row r="2316" spans="1:26" x14ac:dyDescent="0.2">
      <c r="A2316" t="s">
        <v>458</v>
      </c>
      <c r="B2316" t="s">
        <v>459</v>
      </c>
      <c r="C2316" t="s">
        <v>328</v>
      </c>
      <c r="D2316" t="s">
        <v>70</v>
      </c>
      <c r="E2316" t="s">
        <v>329</v>
      </c>
      <c r="F2316">
        <v>8169</v>
      </c>
      <c r="G2316">
        <v>0</v>
      </c>
      <c r="H2316">
        <v>1781</v>
      </c>
      <c r="I2316">
        <v>0</v>
      </c>
      <c r="J2316">
        <v>0</v>
      </c>
      <c r="K2316">
        <v>457</v>
      </c>
      <c r="L2316">
        <v>3891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466</v>
      </c>
      <c r="S2316">
        <v>102</v>
      </c>
      <c r="T2316">
        <v>2095</v>
      </c>
      <c r="U2316">
        <v>0</v>
      </c>
      <c r="V2316">
        <v>0</v>
      </c>
      <c r="W2316">
        <v>368</v>
      </c>
      <c r="X2316">
        <f>NHS_AE_2024_2025[[#This Row],[A&amp;E attendances Type 1]]+
NHS_AE_2024_2025[[#This Row],[A&amp;E attendances Type 2]]+
NHS_AE_2024_2025[[#This Row],[A&amp;E attendances Other A&amp;E Department]]</f>
        <v>9950</v>
      </c>
      <c r="Y2316">
        <f t="shared" si="72"/>
        <v>3891</v>
      </c>
      <c r="Z2316">
        <f t="shared" si="73"/>
        <v>2463</v>
      </c>
    </row>
    <row r="2317" spans="1:26" x14ac:dyDescent="0.2">
      <c r="A2317" t="s">
        <v>458</v>
      </c>
      <c r="B2317" t="s">
        <v>459</v>
      </c>
      <c r="C2317" t="s">
        <v>392</v>
      </c>
      <c r="D2317" t="s">
        <v>50</v>
      </c>
      <c r="E2317" t="s">
        <v>393</v>
      </c>
      <c r="F2317">
        <v>12114</v>
      </c>
      <c r="G2317">
        <v>1623</v>
      </c>
      <c r="H2317">
        <v>4974</v>
      </c>
      <c r="I2317">
        <v>0</v>
      </c>
      <c r="J2317">
        <v>0</v>
      </c>
      <c r="K2317">
        <v>841</v>
      </c>
      <c r="L2317">
        <v>4763</v>
      </c>
      <c r="M2317">
        <v>131</v>
      </c>
      <c r="N2317">
        <v>0</v>
      </c>
      <c r="O2317">
        <v>0</v>
      </c>
      <c r="P2317">
        <v>0</v>
      </c>
      <c r="Q2317">
        <v>0</v>
      </c>
      <c r="R2317">
        <v>464</v>
      </c>
      <c r="S2317">
        <v>6</v>
      </c>
      <c r="T2317">
        <v>3664</v>
      </c>
      <c r="U2317">
        <v>29</v>
      </c>
      <c r="V2317">
        <v>0</v>
      </c>
      <c r="W2317">
        <v>2762</v>
      </c>
      <c r="X2317">
        <f>NHS_AE_2024_2025[[#This Row],[A&amp;E attendances Type 1]]+
NHS_AE_2024_2025[[#This Row],[A&amp;E attendances Type 2]]+
NHS_AE_2024_2025[[#This Row],[A&amp;E attendances Other A&amp;E Department]]</f>
        <v>18711</v>
      </c>
      <c r="Y2317">
        <f t="shared" si="72"/>
        <v>4894</v>
      </c>
      <c r="Z2317">
        <f t="shared" si="73"/>
        <v>6455</v>
      </c>
    </row>
    <row r="2318" spans="1:26" x14ac:dyDescent="0.2">
      <c r="A2318" t="s">
        <v>458</v>
      </c>
      <c r="B2318" t="s">
        <v>459</v>
      </c>
      <c r="C2318" t="s">
        <v>334</v>
      </c>
      <c r="D2318" t="s">
        <v>26</v>
      </c>
      <c r="E2318" t="s">
        <v>335</v>
      </c>
      <c r="F2318">
        <v>12384</v>
      </c>
      <c r="G2318">
        <v>0</v>
      </c>
      <c r="H2318">
        <v>0</v>
      </c>
      <c r="I2318">
        <v>164</v>
      </c>
      <c r="J2318">
        <v>0</v>
      </c>
      <c r="K2318">
        <v>0</v>
      </c>
      <c r="L2318">
        <v>4818</v>
      </c>
      <c r="M2318">
        <v>0</v>
      </c>
      <c r="N2318">
        <v>0</v>
      </c>
      <c r="O2318">
        <v>45</v>
      </c>
      <c r="P2318">
        <v>0</v>
      </c>
      <c r="Q2318">
        <v>0</v>
      </c>
      <c r="R2318">
        <v>429</v>
      </c>
      <c r="S2318">
        <v>407</v>
      </c>
      <c r="T2318">
        <v>2604</v>
      </c>
      <c r="U2318">
        <v>0</v>
      </c>
      <c r="V2318">
        <v>0</v>
      </c>
      <c r="W2318">
        <v>1979</v>
      </c>
      <c r="X2318">
        <f>NHS_AE_2024_2025[[#This Row],[A&amp;E attendances Type 1]]+
NHS_AE_2024_2025[[#This Row],[A&amp;E attendances Type 2]]+
NHS_AE_2024_2025[[#This Row],[A&amp;E attendances Other A&amp;E Department]]</f>
        <v>12384</v>
      </c>
      <c r="Y2318">
        <f t="shared" si="72"/>
        <v>4818</v>
      </c>
      <c r="Z2318">
        <f t="shared" si="73"/>
        <v>4583</v>
      </c>
    </row>
    <row r="2319" spans="1:26" x14ac:dyDescent="0.2">
      <c r="A2319" t="s">
        <v>458</v>
      </c>
      <c r="B2319" t="s">
        <v>459</v>
      </c>
      <c r="C2319" t="s">
        <v>336</v>
      </c>
      <c r="D2319" t="s">
        <v>50</v>
      </c>
      <c r="E2319" t="s">
        <v>337</v>
      </c>
      <c r="F2319">
        <v>9435</v>
      </c>
      <c r="G2319">
        <v>0</v>
      </c>
      <c r="H2319">
        <v>12298</v>
      </c>
      <c r="I2319">
        <v>0</v>
      </c>
      <c r="J2319">
        <v>0</v>
      </c>
      <c r="K2319">
        <v>0</v>
      </c>
      <c r="L2319">
        <v>2373</v>
      </c>
      <c r="M2319">
        <v>0</v>
      </c>
      <c r="N2319">
        <v>8</v>
      </c>
      <c r="O2319">
        <v>0</v>
      </c>
      <c r="P2319">
        <v>0</v>
      </c>
      <c r="Q2319">
        <v>0</v>
      </c>
      <c r="R2319">
        <v>56</v>
      </c>
      <c r="S2319">
        <v>0</v>
      </c>
      <c r="T2319">
        <v>3888</v>
      </c>
      <c r="U2319">
        <v>0</v>
      </c>
      <c r="V2319">
        <v>65</v>
      </c>
      <c r="W2319">
        <v>450</v>
      </c>
      <c r="X2319">
        <f>NHS_AE_2024_2025[[#This Row],[A&amp;E attendances Type 1]]+
NHS_AE_2024_2025[[#This Row],[A&amp;E attendances Type 2]]+
NHS_AE_2024_2025[[#This Row],[A&amp;E attendances Other A&amp;E Department]]</f>
        <v>21733</v>
      </c>
      <c r="Y2319">
        <f t="shared" si="72"/>
        <v>2381</v>
      </c>
      <c r="Z2319">
        <f t="shared" si="73"/>
        <v>4403</v>
      </c>
    </row>
    <row r="2320" spans="1:26" x14ac:dyDescent="0.2">
      <c r="A2320" t="s">
        <v>458</v>
      </c>
      <c r="B2320" t="s">
        <v>459</v>
      </c>
      <c r="C2320" t="s">
        <v>338</v>
      </c>
      <c r="D2320" t="s">
        <v>50</v>
      </c>
      <c r="E2320" t="s">
        <v>339</v>
      </c>
      <c r="F2320">
        <v>7368</v>
      </c>
      <c r="G2320">
        <v>0</v>
      </c>
      <c r="H2320">
        <v>8782</v>
      </c>
      <c r="I2320">
        <v>0</v>
      </c>
      <c r="J2320">
        <v>0</v>
      </c>
      <c r="K2320">
        <v>1380</v>
      </c>
      <c r="L2320">
        <v>3528</v>
      </c>
      <c r="M2320">
        <v>0</v>
      </c>
      <c r="N2320">
        <v>417</v>
      </c>
      <c r="O2320">
        <v>0</v>
      </c>
      <c r="P2320">
        <v>0</v>
      </c>
      <c r="Q2320">
        <v>37</v>
      </c>
      <c r="R2320">
        <v>189</v>
      </c>
      <c r="S2320">
        <v>2</v>
      </c>
      <c r="T2320">
        <v>2592</v>
      </c>
      <c r="U2320">
        <v>0</v>
      </c>
      <c r="V2320">
        <v>106</v>
      </c>
      <c r="W2320">
        <v>2185</v>
      </c>
      <c r="X2320">
        <f>NHS_AE_2024_2025[[#This Row],[A&amp;E attendances Type 1]]+
NHS_AE_2024_2025[[#This Row],[A&amp;E attendances Type 2]]+
NHS_AE_2024_2025[[#This Row],[A&amp;E attendances Other A&amp;E Department]]</f>
        <v>16150</v>
      </c>
      <c r="Y2320">
        <f t="shared" si="72"/>
        <v>3945</v>
      </c>
      <c r="Z2320">
        <f t="shared" si="73"/>
        <v>4883</v>
      </c>
    </row>
    <row r="2321" spans="1:26" x14ac:dyDescent="0.2">
      <c r="A2321" t="s">
        <v>458</v>
      </c>
      <c r="B2321" t="s">
        <v>459</v>
      </c>
      <c r="C2321" t="s">
        <v>376</v>
      </c>
      <c r="D2321" t="s">
        <v>55</v>
      </c>
      <c r="E2321" t="s">
        <v>377</v>
      </c>
      <c r="F2321">
        <v>8817</v>
      </c>
      <c r="G2321">
        <v>0</v>
      </c>
      <c r="H2321">
        <v>3284</v>
      </c>
      <c r="I2321">
        <v>120</v>
      </c>
      <c r="J2321">
        <v>0</v>
      </c>
      <c r="K2321">
        <v>589</v>
      </c>
      <c r="L2321">
        <v>2876</v>
      </c>
      <c r="M2321">
        <v>0</v>
      </c>
      <c r="N2321">
        <v>69</v>
      </c>
      <c r="O2321">
        <v>12</v>
      </c>
      <c r="P2321">
        <v>0</v>
      </c>
      <c r="Q2321">
        <v>49</v>
      </c>
      <c r="R2321">
        <v>605</v>
      </c>
      <c r="S2321">
        <v>330</v>
      </c>
      <c r="T2321">
        <v>3135</v>
      </c>
      <c r="U2321">
        <v>0</v>
      </c>
      <c r="V2321">
        <v>18</v>
      </c>
      <c r="W2321">
        <v>881</v>
      </c>
      <c r="X2321">
        <f>NHS_AE_2024_2025[[#This Row],[A&amp;E attendances Type 1]]+
NHS_AE_2024_2025[[#This Row],[A&amp;E attendances Type 2]]+
NHS_AE_2024_2025[[#This Row],[A&amp;E attendances Other A&amp;E Department]]</f>
        <v>12101</v>
      </c>
      <c r="Y2321">
        <f t="shared" si="72"/>
        <v>2945</v>
      </c>
      <c r="Z2321">
        <f t="shared" si="73"/>
        <v>4034</v>
      </c>
    </row>
    <row r="2322" spans="1:26" x14ac:dyDescent="0.2">
      <c r="A2322" t="s">
        <v>458</v>
      </c>
      <c r="B2322" t="s">
        <v>459</v>
      </c>
      <c r="C2322" t="s">
        <v>166</v>
      </c>
      <c r="D2322" t="s">
        <v>50</v>
      </c>
      <c r="E2322" t="s">
        <v>167</v>
      </c>
      <c r="F2322">
        <v>0</v>
      </c>
      <c r="G2322">
        <v>0</v>
      </c>
      <c r="H2322">
        <v>1003</v>
      </c>
      <c r="I2322">
        <v>0</v>
      </c>
      <c r="J2322">
        <v>0</v>
      </c>
      <c r="K2322">
        <v>50</v>
      </c>
      <c r="L2322">
        <v>0</v>
      </c>
      <c r="M2322">
        <v>0</v>
      </c>
      <c r="N2322">
        <v>8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f>NHS_AE_2024_2025[[#This Row],[A&amp;E attendances Type 1]]+
NHS_AE_2024_2025[[#This Row],[A&amp;E attendances Type 2]]+
NHS_AE_2024_2025[[#This Row],[A&amp;E attendances Other A&amp;E Department]]</f>
        <v>1003</v>
      </c>
      <c r="Y2322">
        <f t="shared" si="72"/>
        <v>8</v>
      </c>
      <c r="Z2322">
        <f t="shared" si="73"/>
        <v>0</v>
      </c>
    </row>
    <row r="2323" spans="1:26" x14ac:dyDescent="0.2">
      <c r="A2323" t="s">
        <v>458</v>
      </c>
      <c r="B2323" t="s">
        <v>459</v>
      </c>
      <c r="C2323" t="s">
        <v>342</v>
      </c>
      <c r="D2323" t="s">
        <v>37</v>
      </c>
      <c r="E2323" t="s">
        <v>343</v>
      </c>
      <c r="F2323">
        <v>12772</v>
      </c>
      <c r="G2323">
        <v>0</v>
      </c>
      <c r="H2323">
        <v>12158</v>
      </c>
      <c r="I2323">
        <v>0</v>
      </c>
      <c r="J2323">
        <v>0</v>
      </c>
      <c r="K2323">
        <v>0</v>
      </c>
      <c r="L2323">
        <v>5551</v>
      </c>
      <c r="M2323">
        <v>0</v>
      </c>
      <c r="N2323">
        <v>245</v>
      </c>
      <c r="O2323">
        <v>0</v>
      </c>
      <c r="P2323">
        <v>0</v>
      </c>
      <c r="Q2323">
        <v>0</v>
      </c>
      <c r="R2323">
        <v>476</v>
      </c>
      <c r="S2323">
        <v>1017</v>
      </c>
      <c r="T2323">
        <v>2979</v>
      </c>
      <c r="U2323">
        <v>0</v>
      </c>
      <c r="V2323">
        <v>642</v>
      </c>
      <c r="W2323">
        <v>405</v>
      </c>
      <c r="X2323">
        <f>NHS_AE_2024_2025[[#This Row],[A&amp;E attendances Type 1]]+
NHS_AE_2024_2025[[#This Row],[A&amp;E attendances Type 2]]+
NHS_AE_2024_2025[[#This Row],[A&amp;E attendances Other A&amp;E Department]]</f>
        <v>24930</v>
      </c>
      <c r="Y2323">
        <f t="shared" si="72"/>
        <v>5796</v>
      </c>
      <c r="Z2323">
        <f t="shared" si="73"/>
        <v>4026</v>
      </c>
    </row>
    <row r="2324" spans="1:26" x14ac:dyDescent="0.2">
      <c r="A2324" t="s">
        <v>458</v>
      </c>
      <c r="B2324" t="s">
        <v>459</v>
      </c>
      <c r="C2324" t="s">
        <v>116</v>
      </c>
      <c r="D2324" t="s">
        <v>55</v>
      </c>
      <c r="E2324" t="s">
        <v>117</v>
      </c>
      <c r="F2324">
        <v>0</v>
      </c>
      <c r="G2324">
        <v>0</v>
      </c>
      <c r="H2324">
        <v>12055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222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55</v>
      </c>
      <c r="X2324">
        <f>NHS_AE_2024_2025[[#This Row],[A&amp;E attendances Type 1]]+
NHS_AE_2024_2025[[#This Row],[A&amp;E attendances Type 2]]+
NHS_AE_2024_2025[[#This Row],[A&amp;E attendances Other A&amp;E Department]]</f>
        <v>12055</v>
      </c>
      <c r="Y2324">
        <f t="shared" si="72"/>
        <v>222</v>
      </c>
      <c r="Z2324">
        <f t="shared" si="73"/>
        <v>55</v>
      </c>
    </row>
    <row r="2325" spans="1:26" x14ac:dyDescent="0.2">
      <c r="A2325" t="s">
        <v>458</v>
      </c>
      <c r="B2325" t="s">
        <v>459</v>
      </c>
      <c r="C2325" t="s">
        <v>266</v>
      </c>
      <c r="D2325" t="s">
        <v>32</v>
      </c>
      <c r="E2325" t="s">
        <v>267</v>
      </c>
      <c r="F2325">
        <v>21307</v>
      </c>
      <c r="G2325">
        <v>1896</v>
      </c>
      <c r="H2325">
        <v>0</v>
      </c>
      <c r="I2325">
        <v>0</v>
      </c>
      <c r="J2325">
        <v>0</v>
      </c>
      <c r="K2325">
        <v>0</v>
      </c>
      <c r="L2325">
        <v>9350</v>
      </c>
      <c r="M2325">
        <v>184</v>
      </c>
      <c r="N2325">
        <v>0</v>
      </c>
      <c r="O2325">
        <v>0</v>
      </c>
      <c r="P2325">
        <v>0</v>
      </c>
      <c r="Q2325">
        <v>0</v>
      </c>
      <c r="R2325">
        <v>1414</v>
      </c>
      <c r="S2325">
        <v>840</v>
      </c>
      <c r="T2325">
        <v>5964</v>
      </c>
      <c r="U2325">
        <v>3</v>
      </c>
      <c r="V2325">
        <v>0</v>
      </c>
      <c r="W2325">
        <v>3345</v>
      </c>
      <c r="X2325">
        <f>NHS_AE_2024_2025[[#This Row],[A&amp;E attendances Type 1]]+
NHS_AE_2024_2025[[#This Row],[A&amp;E attendances Type 2]]+
NHS_AE_2024_2025[[#This Row],[A&amp;E attendances Other A&amp;E Department]]</f>
        <v>23203</v>
      </c>
      <c r="Y2325">
        <f t="shared" si="72"/>
        <v>9534</v>
      </c>
      <c r="Z2325">
        <f t="shared" si="73"/>
        <v>9312</v>
      </c>
    </row>
    <row r="2326" spans="1:26" x14ac:dyDescent="0.2">
      <c r="A2326" t="s">
        <v>458</v>
      </c>
      <c r="B2326" t="s">
        <v>459</v>
      </c>
      <c r="C2326" t="s">
        <v>346</v>
      </c>
      <c r="D2326" t="s">
        <v>70</v>
      </c>
      <c r="E2326" t="s">
        <v>347</v>
      </c>
      <c r="F2326">
        <v>8558</v>
      </c>
      <c r="G2326">
        <v>0</v>
      </c>
      <c r="H2326">
        <v>7319</v>
      </c>
      <c r="I2326">
        <v>0</v>
      </c>
      <c r="J2326">
        <v>0</v>
      </c>
      <c r="K2326">
        <v>0</v>
      </c>
      <c r="L2326">
        <v>4139</v>
      </c>
      <c r="M2326">
        <v>0</v>
      </c>
      <c r="N2326">
        <v>69</v>
      </c>
      <c r="O2326">
        <v>0</v>
      </c>
      <c r="P2326">
        <v>0</v>
      </c>
      <c r="Q2326">
        <v>0</v>
      </c>
      <c r="R2326">
        <v>189</v>
      </c>
      <c r="S2326">
        <v>16</v>
      </c>
      <c r="T2326">
        <v>3375</v>
      </c>
      <c r="U2326">
        <v>0</v>
      </c>
      <c r="V2326">
        <v>86</v>
      </c>
      <c r="W2326">
        <v>288</v>
      </c>
      <c r="X2326">
        <f>NHS_AE_2024_2025[[#This Row],[A&amp;E attendances Type 1]]+
NHS_AE_2024_2025[[#This Row],[A&amp;E attendances Type 2]]+
NHS_AE_2024_2025[[#This Row],[A&amp;E attendances Other A&amp;E Department]]</f>
        <v>15877</v>
      </c>
      <c r="Y2326">
        <f t="shared" si="72"/>
        <v>4208</v>
      </c>
      <c r="Z2326">
        <f t="shared" si="73"/>
        <v>3749</v>
      </c>
    </row>
    <row r="2327" spans="1:26" x14ac:dyDescent="0.2">
      <c r="A2327" t="s">
        <v>458</v>
      </c>
      <c r="B2327" t="s">
        <v>459</v>
      </c>
      <c r="C2327" t="s">
        <v>348</v>
      </c>
      <c r="D2327" t="s">
        <v>55</v>
      </c>
      <c r="E2327" t="s">
        <v>349</v>
      </c>
      <c r="F2327">
        <v>7871</v>
      </c>
      <c r="G2327">
        <v>0</v>
      </c>
      <c r="H2327">
        <v>972</v>
      </c>
      <c r="I2327">
        <v>129</v>
      </c>
      <c r="J2327">
        <v>0</v>
      </c>
      <c r="K2327">
        <v>26</v>
      </c>
      <c r="L2327">
        <v>3509</v>
      </c>
      <c r="M2327">
        <v>0</v>
      </c>
      <c r="N2327">
        <v>29</v>
      </c>
      <c r="O2327">
        <v>59</v>
      </c>
      <c r="P2327">
        <v>0</v>
      </c>
      <c r="Q2327">
        <v>2</v>
      </c>
      <c r="R2327">
        <v>781</v>
      </c>
      <c r="S2327">
        <v>193</v>
      </c>
      <c r="T2327">
        <v>2571</v>
      </c>
      <c r="U2327">
        <v>0</v>
      </c>
      <c r="V2327">
        <v>65</v>
      </c>
      <c r="W2327">
        <v>783</v>
      </c>
      <c r="X2327">
        <f>NHS_AE_2024_2025[[#This Row],[A&amp;E attendances Type 1]]+
NHS_AE_2024_2025[[#This Row],[A&amp;E attendances Type 2]]+
NHS_AE_2024_2025[[#This Row],[A&amp;E attendances Other A&amp;E Department]]</f>
        <v>8843</v>
      </c>
      <c r="Y2327">
        <f t="shared" si="72"/>
        <v>3538</v>
      </c>
      <c r="Z2327">
        <f t="shared" si="73"/>
        <v>3419</v>
      </c>
    </row>
    <row r="2328" spans="1:26" x14ac:dyDescent="0.2">
      <c r="A2328" t="s">
        <v>458</v>
      </c>
      <c r="B2328" t="s">
        <v>459</v>
      </c>
      <c r="C2328" t="s">
        <v>180</v>
      </c>
      <c r="D2328" t="s">
        <v>26</v>
      </c>
      <c r="E2328" t="s">
        <v>181</v>
      </c>
      <c r="F2328">
        <v>0</v>
      </c>
      <c r="G2328">
        <v>0</v>
      </c>
      <c r="H2328">
        <v>1656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117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f>NHS_AE_2024_2025[[#This Row],[A&amp;E attendances Type 1]]+
NHS_AE_2024_2025[[#This Row],[A&amp;E attendances Type 2]]+
NHS_AE_2024_2025[[#This Row],[A&amp;E attendances Other A&amp;E Department]]</f>
        <v>1656</v>
      </c>
      <c r="Y2328">
        <f t="shared" si="72"/>
        <v>117</v>
      </c>
      <c r="Z2328">
        <f t="shared" si="73"/>
        <v>0</v>
      </c>
    </row>
    <row r="2329" spans="1:26" x14ac:dyDescent="0.2">
      <c r="A2329" t="s">
        <v>458</v>
      </c>
      <c r="B2329" t="s">
        <v>459</v>
      </c>
      <c r="C2329" t="s">
        <v>67</v>
      </c>
      <c r="D2329" t="s">
        <v>29</v>
      </c>
      <c r="E2329" t="s">
        <v>68</v>
      </c>
      <c r="F2329">
        <v>0</v>
      </c>
      <c r="G2329">
        <v>0</v>
      </c>
      <c r="H2329">
        <v>1042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f>NHS_AE_2024_2025[[#This Row],[A&amp;E attendances Type 1]]+
NHS_AE_2024_2025[[#This Row],[A&amp;E attendances Type 2]]+
NHS_AE_2024_2025[[#This Row],[A&amp;E attendances Other A&amp;E Department]]</f>
        <v>1042</v>
      </c>
      <c r="Y2329">
        <f t="shared" si="72"/>
        <v>0</v>
      </c>
      <c r="Z2329">
        <f t="shared" si="73"/>
        <v>0</v>
      </c>
    </row>
    <row r="2330" spans="1:26" x14ac:dyDescent="0.2">
      <c r="A2330" t="s">
        <v>458</v>
      </c>
      <c r="B2330" t="s">
        <v>459</v>
      </c>
      <c r="C2330" t="s">
        <v>286</v>
      </c>
      <c r="D2330" t="s">
        <v>37</v>
      </c>
      <c r="E2330" t="s">
        <v>287</v>
      </c>
      <c r="F2330">
        <v>3961</v>
      </c>
      <c r="G2330">
        <v>256</v>
      </c>
      <c r="H2330">
        <v>1692</v>
      </c>
      <c r="I2330">
        <v>22</v>
      </c>
      <c r="J2330">
        <v>0</v>
      </c>
      <c r="K2330">
        <v>14</v>
      </c>
      <c r="L2330">
        <v>1855</v>
      </c>
      <c r="M2330">
        <v>0</v>
      </c>
      <c r="N2330">
        <v>0</v>
      </c>
      <c r="O2330">
        <v>7</v>
      </c>
      <c r="P2330">
        <v>0</v>
      </c>
      <c r="Q2330">
        <v>0</v>
      </c>
      <c r="R2330">
        <v>267</v>
      </c>
      <c r="S2330">
        <v>79</v>
      </c>
      <c r="T2330">
        <v>1071</v>
      </c>
      <c r="U2330">
        <v>0</v>
      </c>
      <c r="V2330">
        <v>0</v>
      </c>
      <c r="W2330">
        <v>306</v>
      </c>
      <c r="X2330">
        <f>NHS_AE_2024_2025[[#This Row],[A&amp;E attendances Type 1]]+
NHS_AE_2024_2025[[#This Row],[A&amp;E attendances Type 2]]+
NHS_AE_2024_2025[[#This Row],[A&amp;E attendances Other A&amp;E Department]]</f>
        <v>5909</v>
      </c>
      <c r="Y2330">
        <f t="shared" si="72"/>
        <v>1855</v>
      </c>
      <c r="Z2330">
        <f t="shared" si="73"/>
        <v>1377</v>
      </c>
    </row>
    <row r="2331" spans="1:26" x14ac:dyDescent="0.2">
      <c r="A2331" t="s">
        <v>458</v>
      </c>
      <c r="B2331" t="s">
        <v>459</v>
      </c>
      <c r="C2331" t="s">
        <v>224</v>
      </c>
      <c r="D2331" t="s">
        <v>29</v>
      </c>
      <c r="E2331" t="s">
        <v>225</v>
      </c>
      <c r="F2331">
        <v>24191</v>
      </c>
      <c r="G2331">
        <v>947</v>
      </c>
      <c r="H2331">
        <v>16122</v>
      </c>
      <c r="I2331">
        <v>0</v>
      </c>
      <c r="J2331">
        <v>0</v>
      </c>
      <c r="K2331">
        <v>0</v>
      </c>
      <c r="L2331">
        <v>11058</v>
      </c>
      <c r="M2331">
        <v>36</v>
      </c>
      <c r="N2331">
        <v>1303</v>
      </c>
      <c r="O2331">
        <v>0</v>
      </c>
      <c r="P2331">
        <v>0</v>
      </c>
      <c r="Q2331">
        <v>0</v>
      </c>
      <c r="R2331">
        <v>1135</v>
      </c>
      <c r="S2331">
        <v>885</v>
      </c>
      <c r="T2331">
        <v>4808</v>
      </c>
      <c r="U2331">
        <v>0</v>
      </c>
      <c r="V2331">
        <v>0</v>
      </c>
      <c r="W2331">
        <v>225</v>
      </c>
      <c r="X2331">
        <f>NHS_AE_2024_2025[[#This Row],[A&amp;E attendances Type 1]]+
NHS_AE_2024_2025[[#This Row],[A&amp;E attendances Type 2]]+
NHS_AE_2024_2025[[#This Row],[A&amp;E attendances Other A&amp;E Department]]</f>
        <v>41260</v>
      </c>
      <c r="Y2331">
        <f t="shared" si="72"/>
        <v>12397</v>
      </c>
      <c r="Z2331">
        <f t="shared" si="73"/>
        <v>5033</v>
      </c>
    </row>
    <row r="2332" spans="1:26" x14ac:dyDescent="0.2">
      <c r="A2332" t="s">
        <v>458</v>
      </c>
      <c r="B2332" t="s">
        <v>459</v>
      </c>
      <c r="C2332" t="s">
        <v>236</v>
      </c>
      <c r="D2332" t="s">
        <v>32</v>
      </c>
      <c r="E2332" t="s">
        <v>237</v>
      </c>
      <c r="F2332">
        <v>8721</v>
      </c>
      <c r="G2332">
        <v>0</v>
      </c>
      <c r="H2332">
        <v>3900</v>
      </c>
      <c r="I2332">
        <v>15</v>
      </c>
      <c r="J2332">
        <v>0</v>
      </c>
      <c r="K2332">
        <v>144</v>
      </c>
      <c r="L2332">
        <v>2968</v>
      </c>
      <c r="M2332">
        <v>0</v>
      </c>
      <c r="N2332">
        <v>64</v>
      </c>
      <c r="O2332">
        <v>8</v>
      </c>
      <c r="P2332">
        <v>0</v>
      </c>
      <c r="Q2332">
        <v>0</v>
      </c>
      <c r="R2332">
        <v>1009</v>
      </c>
      <c r="S2332">
        <v>69</v>
      </c>
      <c r="T2332">
        <v>3665</v>
      </c>
      <c r="U2332">
        <v>0</v>
      </c>
      <c r="V2332">
        <v>0</v>
      </c>
      <c r="W2332">
        <v>668</v>
      </c>
      <c r="X2332">
        <f>NHS_AE_2024_2025[[#This Row],[A&amp;E attendances Type 1]]+
NHS_AE_2024_2025[[#This Row],[A&amp;E attendances Type 2]]+
NHS_AE_2024_2025[[#This Row],[A&amp;E attendances Other A&amp;E Department]]</f>
        <v>12621</v>
      </c>
      <c r="Y2332">
        <f t="shared" si="72"/>
        <v>3032</v>
      </c>
      <c r="Z2332">
        <f t="shared" si="73"/>
        <v>4333</v>
      </c>
    </row>
    <row r="2333" spans="1:26" x14ac:dyDescent="0.2">
      <c r="A2333" t="s">
        <v>458</v>
      </c>
      <c r="B2333" t="s">
        <v>459</v>
      </c>
      <c r="C2333" t="s">
        <v>292</v>
      </c>
      <c r="D2333" t="s">
        <v>55</v>
      </c>
      <c r="E2333" t="s">
        <v>293</v>
      </c>
      <c r="F2333">
        <v>6969</v>
      </c>
      <c r="G2333">
        <v>0</v>
      </c>
      <c r="H2333">
        <v>2778</v>
      </c>
      <c r="I2333">
        <v>3</v>
      </c>
      <c r="J2333">
        <v>0</v>
      </c>
      <c r="K2333">
        <v>42</v>
      </c>
      <c r="L2333">
        <v>3843</v>
      </c>
      <c r="M2333">
        <v>0</v>
      </c>
      <c r="N2333">
        <v>35</v>
      </c>
      <c r="O2333">
        <v>3</v>
      </c>
      <c r="P2333">
        <v>0</v>
      </c>
      <c r="Q2333">
        <v>0</v>
      </c>
      <c r="R2333">
        <v>536</v>
      </c>
      <c r="S2333">
        <v>654</v>
      </c>
      <c r="T2333">
        <v>2229</v>
      </c>
      <c r="U2333">
        <v>0</v>
      </c>
      <c r="V2333">
        <v>0</v>
      </c>
      <c r="W2333">
        <v>1033</v>
      </c>
      <c r="X2333">
        <f>NHS_AE_2024_2025[[#This Row],[A&amp;E attendances Type 1]]+
NHS_AE_2024_2025[[#This Row],[A&amp;E attendances Type 2]]+
NHS_AE_2024_2025[[#This Row],[A&amp;E attendances Other A&amp;E Department]]</f>
        <v>9747</v>
      </c>
      <c r="Y2333">
        <f t="shared" si="72"/>
        <v>3878</v>
      </c>
      <c r="Z2333">
        <f t="shared" si="73"/>
        <v>3262</v>
      </c>
    </row>
    <row r="2334" spans="1:26" x14ac:dyDescent="0.2">
      <c r="A2334" t="s">
        <v>458</v>
      </c>
      <c r="B2334" t="s">
        <v>459</v>
      </c>
      <c r="C2334" t="s">
        <v>296</v>
      </c>
      <c r="D2334" t="s">
        <v>70</v>
      </c>
      <c r="E2334" t="s">
        <v>297</v>
      </c>
      <c r="F2334">
        <v>14079</v>
      </c>
      <c r="G2334">
        <v>0</v>
      </c>
      <c r="H2334">
        <v>11878</v>
      </c>
      <c r="I2334">
        <v>700</v>
      </c>
      <c r="J2334">
        <v>0</v>
      </c>
      <c r="K2334">
        <v>252</v>
      </c>
      <c r="L2334">
        <v>7049</v>
      </c>
      <c r="M2334">
        <v>0</v>
      </c>
      <c r="N2334">
        <v>272</v>
      </c>
      <c r="O2334">
        <v>0</v>
      </c>
      <c r="P2334">
        <v>0</v>
      </c>
      <c r="Q2334">
        <v>0</v>
      </c>
      <c r="R2334">
        <v>1135</v>
      </c>
      <c r="S2334">
        <v>367</v>
      </c>
      <c r="T2334">
        <v>6030</v>
      </c>
      <c r="U2334">
        <v>0</v>
      </c>
      <c r="V2334">
        <v>411</v>
      </c>
      <c r="W2334">
        <v>977</v>
      </c>
      <c r="X2334">
        <f>NHS_AE_2024_2025[[#This Row],[A&amp;E attendances Type 1]]+
NHS_AE_2024_2025[[#This Row],[A&amp;E attendances Type 2]]+
NHS_AE_2024_2025[[#This Row],[A&amp;E attendances Other A&amp;E Department]]</f>
        <v>25957</v>
      </c>
      <c r="Y2334">
        <f t="shared" si="72"/>
        <v>7321</v>
      </c>
      <c r="Z2334">
        <f t="shared" si="73"/>
        <v>7418</v>
      </c>
    </row>
    <row r="2335" spans="1:26" x14ac:dyDescent="0.2">
      <c r="A2335" t="s">
        <v>458</v>
      </c>
      <c r="B2335" t="s">
        <v>459</v>
      </c>
      <c r="C2335" t="s">
        <v>364</v>
      </c>
      <c r="D2335" t="s">
        <v>37</v>
      </c>
      <c r="E2335" t="s">
        <v>365</v>
      </c>
      <c r="F2335">
        <v>0</v>
      </c>
      <c r="G2335">
        <v>0</v>
      </c>
      <c r="H2335">
        <v>11533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47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f>NHS_AE_2024_2025[[#This Row],[A&amp;E attendances Type 1]]+
NHS_AE_2024_2025[[#This Row],[A&amp;E attendances Type 2]]+
NHS_AE_2024_2025[[#This Row],[A&amp;E attendances Other A&amp;E Department]]</f>
        <v>11533</v>
      </c>
      <c r="Y2335">
        <f t="shared" si="72"/>
        <v>47</v>
      </c>
      <c r="Z2335">
        <f t="shared" si="73"/>
        <v>1</v>
      </c>
    </row>
    <row r="2336" spans="1:26" x14ac:dyDescent="0.2">
      <c r="A2336" t="s">
        <v>458</v>
      </c>
      <c r="B2336" t="s">
        <v>459</v>
      </c>
      <c r="C2336" t="s">
        <v>382</v>
      </c>
      <c r="D2336" t="s">
        <v>26</v>
      </c>
      <c r="E2336" t="s">
        <v>383</v>
      </c>
      <c r="F2336">
        <v>12678</v>
      </c>
      <c r="G2336">
        <v>0</v>
      </c>
      <c r="H2336">
        <v>9108</v>
      </c>
      <c r="I2336">
        <v>0</v>
      </c>
      <c r="J2336">
        <v>0</v>
      </c>
      <c r="K2336">
        <v>1</v>
      </c>
      <c r="L2336">
        <v>5198</v>
      </c>
      <c r="M2336">
        <v>0</v>
      </c>
      <c r="N2336">
        <v>198</v>
      </c>
      <c r="O2336">
        <v>0</v>
      </c>
      <c r="P2336">
        <v>0</v>
      </c>
      <c r="Q2336">
        <v>0</v>
      </c>
      <c r="R2336">
        <v>417</v>
      </c>
      <c r="S2336">
        <v>53</v>
      </c>
      <c r="T2336">
        <v>2057</v>
      </c>
      <c r="U2336">
        <v>0</v>
      </c>
      <c r="V2336">
        <v>0</v>
      </c>
      <c r="W2336">
        <v>2955</v>
      </c>
      <c r="X2336">
        <f>NHS_AE_2024_2025[[#This Row],[A&amp;E attendances Type 1]]+
NHS_AE_2024_2025[[#This Row],[A&amp;E attendances Type 2]]+
NHS_AE_2024_2025[[#This Row],[A&amp;E attendances Other A&amp;E Department]]</f>
        <v>21786</v>
      </c>
      <c r="Y2336">
        <f t="shared" si="72"/>
        <v>5396</v>
      </c>
      <c r="Z2336">
        <f t="shared" si="73"/>
        <v>5012</v>
      </c>
    </row>
    <row r="2337" spans="1:26" x14ac:dyDescent="0.2">
      <c r="A2337" t="s">
        <v>458</v>
      </c>
      <c r="B2337" t="s">
        <v>459</v>
      </c>
      <c r="C2337" t="s">
        <v>300</v>
      </c>
      <c r="D2337" t="s">
        <v>37</v>
      </c>
      <c r="E2337" t="s">
        <v>301</v>
      </c>
      <c r="F2337">
        <v>11349</v>
      </c>
      <c r="G2337">
        <v>1235</v>
      </c>
      <c r="H2337">
        <v>0</v>
      </c>
      <c r="I2337">
        <v>238</v>
      </c>
      <c r="J2337">
        <v>0</v>
      </c>
      <c r="K2337">
        <v>0</v>
      </c>
      <c r="L2337">
        <v>3915</v>
      </c>
      <c r="M2337">
        <v>114</v>
      </c>
      <c r="N2337">
        <v>0</v>
      </c>
      <c r="O2337">
        <v>87</v>
      </c>
      <c r="P2337">
        <v>0</v>
      </c>
      <c r="Q2337">
        <v>0</v>
      </c>
      <c r="R2337">
        <v>354</v>
      </c>
      <c r="S2337">
        <v>11</v>
      </c>
      <c r="T2337">
        <v>3629</v>
      </c>
      <c r="U2337">
        <v>11</v>
      </c>
      <c r="V2337">
        <v>0</v>
      </c>
      <c r="W2337">
        <v>1467</v>
      </c>
      <c r="X2337">
        <f>NHS_AE_2024_2025[[#This Row],[A&amp;E attendances Type 1]]+
NHS_AE_2024_2025[[#This Row],[A&amp;E attendances Type 2]]+
NHS_AE_2024_2025[[#This Row],[A&amp;E attendances Other A&amp;E Department]]</f>
        <v>12584</v>
      </c>
      <c r="Y2337">
        <f t="shared" si="72"/>
        <v>4029</v>
      </c>
      <c r="Z2337">
        <f t="shared" si="73"/>
        <v>5107</v>
      </c>
    </row>
    <row r="2338" spans="1:26" x14ac:dyDescent="0.2">
      <c r="A2338" t="s">
        <v>458</v>
      </c>
      <c r="B2338" t="s">
        <v>459</v>
      </c>
      <c r="C2338" t="s">
        <v>368</v>
      </c>
      <c r="D2338" t="s">
        <v>50</v>
      </c>
      <c r="E2338" t="s">
        <v>369</v>
      </c>
      <c r="F2338">
        <v>8718</v>
      </c>
      <c r="G2338">
        <v>1120</v>
      </c>
      <c r="H2338">
        <v>6800</v>
      </c>
      <c r="I2338">
        <v>347</v>
      </c>
      <c r="J2338">
        <v>0</v>
      </c>
      <c r="K2338">
        <v>939</v>
      </c>
      <c r="L2338">
        <v>4519</v>
      </c>
      <c r="M2338">
        <v>0</v>
      </c>
      <c r="N2338">
        <v>83</v>
      </c>
      <c r="O2338">
        <v>158</v>
      </c>
      <c r="P2338">
        <v>0</v>
      </c>
      <c r="Q2338">
        <v>5</v>
      </c>
      <c r="R2338">
        <v>1171</v>
      </c>
      <c r="S2338">
        <v>10</v>
      </c>
      <c r="T2338">
        <v>3494</v>
      </c>
      <c r="U2338">
        <v>0</v>
      </c>
      <c r="V2338">
        <v>0</v>
      </c>
      <c r="W2338">
        <v>2881</v>
      </c>
      <c r="X2338">
        <f>NHS_AE_2024_2025[[#This Row],[A&amp;E attendances Type 1]]+
NHS_AE_2024_2025[[#This Row],[A&amp;E attendances Type 2]]+
NHS_AE_2024_2025[[#This Row],[A&amp;E attendances Other A&amp;E Department]]</f>
        <v>16638</v>
      </c>
      <c r="Y2338">
        <f t="shared" si="72"/>
        <v>4602</v>
      </c>
      <c r="Z2338">
        <f t="shared" si="73"/>
        <v>6375</v>
      </c>
    </row>
    <row r="2339" spans="1:26" x14ac:dyDescent="0.2">
      <c r="A2339" t="s">
        <v>458</v>
      </c>
      <c r="B2339" t="s">
        <v>459</v>
      </c>
      <c r="C2339" t="s">
        <v>302</v>
      </c>
      <c r="D2339" t="s">
        <v>29</v>
      </c>
      <c r="E2339" t="s">
        <v>303</v>
      </c>
      <c r="F2339">
        <v>10047</v>
      </c>
      <c r="G2339">
        <v>700</v>
      </c>
      <c r="H2339">
        <v>6464</v>
      </c>
      <c r="I2339">
        <v>0</v>
      </c>
      <c r="J2339">
        <v>0</v>
      </c>
      <c r="K2339">
        <v>0</v>
      </c>
      <c r="L2339">
        <v>4072</v>
      </c>
      <c r="M2339">
        <v>44</v>
      </c>
      <c r="N2339">
        <v>295</v>
      </c>
      <c r="O2339">
        <v>0</v>
      </c>
      <c r="P2339">
        <v>0</v>
      </c>
      <c r="Q2339">
        <v>0</v>
      </c>
      <c r="R2339">
        <v>117</v>
      </c>
      <c r="S2339">
        <v>87</v>
      </c>
      <c r="T2339">
        <v>2045</v>
      </c>
      <c r="U2339">
        <v>0</v>
      </c>
      <c r="V2339">
        <v>0</v>
      </c>
      <c r="W2339">
        <v>336</v>
      </c>
      <c r="X2339">
        <f>NHS_AE_2024_2025[[#This Row],[A&amp;E attendances Type 1]]+
NHS_AE_2024_2025[[#This Row],[A&amp;E attendances Type 2]]+
NHS_AE_2024_2025[[#This Row],[A&amp;E attendances Other A&amp;E Department]]</f>
        <v>17211</v>
      </c>
      <c r="Y2339">
        <f t="shared" si="72"/>
        <v>4411</v>
      </c>
      <c r="Z2339">
        <f t="shared" si="73"/>
        <v>2381</v>
      </c>
    </row>
    <row r="2340" spans="1:26" x14ac:dyDescent="0.2">
      <c r="A2340" t="s">
        <v>458</v>
      </c>
      <c r="B2340" t="s">
        <v>459</v>
      </c>
      <c r="C2340" t="s">
        <v>370</v>
      </c>
      <c r="D2340" t="s">
        <v>29</v>
      </c>
      <c r="E2340" t="s">
        <v>371</v>
      </c>
      <c r="F2340">
        <v>13964</v>
      </c>
      <c r="G2340">
        <v>0</v>
      </c>
      <c r="H2340">
        <v>10209</v>
      </c>
      <c r="I2340">
        <v>0</v>
      </c>
      <c r="J2340">
        <v>0</v>
      </c>
      <c r="K2340">
        <v>0</v>
      </c>
      <c r="L2340">
        <v>7327</v>
      </c>
      <c r="M2340">
        <v>0</v>
      </c>
      <c r="N2340">
        <v>1271</v>
      </c>
      <c r="O2340">
        <v>0</v>
      </c>
      <c r="P2340">
        <v>0</v>
      </c>
      <c r="Q2340">
        <v>0</v>
      </c>
      <c r="R2340">
        <v>1169</v>
      </c>
      <c r="S2340">
        <v>626</v>
      </c>
      <c r="T2340">
        <v>3958</v>
      </c>
      <c r="U2340">
        <v>0</v>
      </c>
      <c r="V2340">
        <v>0</v>
      </c>
      <c r="W2340">
        <v>1406</v>
      </c>
      <c r="X2340">
        <f>NHS_AE_2024_2025[[#This Row],[A&amp;E attendances Type 1]]+
NHS_AE_2024_2025[[#This Row],[A&amp;E attendances Type 2]]+
NHS_AE_2024_2025[[#This Row],[A&amp;E attendances Other A&amp;E Department]]</f>
        <v>24173</v>
      </c>
      <c r="Y2340">
        <f t="shared" si="72"/>
        <v>8598</v>
      </c>
      <c r="Z2340">
        <f t="shared" si="73"/>
        <v>5364</v>
      </c>
    </row>
    <row r="2341" spans="1:26" x14ac:dyDescent="0.2">
      <c r="A2341" t="s">
        <v>458</v>
      </c>
      <c r="B2341" t="s">
        <v>459</v>
      </c>
      <c r="C2341" t="s">
        <v>312</v>
      </c>
      <c r="D2341" t="s">
        <v>32</v>
      </c>
      <c r="E2341" t="s">
        <v>313</v>
      </c>
      <c r="F2341">
        <v>11329</v>
      </c>
      <c r="G2341">
        <v>811</v>
      </c>
      <c r="H2341">
        <v>5679</v>
      </c>
      <c r="I2341">
        <v>0</v>
      </c>
      <c r="J2341">
        <v>0</v>
      </c>
      <c r="K2341">
        <v>0</v>
      </c>
      <c r="L2341">
        <v>5607</v>
      </c>
      <c r="M2341">
        <v>125</v>
      </c>
      <c r="N2341">
        <v>239</v>
      </c>
      <c r="O2341">
        <v>0</v>
      </c>
      <c r="P2341">
        <v>0</v>
      </c>
      <c r="Q2341">
        <v>0</v>
      </c>
      <c r="R2341">
        <v>81</v>
      </c>
      <c r="S2341">
        <v>18</v>
      </c>
      <c r="T2341">
        <v>1684</v>
      </c>
      <c r="U2341">
        <v>37</v>
      </c>
      <c r="V2341">
        <v>151</v>
      </c>
      <c r="W2341">
        <v>475</v>
      </c>
      <c r="X2341">
        <f>NHS_AE_2024_2025[[#This Row],[A&amp;E attendances Type 1]]+
NHS_AE_2024_2025[[#This Row],[A&amp;E attendances Type 2]]+
NHS_AE_2024_2025[[#This Row],[A&amp;E attendances Other A&amp;E Department]]</f>
        <v>17819</v>
      </c>
      <c r="Y2341">
        <f t="shared" si="72"/>
        <v>5971</v>
      </c>
      <c r="Z2341">
        <f t="shared" si="73"/>
        <v>2347</v>
      </c>
    </row>
    <row r="2342" spans="1:26" x14ac:dyDescent="0.2">
      <c r="A2342" t="s">
        <v>458</v>
      </c>
      <c r="B2342" t="s">
        <v>459</v>
      </c>
      <c r="C2342" t="s">
        <v>372</v>
      </c>
      <c r="D2342" t="s">
        <v>29</v>
      </c>
      <c r="E2342" t="s">
        <v>373</v>
      </c>
      <c r="F2342">
        <v>8903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2474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253</v>
      </c>
      <c r="S2342">
        <v>164</v>
      </c>
      <c r="T2342">
        <v>1077</v>
      </c>
      <c r="U2342">
        <v>0</v>
      </c>
      <c r="V2342">
        <v>0</v>
      </c>
      <c r="W2342">
        <v>32</v>
      </c>
      <c r="X2342">
        <f>NHS_AE_2024_2025[[#This Row],[A&amp;E attendances Type 1]]+
NHS_AE_2024_2025[[#This Row],[A&amp;E attendances Type 2]]+
NHS_AE_2024_2025[[#This Row],[A&amp;E attendances Other A&amp;E Department]]</f>
        <v>8903</v>
      </c>
      <c r="Y2342">
        <f t="shared" si="72"/>
        <v>2474</v>
      </c>
      <c r="Z2342">
        <f t="shared" si="73"/>
        <v>1109</v>
      </c>
    </row>
    <row r="2343" spans="1:26" x14ac:dyDescent="0.2">
      <c r="A2343" t="s">
        <v>458</v>
      </c>
      <c r="B2343" t="s">
        <v>459</v>
      </c>
      <c r="C2343" t="s">
        <v>316</v>
      </c>
      <c r="D2343" t="s">
        <v>70</v>
      </c>
      <c r="E2343" t="s">
        <v>317</v>
      </c>
      <c r="F2343">
        <v>12146</v>
      </c>
      <c r="G2343">
        <v>0</v>
      </c>
      <c r="H2343">
        <v>8179</v>
      </c>
      <c r="I2343">
        <v>0</v>
      </c>
      <c r="J2343">
        <v>0</v>
      </c>
      <c r="K2343">
        <v>0</v>
      </c>
      <c r="L2343">
        <v>4168</v>
      </c>
      <c r="M2343">
        <v>0</v>
      </c>
      <c r="N2343">
        <v>3</v>
      </c>
      <c r="O2343">
        <v>0</v>
      </c>
      <c r="P2343">
        <v>0</v>
      </c>
      <c r="Q2343">
        <v>0</v>
      </c>
      <c r="R2343">
        <v>916</v>
      </c>
      <c r="S2343">
        <v>165</v>
      </c>
      <c r="T2343">
        <v>2659</v>
      </c>
      <c r="U2343">
        <v>0</v>
      </c>
      <c r="V2343">
        <v>0</v>
      </c>
      <c r="W2343">
        <v>1556</v>
      </c>
      <c r="X2343">
        <f>NHS_AE_2024_2025[[#This Row],[A&amp;E attendances Type 1]]+
NHS_AE_2024_2025[[#This Row],[A&amp;E attendances Type 2]]+
NHS_AE_2024_2025[[#This Row],[A&amp;E attendances Other A&amp;E Department]]</f>
        <v>20325</v>
      </c>
      <c r="Y2343">
        <f t="shared" si="72"/>
        <v>4171</v>
      </c>
      <c r="Z2343">
        <f t="shared" si="73"/>
        <v>4215</v>
      </c>
    </row>
    <row r="2344" spans="1:26" x14ac:dyDescent="0.2">
      <c r="A2344" t="s">
        <v>458</v>
      </c>
      <c r="B2344" t="s">
        <v>459</v>
      </c>
      <c r="C2344" t="s">
        <v>252</v>
      </c>
      <c r="D2344" t="s">
        <v>37</v>
      </c>
      <c r="E2344" t="s">
        <v>253</v>
      </c>
      <c r="F2344">
        <v>12291</v>
      </c>
      <c r="G2344">
        <v>103</v>
      </c>
      <c r="H2344">
        <v>529</v>
      </c>
      <c r="I2344">
        <v>0</v>
      </c>
      <c r="J2344">
        <v>0</v>
      </c>
      <c r="K2344">
        <v>157</v>
      </c>
      <c r="L2344">
        <v>4698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300</v>
      </c>
      <c r="S2344">
        <v>29</v>
      </c>
      <c r="T2344">
        <v>4231</v>
      </c>
      <c r="U2344">
        <v>7</v>
      </c>
      <c r="V2344">
        <v>0</v>
      </c>
      <c r="W2344">
        <v>1055</v>
      </c>
      <c r="X2344">
        <f>NHS_AE_2024_2025[[#This Row],[A&amp;E attendances Type 1]]+
NHS_AE_2024_2025[[#This Row],[A&amp;E attendances Type 2]]+
NHS_AE_2024_2025[[#This Row],[A&amp;E attendances Other A&amp;E Department]]</f>
        <v>12923</v>
      </c>
      <c r="Y2344">
        <f t="shared" si="72"/>
        <v>4698</v>
      </c>
      <c r="Z2344">
        <f t="shared" si="73"/>
        <v>5293</v>
      </c>
    </row>
    <row r="2345" spans="1:26" x14ac:dyDescent="0.2">
      <c r="A2345" t="s">
        <v>458</v>
      </c>
      <c r="B2345" t="s">
        <v>459</v>
      </c>
      <c r="C2345" t="s">
        <v>374</v>
      </c>
      <c r="D2345" t="s">
        <v>37</v>
      </c>
      <c r="E2345" t="s">
        <v>375</v>
      </c>
      <c r="F2345">
        <v>10507</v>
      </c>
      <c r="G2345">
        <v>0</v>
      </c>
      <c r="H2345">
        <v>3475</v>
      </c>
      <c r="I2345">
        <v>0</v>
      </c>
      <c r="J2345">
        <v>0</v>
      </c>
      <c r="K2345">
        <v>0</v>
      </c>
      <c r="L2345">
        <v>3448</v>
      </c>
      <c r="M2345">
        <v>0</v>
      </c>
      <c r="N2345">
        <v>11</v>
      </c>
      <c r="O2345">
        <v>0</v>
      </c>
      <c r="P2345">
        <v>0</v>
      </c>
      <c r="Q2345">
        <v>0</v>
      </c>
      <c r="R2345">
        <v>660</v>
      </c>
      <c r="S2345">
        <v>229</v>
      </c>
      <c r="T2345">
        <v>2861</v>
      </c>
      <c r="U2345">
        <v>0</v>
      </c>
      <c r="V2345">
        <v>0</v>
      </c>
      <c r="W2345">
        <v>402</v>
      </c>
      <c r="X2345">
        <f>NHS_AE_2024_2025[[#This Row],[A&amp;E attendances Type 1]]+
NHS_AE_2024_2025[[#This Row],[A&amp;E attendances Type 2]]+
NHS_AE_2024_2025[[#This Row],[A&amp;E attendances Other A&amp;E Department]]</f>
        <v>13982</v>
      </c>
      <c r="Y2345">
        <f t="shared" si="72"/>
        <v>3459</v>
      </c>
      <c r="Z2345">
        <f t="shared" si="73"/>
        <v>3263</v>
      </c>
    </row>
    <row r="2346" spans="1:26" x14ac:dyDescent="0.2">
      <c r="A2346" t="s">
        <v>458</v>
      </c>
      <c r="B2346" t="s">
        <v>459</v>
      </c>
      <c r="C2346" t="s">
        <v>162</v>
      </c>
      <c r="D2346" t="s">
        <v>29</v>
      </c>
      <c r="E2346" t="s">
        <v>163</v>
      </c>
      <c r="F2346">
        <v>0</v>
      </c>
      <c r="G2346">
        <v>5626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154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6</v>
      </c>
      <c r="V2346">
        <v>0</v>
      </c>
      <c r="W2346">
        <v>210</v>
      </c>
      <c r="X2346">
        <f>NHS_AE_2024_2025[[#This Row],[A&amp;E attendances Type 1]]+
NHS_AE_2024_2025[[#This Row],[A&amp;E attendances Type 2]]+
NHS_AE_2024_2025[[#This Row],[A&amp;E attendances Other A&amp;E Department]]</f>
        <v>5626</v>
      </c>
      <c r="Y2346">
        <f t="shared" si="72"/>
        <v>154</v>
      </c>
      <c r="Z2346">
        <f t="shared" si="73"/>
        <v>216</v>
      </c>
    </row>
    <row r="2347" spans="1:26" x14ac:dyDescent="0.2">
      <c r="A2347" t="s">
        <v>458</v>
      </c>
      <c r="B2347" t="s">
        <v>459</v>
      </c>
      <c r="C2347" t="s">
        <v>326</v>
      </c>
      <c r="D2347" t="s">
        <v>29</v>
      </c>
      <c r="E2347" t="s">
        <v>327</v>
      </c>
      <c r="F2347">
        <v>18856</v>
      </c>
      <c r="G2347">
        <v>0</v>
      </c>
      <c r="H2347">
        <v>5720</v>
      </c>
      <c r="I2347">
        <v>567</v>
      </c>
      <c r="J2347">
        <v>0</v>
      </c>
      <c r="K2347">
        <v>0</v>
      </c>
      <c r="L2347">
        <v>5574</v>
      </c>
      <c r="M2347">
        <v>0</v>
      </c>
      <c r="N2347">
        <v>75</v>
      </c>
      <c r="O2347">
        <v>0</v>
      </c>
      <c r="P2347">
        <v>0</v>
      </c>
      <c r="Q2347">
        <v>0</v>
      </c>
      <c r="R2347">
        <v>682</v>
      </c>
      <c r="S2347">
        <v>69</v>
      </c>
      <c r="T2347">
        <v>2746</v>
      </c>
      <c r="U2347">
        <v>0</v>
      </c>
      <c r="V2347">
        <v>0</v>
      </c>
      <c r="W2347">
        <v>343</v>
      </c>
      <c r="X2347">
        <f>NHS_AE_2024_2025[[#This Row],[A&amp;E attendances Type 1]]+
NHS_AE_2024_2025[[#This Row],[A&amp;E attendances Type 2]]+
NHS_AE_2024_2025[[#This Row],[A&amp;E attendances Other A&amp;E Department]]</f>
        <v>24576</v>
      </c>
      <c r="Y2347">
        <f t="shared" si="72"/>
        <v>5649</v>
      </c>
      <c r="Z2347">
        <f t="shared" si="73"/>
        <v>3089</v>
      </c>
    </row>
    <row r="2348" spans="1:26" x14ac:dyDescent="0.2">
      <c r="A2348" t="s">
        <v>458</v>
      </c>
      <c r="B2348" t="s">
        <v>459</v>
      </c>
      <c r="C2348" t="s">
        <v>330</v>
      </c>
      <c r="D2348" t="s">
        <v>50</v>
      </c>
      <c r="E2348" t="s">
        <v>331</v>
      </c>
      <c r="F2348">
        <v>17191</v>
      </c>
      <c r="G2348">
        <v>680</v>
      </c>
      <c r="H2348">
        <v>10819</v>
      </c>
      <c r="I2348">
        <v>68</v>
      </c>
      <c r="J2348">
        <v>0</v>
      </c>
      <c r="K2348">
        <v>55</v>
      </c>
      <c r="L2348">
        <v>6794</v>
      </c>
      <c r="M2348">
        <v>0</v>
      </c>
      <c r="N2348">
        <v>185</v>
      </c>
      <c r="O2348">
        <v>19</v>
      </c>
      <c r="P2348">
        <v>0</v>
      </c>
      <c r="Q2348">
        <v>0</v>
      </c>
      <c r="R2348">
        <v>1702</v>
      </c>
      <c r="S2348">
        <v>188</v>
      </c>
      <c r="T2348">
        <v>3485</v>
      </c>
      <c r="U2348">
        <v>0</v>
      </c>
      <c r="V2348">
        <v>0</v>
      </c>
      <c r="W2348">
        <v>1099</v>
      </c>
      <c r="X2348">
        <f>NHS_AE_2024_2025[[#This Row],[A&amp;E attendances Type 1]]+
NHS_AE_2024_2025[[#This Row],[A&amp;E attendances Type 2]]+
NHS_AE_2024_2025[[#This Row],[A&amp;E attendances Other A&amp;E Department]]</f>
        <v>28690</v>
      </c>
      <c r="Y2348">
        <f t="shared" si="72"/>
        <v>6979</v>
      </c>
      <c r="Z2348">
        <f t="shared" si="73"/>
        <v>4584</v>
      </c>
    </row>
    <row r="2349" spans="1:26" x14ac:dyDescent="0.2">
      <c r="A2349" t="s">
        <v>458</v>
      </c>
      <c r="B2349" t="s">
        <v>459</v>
      </c>
      <c r="C2349" t="s">
        <v>210</v>
      </c>
      <c r="D2349" t="s">
        <v>26</v>
      </c>
      <c r="E2349" t="s">
        <v>211</v>
      </c>
      <c r="F2349">
        <v>8865</v>
      </c>
      <c r="G2349">
        <v>0</v>
      </c>
      <c r="H2349">
        <v>0</v>
      </c>
      <c r="I2349">
        <v>27</v>
      </c>
      <c r="J2349">
        <v>0</v>
      </c>
      <c r="K2349">
        <v>0</v>
      </c>
      <c r="L2349">
        <v>3705</v>
      </c>
      <c r="M2349">
        <v>0</v>
      </c>
      <c r="N2349">
        <v>0</v>
      </c>
      <c r="O2349">
        <v>7</v>
      </c>
      <c r="P2349">
        <v>0</v>
      </c>
      <c r="Q2349">
        <v>0</v>
      </c>
      <c r="R2349">
        <v>554</v>
      </c>
      <c r="S2349">
        <v>396</v>
      </c>
      <c r="T2349">
        <v>2912</v>
      </c>
      <c r="U2349">
        <v>0</v>
      </c>
      <c r="V2349">
        <v>0</v>
      </c>
      <c r="W2349">
        <v>1881</v>
      </c>
      <c r="X2349">
        <f>NHS_AE_2024_2025[[#This Row],[A&amp;E attendances Type 1]]+
NHS_AE_2024_2025[[#This Row],[A&amp;E attendances Type 2]]+
NHS_AE_2024_2025[[#This Row],[A&amp;E attendances Other A&amp;E Department]]</f>
        <v>8865</v>
      </c>
      <c r="Y2349">
        <f t="shared" si="72"/>
        <v>3705</v>
      </c>
      <c r="Z2349">
        <f t="shared" si="73"/>
        <v>4793</v>
      </c>
    </row>
    <row r="2350" spans="1:26" x14ac:dyDescent="0.2">
      <c r="A2350" t="s">
        <v>458</v>
      </c>
      <c r="B2350" t="s">
        <v>459</v>
      </c>
      <c r="C2350" t="s">
        <v>264</v>
      </c>
      <c r="D2350" t="s">
        <v>50</v>
      </c>
      <c r="E2350" t="s">
        <v>265</v>
      </c>
      <c r="F2350">
        <v>9040</v>
      </c>
      <c r="G2350">
        <v>0</v>
      </c>
      <c r="H2350">
        <v>4443</v>
      </c>
      <c r="I2350">
        <v>0</v>
      </c>
      <c r="J2350">
        <v>0</v>
      </c>
      <c r="K2350">
        <v>0</v>
      </c>
      <c r="L2350">
        <v>5084</v>
      </c>
      <c r="M2350">
        <v>0</v>
      </c>
      <c r="N2350">
        <v>86</v>
      </c>
      <c r="O2350">
        <v>0</v>
      </c>
      <c r="P2350">
        <v>0</v>
      </c>
      <c r="Q2350">
        <v>0</v>
      </c>
      <c r="R2350">
        <v>779</v>
      </c>
      <c r="S2350">
        <v>535</v>
      </c>
      <c r="T2350">
        <v>3321</v>
      </c>
      <c r="U2350">
        <v>0</v>
      </c>
      <c r="V2350">
        <v>0</v>
      </c>
      <c r="W2350">
        <v>2080</v>
      </c>
      <c r="X2350">
        <f>NHS_AE_2024_2025[[#This Row],[A&amp;E attendances Type 1]]+
NHS_AE_2024_2025[[#This Row],[A&amp;E attendances Type 2]]+
NHS_AE_2024_2025[[#This Row],[A&amp;E attendances Other A&amp;E Department]]</f>
        <v>13483</v>
      </c>
      <c r="Y2350">
        <f t="shared" si="72"/>
        <v>5170</v>
      </c>
      <c r="Z2350">
        <f t="shared" si="73"/>
        <v>5401</v>
      </c>
    </row>
    <row r="2351" spans="1:26" x14ac:dyDescent="0.2">
      <c r="A2351" t="s">
        <v>458</v>
      </c>
      <c r="B2351" t="s">
        <v>459</v>
      </c>
      <c r="C2351" t="s">
        <v>344</v>
      </c>
      <c r="D2351" t="s">
        <v>32</v>
      </c>
      <c r="E2351" t="s">
        <v>345</v>
      </c>
      <c r="F2351">
        <v>9451</v>
      </c>
      <c r="G2351">
        <v>0</v>
      </c>
      <c r="H2351">
        <v>9571</v>
      </c>
      <c r="I2351">
        <v>0</v>
      </c>
      <c r="J2351">
        <v>0</v>
      </c>
      <c r="K2351">
        <v>0</v>
      </c>
      <c r="L2351">
        <v>5682</v>
      </c>
      <c r="M2351">
        <v>0</v>
      </c>
      <c r="N2351">
        <v>1118</v>
      </c>
      <c r="O2351">
        <v>0</v>
      </c>
      <c r="P2351">
        <v>0</v>
      </c>
      <c r="Q2351">
        <v>0</v>
      </c>
      <c r="R2351">
        <v>1023</v>
      </c>
      <c r="S2351">
        <v>950</v>
      </c>
      <c r="T2351">
        <v>4054</v>
      </c>
      <c r="U2351">
        <v>0</v>
      </c>
      <c r="V2351">
        <v>0</v>
      </c>
      <c r="W2351">
        <v>1048</v>
      </c>
      <c r="X2351">
        <f>NHS_AE_2024_2025[[#This Row],[A&amp;E attendances Type 1]]+
NHS_AE_2024_2025[[#This Row],[A&amp;E attendances Type 2]]+
NHS_AE_2024_2025[[#This Row],[A&amp;E attendances Other A&amp;E Department]]</f>
        <v>19022</v>
      </c>
      <c r="Y2351">
        <f t="shared" si="72"/>
        <v>6800</v>
      </c>
      <c r="Z2351">
        <f t="shared" si="73"/>
        <v>5102</v>
      </c>
    </row>
    <row r="2352" spans="1:26" x14ac:dyDescent="0.2">
      <c r="A2352" t="s">
        <v>458</v>
      </c>
      <c r="B2352" t="s">
        <v>459</v>
      </c>
      <c r="C2352" t="s">
        <v>350</v>
      </c>
      <c r="D2352" t="s">
        <v>55</v>
      </c>
      <c r="E2352" t="s">
        <v>351</v>
      </c>
      <c r="F2352">
        <v>6727</v>
      </c>
      <c r="G2352">
        <v>0</v>
      </c>
      <c r="H2352">
        <v>2925</v>
      </c>
      <c r="I2352">
        <v>235</v>
      </c>
      <c r="J2352">
        <v>0</v>
      </c>
      <c r="K2352">
        <v>118</v>
      </c>
      <c r="L2352">
        <v>3400</v>
      </c>
      <c r="M2352">
        <v>0</v>
      </c>
      <c r="N2352">
        <v>85</v>
      </c>
      <c r="O2352">
        <v>80</v>
      </c>
      <c r="P2352">
        <v>0</v>
      </c>
      <c r="Q2352">
        <v>0</v>
      </c>
      <c r="R2352">
        <v>712</v>
      </c>
      <c r="S2352">
        <v>616</v>
      </c>
      <c r="T2352">
        <v>1746</v>
      </c>
      <c r="U2352">
        <v>0</v>
      </c>
      <c r="V2352">
        <v>0</v>
      </c>
      <c r="W2352">
        <v>155</v>
      </c>
      <c r="X2352">
        <f>NHS_AE_2024_2025[[#This Row],[A&amp;E attendances Type 1]]+
NHS_AE_2024_2025[[#This Row],[A&amp;E attendances Type 2]]+
NHS_AE_2024_2025[[#This Row],[A&amp;E attendances Other A&amp;E Department]]</f>
        <v>9652</v>
      </c>
      <c r="Y2352">
        <f t="shared" si="72"/>
        <v>3485</v>
      </c>
      <c r="Z2352">
        <f t="shared" si="73"/>
        <v>1901</v>
      </c>
    </row>
    <row r="2353" spans="1:26" x14ac:dyDescent="0.2">
      <c r="A2353" t="s">
        <v>458</v>
      </c>
      <c r="B2353" t="s">
        <v>459</v>
      </c>
      <c r="C2353" t="s">
        <v>170</v>
      </c>
      <c r="D2353" t="s">
        <v>32</v>
      </c>
      <c r="E2353" t="s">
        <v>171</v>
      </c>
      <c r="F2353">
        <v>14885</v>
      </c>
      <c r="G2353">
        <v>1846</v>
      </c>
      <c r="H2353">
        <v>252</v>
      </c>
      <c r="I2353">
        <v>523</v>
      </c>
      <c r="J2353">
        <v>0</v>
      </c>
      <c r="K2353">
        <v>0</v>
      </c>
      <c r="L2353">
        <v>6937</v>
      </c>
      <c r="M2353">
        <v>75</v>
      </c>
      <c r="N2353">
        <v>5</v>
      </c>
      <c r="O2353">
        <v>217</v>
      </c>
      <c r="P2353">
        <v>0</v>
      </c>
      <c r="Q2353">
        <v>0</v>
      </c>
      <c r="R2353">
        <v>831</v>
      </c>
      <c r="S2353">
        <v>496</v>
      </c>
      <c r="T2353">
        <v>4485</v>
      </c>
      <c r="U2353">
        <v>0</v>
      </c>
      <c r="V2353">
        <v>0</v>
      </c>
      <c r="W2353">
        <v>3797</v>
      </c>
      <c r="X2353">
        <f>NHS_AE_2024_2025[[#This Row],[A&amp;E attendances Type 1]]+
NHS_AE_2024_2025[[#This Row],[A&amp;E attendances Type 2]]+
NHS_AE_2024_2025[[#This Row],[A&amp;E attendances Other A&amp;E Department]]</f>
        <v>16983</v>
      </c>
      <c r="Y2353">
        <f t="shared" si="72"/>
        <v>7017</v>
      </c>
      <c r="Z2353">
        <f t="shared" si="73"/>
        <v>8282</v>
      </c>
    </row>
    <row r="2354" spans="1:26" x14ac:dyDescent="0.2">
      <c r="A2354" t="s">
        <v>458</v>
      </c>
      <c r="B2354" t="s">
        <v>459</v>
      </c>
      <c r="C2354" t="s">
        <v>352</v>
      </c>
      <c r="D2354" t="s">
        <v>50</v>
      </c>
      <c r="E2354" t="s">
        <v>353</v>
      </c>
      <c r="F2354">
        <v>15790</v>
      </c>
      <c r="G2354">
        <v>151</v>
      </c>
      <c r="H2354">
        <v>5736</v>
      </c>
      <c r="I2354">
        <v>120</v>
      </c>
      <c r="J2354">
        <v>0</v>
      </c>
      <c r="K2354">
        <v>67</v>
      </c>
      <c r="L2354">
        <v>6334</v>
      </c>
      <c r="M2354">
        <v>0</v>
      </c>
      <c r="N2354">
        <v>430</v>
      </c>
      <c r="O2354">
        <v>2</v>
      </c>
      <c r="P2354">
        <v>0</v>
      </c>
      <c r="Q2354">
        <v>2</v>
      </c>
      <c r="R2354">
        <v>1952</v>
      </c>
      <c r="S2354">
        <v>86</v>
      </c>
      <c r="T2354">
        <v>3516</v>
      </c>
      <c r="U2354">
        <v>0</v>
      </c>
      <c r="V2354">
        <v>154</v>
      </c>
      <c r="W2354">
        <v>840</v>
      </c>
      <c r="X2354">
        <f>NHS_AE_2024_2025[[#This Row],[A&amp;E attendances Type 1]]+
NHS_AE_2024_2025[[#This Row],[A&amp;E attendances Type 2]]+
NHS_AE_2024_2025[[#This Row],[A&amp;E attendances Other A&amp;E Department]]</f>
        <v>21677</v>
      </c>
      <c r="Y2354">
        <f t="shared" si="72"/>
        <v>6764</v>
      </c>
      <c r="Z2354">
        <f t="shared" si="73"/>
        <v>4510</v>
      </c>
    </row>
    <row r="2355" spans="1:26" x14ac:dyDescent="0.2">
      <c r="A2355" t="s">
        <v>458</v>
      </c>
      <c r="B2355" t="s">
        <v>459</v>
      </c>
      <c r="C2355" t="s">
        <v>214</v>
      </c>
      <c r="D2355" t="s">
        <v>55</v>
      </c>
      <c r="E2355" t="s">
        <v>215</v>
      </c>
      <c r="F2355">
        <v>11724</v>
      </c>
      <c r="G2355">
        <v>0</v>
      </c>
      <c r="H2355">
        <v>3451</v>
      </c>
      <c r="I2355">
        <v>210</v>
      </c>
      <c r="J2355">
        <v>0</v>
      </c>
      <c r="K2355">
        <v>79</v>
      </c>
      <c r="L2355">
        <v>4459</v>
      </c>
      <c r="M2355">
        <v>0</v>
      </c>
      <c r="N2355">
        <v>89</v>
      </c>
      <c r="O2355">
        <v>38</v>
      </c>
      <c r="P2355">
        <v>0</v>
      </c>
      <c r="Q2355">
        <v>0</v>
      </c>
      <c r="R2355">
        <v>1062</v>
      </c>
      <c r="S2355">
        <v>362</v>
      </c>
      <c r="T2355">
        <v>2964</v>
      </c>
      <c r="U2355">
        <v>0</v>
      </c>
      <c r="V2355">
        <v>76</v>
      </c>
      <c r="W2355">
        <v>1183</v>
      </c>
      <c r="X2355">
        <f>NHS_AE_2024_2025[[#This Row],[A&amp;E attendances Type 1]]+
NHS_AE_2024_2025[[#This Row],[A&amp;E attendances Type 2]]+
NHS_AE_2024_2025[[#This Row],[A&amp;E attendances Other A&amp;E Department]]</f>
        <v>15175</v>
      </c>
      <c r="Y2355">
        <f t="shared" si="72"/>
        <v>4548</v>
      </c>
      <c r="Z2355">
        <f t="shared" si="73"/>
        <v>4223</v>
      </c>
    </row>
    <row r="2356" spans="1:26" x14ac:dyDescent="0.2">
      <c r="A2356" t="s">
        <v>458</v>
      </c>
      <c r="B2356" t="s">
        <v>459</v>
      </c>
      <c r="C2356" t="s">
        <v>354</v>
      </c>
      <c r="D2356" t="s">
        <v>50</v>
      </c>
      <c r="E2356" t="s">
        <v>355</v>
      </c>
      <c r="F2356">
        <v>12324</v>
      </c>
      <c r="G2356">
        <v>0</v>
      </c>
      <c r="H2356">
        <v>3883</v>
      </c>
      <c r="I2356">
        <v>0</v>
      </c>
      <c r="J2356">
        <v>0</v>
      </c>
      <c r="K2356">
        <v>6672</v>
      </c>
      <c r="L2356">
        <v>5075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2196</v>
      </c>
      <c r="S2356">
        <v>17</v>
      </c>
      <c r="T2356">
        <v>4018</v>
      </c>
      <c r="U2356">
        <v>0</v>
      </c>
      <c r="V2356">
        <v>0</v>
      </c>
      <c r="W2356">
        <v>722</v>
      </c>
      <c r="X2356">
        <f>NHS_AE_2024_2025[[#This Row],[A&amp;E attendances Type 1]]+
NHS_AE_2024_2025[[#This Row],[A&amp;E attendances Type 2]]+
NHS_AE_2024_2025[[#This Row],[A&amp;E attendances Other A&amp;E Department]]</f>
        <v>16207</v>
      </c>
      <c r="Y2356">
        <f t="shared" si="72"/>
        <v>5075</v>
      </c>
      <c r="Z2356">
        <f t="shared" si="73"/>
        <v>4740</v>
      </c>
    </row>
    <row r="2357" spans="1:26" x14ac:dyDescent="0.2">
      <c r="A2357" t="s">
        <v>458</v>
      </c>
      <c r="B2357" t="s">
        <v>459</v>
      </c>
      <c r="C2357" t="s">
        <v>274</v>
      </c>
      <c r="D2357" t="s">
        <v>32</v>
      </c>
      <c r="E2357" t="s">
        <v>275</v>
      </c>
      <c r="F2357">
        <v>0</v>
      </c>
      <c r="G2357">
        <v>0</v>
      </c>
      <c r="H2357">
        <v>8258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253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f>NHS_AE_2024_2025[[#This Row],[A&amp;E attendances Type 1]]+
NHS_AE_2024_2025[[#This Row],[A&amp;E attendances Type 2]]+
NHS_AE_2024_2025[[#This Row],[A&amp;E attendances Other A&amp;E Department]]</f>
        <v>8258</v>
      </c>
      <c r="Y2357">
        <f t="shared" si="72"/>
        <v>253</v>
      </c>
      <c r="Z2357">
        <f t="shared" si="73"/>
        <v>0</v>
      </c>
    </row>
    <row r="2358" spans="1:26" x14ac:dyDescent="0.2">
      <c r="A2358" t="s">
        <v>458</v>
      </c>
      <c r="B2358" t="s">
        <v>459</v>
      </c>
      <c r="C2358" t="s">
        <v>358</v>
      </c>
      <c r="D2358" t="s">
        <v>29</v>
      </c>
      <c r="E2358" t="s">
        <v>359</v>
      </c>
      <c r="F2358">
        <v>11584</v>
      </c>
      <c r="G2358">
        <v>3907</v>
      </c>
      <c r="H2358">
        <v>7175</v>
      </c>
      <c r="I2358">
        <v>0</v>
      </c>
      <c r="J2358">
        <v>0</v>
      </c>
      <c r="K2358">
        <v>411</v>
      </c>
      <c r="L2358">
        <v>4575</v>
      </c>
      <c r="M2358">
        <v>93</v>
      </c>
      <c r="N2358">
        <v>375</v>
      </c>
      <c r="O2358">
        <v>0</v>
      </c>
      <c r="P2358">
        <v>0</v>
      </c>
      <c r="Q2358">
        <v>0</v>
      </c>
      <c r="R2358">
        <v>713</v>
      </c>
      <c r="S2358">
        <v>221</v>
      </c>
      <c r="T2358">
        <v>4018</v>
      </c>
      <c r="U2358">
        <v>4</v>
      </c>
      <c r="V2358">
        <v>0</v>
      </c>
      <c r="W2358">
        <v>1113</v>
      </c>
      <c r="X2358">
        <f>NHS_AE_2024_2025[[#This Row],[A&amp;E attendances Type 1]]+
NHS_AE_2024_2025[[#This Row],[A&amp;E attendances Type 2]]+
NHS_AE_2024_2025[[#This Row],[A&amp;E attendances Other A&amp;E Department]]</f>
        <v>22666</v>
      </c>
      <c r="Y2358">
        <f t="shared" si="72"/>
        <v>5043</v>
      </c>
      <c r="Z2358">
        <f t="shared" si="73"/>
        <v>5135</v>
      </c>
    </row>
    <row r="2359" spans="1:26" x14ac:dyDescent="0.2">
      <c r="A2359" t="s">
        <v>458</v>
      </c>
      <c r="B2359" t="s">
        <v>459</v>
      </c>
      <c r="C2359" t="s">
        <v>276</v>
      </c>
      <c r="D2359" t="s">
        <v>37</v>
      </c>
      <c r="E2359" t="s">
        <v>277</v>
      </c>
      <c r="F2359">
        <v>21377</v>
      </c>
      <c r="G2359">
        <v>1462</v>
      </c>
      <c r="H2359">
        <v>5035</v>
      </c>
      <c r="I2359">
        <v>1338</v>
      </c>
      <c r="J2359">
        <v>0</v>
      </c>
      <c r="K2359">
        <v>1061</v>
      </c>
      <c r="L2359">
        <v>8885</v>
      </c>
      <c r="M2359">
        <v>35</v>
      </c>
      <c r="N2359">
        <v>560</v>
      </c>
      <c r="O2359">
        <v>437</v>
      </c>
      <c r="P2359">
        <v>0</v>
      </c>
      <c r="Q2359">
        <v>28</v>
      </c>
      <c r="R2359">
        <v>1641</v>
      </c>
      <c r="S2359">
        <v>1242</v>
      </c>
      <c r="T2359">
        <v>8274</v>
      </c>
      <c r="U2359">
        <v>21</v>
      </c>
      <c r="V2359">
        <v>39</v>
      </c>
      <c r="W2359">
        <v>1354</v>
      </c>
      <c r="X2359">
        <f>NHS_AE_2024_2025[[#This Row],[A&amp;E attendances Type 1]]+
NHS_AE_2024_2025[[#This Row],[A&amp;E attendances Type 2]]+
NHS_AE_2024_2025[[#This Row],[A&amp;E attendances Other A&amp;E Department]]</f>
        <v>27874</v>
      </c>
      <c r="Y2359">
        <f t="shared" si="72"/>
        <v>9480</v>
      </c>
      <c r="Z2359">
        <f t="shared" si="73"/>
        <v>9688</v>
      </c>
    </row>
    <row r="2360" spans="1:26" x14ac:dyDescent="0.2">
      <c r="A2360" t="s">
        <v>458</v>
      </c>
      <c r="B2360" t="s">
        <v>459</v>
      </c>
      <c r="C2360" t="s">
        <v>34</v>
      </c>
      <c r="D2360" t="s">
        <v>29</v>
      </c>
      <c r="E2360" t="s">
        <v>35</v>
      </c>
      <c r="F2360">
        <v>0</v>
      </c>
      <c r="G2360">
        <v>0</v>
      </c>
      <c r="H2360">
        <v>622</v>
      </c>
      <c r="I2360">
        <v>0</v>
      </c>
      <c r="J2360">
        <v>0</v>
      </c>
      <c r="K2360">
        <v>378</v>
      </c>
      <c r="L2360">
        <v>0</v>
      </c>
      <c r="M2360">
        <v>0</v>
      </c>
      <c r="N2360">
        <v>9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f>NHS_AE_2024_2025[[#This Row],[A&amp;E attendances Type 1]]+
NHS_AE_2024_2025[[#This Row],[A&amp;E attendances Type 2]]+
NHS_AE_2024_2025[[#This Row],[A&amp;E attendances Other A&amp;E Department]]</f>
        <v>622</v>
      </c>
      <c r="Y2360">
        <f t="shared" si="72"/>
        <v>9</v>
      </c>
      <c r="Z2360">
        <f t="shared" si="73"/>
        <v>0</v>
      </c>
    </row>
    <row r="2361" spans="1:26" x14ac:dyDescent="0.2">
      <c r="A2361" t="s">
        <v>458</v>
      </c>
      <c r="B2361" t="s">
        <v>459</v>
      </c>
      <c r="C2361" t="s">
        <v>362</v>
      </c>
      <c r="D2361" t="s">
        <v>26</v>
      </c>
      <c r="E2361" t="s">
        <v>363</v>
      </c>
      <c r="F2361">
        <v>8575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3119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709</v>
      </c>
      <c r="S2361">
        <v>54</v>
      </c>
      <c r="T2361">
        <v>2564</v>
      </c>
      <c r="U2361">
        <v>0</v>
      </c>
      <c r="V2361">
        <v>9</v>
      </c>
      <c r="W2361">
        <v>1448</v>
      </c>
      <c r="X2361">
        <f>NHS_AE_2024_2025[[#This Row],[A&amp;E attendances Type 1]]+
NHS_AE_2024_2025[[#This Row],[A&amp;E attendances Type 2]]+
NHS_AE_2024_2025[[#This Row],[A&amp;E attendances Other A&amp;E Department]]</f>
        <v>8575</v>
      </c>
      <c r="Y2361">
        <f t="shared" si="72"/>
        <v>3119</v>
      </c>
      <c r="Z2361">
        <f t="shared" si="73"/>
        <v>4021</v>
      </c>
    </row>
    <row r="2362" spans="1:26" x14ac:dyDescent="0.2">
      <c r="A2362" t="s">
        <v>458</v>
      </c>
      <c r="B2362" t="s">
        <v>459</v>
      </c>
      <c r="C2362" t="s">
        <v>322</v>
      </c>
      <c r="D2362" t="s">
        <v>50</v>
      </c>
      <c r="E2362" t="s">
        <v>323</v>
      </c>
      <c r="F2362">
        <v>13144</v>
      </c>
      <c r="G2362">
        <v>0</v>
      </c>
      <c r="H2362">
        <v>3803</v>
      </c>
      <c r="I2362">
        <v>0</v>
      </c>
      <c r="J2362">
        <v>0</v>
      </c>
      <c r="K2362">
        <v>0</v>
      </c>
      <c r="L2362">
        <v>5124</v>
      </c>
      <c r="M2362">
        <v>0</v>
      </c>
      <c r="N2362">
        <v>3</v>
      </c>
      <c r="O2362">
        <v>0</v>
      </c>
      <c r="P2362">
        <v>0</v>
      </c>
      <c r="Q2362">
        <v>0</v>
      </c>
      <c r="R2362">
        <v>1004</v>
      </c>
      <c r="S2362">
        <v>234</v>
      </c>
      <c r="T2362">
        <v>3875</v>
      </c>
      <c r="U2362">
        <v>0</v>
      </c>
      <c r="V2362">
        <v>394</v>
      </c>
      <c r="W2362">
        <v>1011</v>
      </c>
      <c r="X2362">
        <f>NHS_AE_2024_2025[[#This Row],[A&amp;E attendances Type 1]]+
NHS_AE_2024_2025[[#This Row],[A&amp;E attendances Type 2]]+
NHS_AE_2024_2025[[#This Row],[A&amp;E attendances Other A&amp;E Department]]</f>
        <v>16947</v>
      </c>
      <c r="Y2362">
        <f t="shared" si="72"/>
        <v>5127</v>
      </c>
      <c r="Z2362">
        <f t="shared" si="73"/>
        <v>5280</v>
      </c>
    </row>
    <row r="2363" spans="1:26" x14ac:dyDescent="0.2">
      <c r="A2363" t="s">
        <v>458</v>
      </c>
      <c r="B2363" t="s">
        <v>459</v>
      </c>
      <c r="C2363" t="s">
        <v>340</v>
      </c>
      <c r="D2363" t="s">
        <v>29</v>
      </c>
      <c r="E2363" t="s">
        <v>341</v>
      </c>
      <c r="F2363">
        <v>10698</v>
      </c>
      <c r="G2363">
        <v>333</v>
      </c>
      <c r="H2363">
        <v>1490</v>
      </c>
      <c r="I2363">
        <v>310</v>
      </c>
      <c r="J2363">
        <v>0</v>
      </c>
      <c r="K2363">
        <v>17</v>
      </c>
      <c r="L2363">
        <v>3019</v>
      </c>
      <c r="M2363">
        <v>0</v>
      </c>
      <c r="N2363">
        <v>96</v>
      </c>
      <c r="O2363">
        <v>30</v>
      </c>
      <c r="P2363">
        <v>0</v>
      </c>
      <c r="Q2363">
        <v>1</v>
      </c>
      <c r="R2363">
        <v>368</v>
      </c>
      <c r="S2363">
        <v>596</v>
      </c>
      <c r="T2363">
        <v>1878</v>
      </c>
      <c r="U2363">
        <v>3</v>
      </c>
      <c r="V2363">
        <v>0</v>
      </c>
      <c r="W2363">
        <v>139</v>
      </c>
      <c r="X2363">
        <f>NHS_AE_2024_2025[[#This Row],[A&amp;E attendances Type 1]]+
NHS_AE_2024_2025[[#This Row],[A&amp;E attendances Type 2]]+
NHS_AE_2024_2025[[#This Row],[A&amp;E attendances Other A&amp;E Department]]</f>
        <v>12521</v>
      </c>
      <c r="Y2363">
        <f t="shared" si="72"/>
        <v>3115</v>
      </c>
      <c r="Z2363">
        <f t="shared" si="73"/>
        <v>2020</v>
      </c>
    </row>
    <row r="2364" spans="1:26" x14ac:dyDescent="0.2">
      <c r="A2364" t="s">
        <v>458</v>
      </c>
      <c r="B2364" t="s">
        <v>459</v>
      </c>
      <c r="C2364" t="s">
        <v>378</v>
      </c>
      <c r="D2364" t="s">
        <v>37</v>
      </c>
      <c r="E2364" t="s">
        <v>379</v>
      </c>
      <c r="F2364">
        <v>0</v>
      </c>
      <c r="G2364">
        <v>0</v>
      </c>
      <c r="H2364">
        <v>1452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14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32</v>
      </c>
      <c r="W2364">
        <v>0</v>
      </c>
      <c r="X2364">
        <f>NHS_AE_2024_2025[[#This Row],[A&amp;E attendances Type 1]]+
NHS_AE_2024_2025[[#This Row],[A&amp;E attendances Type 2]]+
NHS_AE_2024_2025[[#This Row],[A&amp;E attendances Other A&amp;E Department]]</f>
        <v>1452</v>
      </c>
      <c r="Y2364">
        <f t="shared" si="72"/>
        <v>14</v>
      </c>
      <c r="Z2364">
        <f t="shared" si="73"/>
        <v>32</v>
      </c>
    </row>
    <row r="2365" spans="1:26" x14ac:dyDescent="0.2">
      <c r="A2365" t="s">
        <v>458</v>
      </c>
      <c r="B2365" t="s">
        <v>459</v>
      </c>
      <c r="C2365" t="s">
        <v>172</v>
      </c>
      <c r="D2365" t="s">
        <v>37</v>
      </c>
      <c r="E2365" t="s">
        <v>173</v>
      </c>
      <c r="F2365">
        <v>8075</v>
      </c>
      <c r="G2365">
        <v>0</v>
      </c>
      <c r="H2365">
        <v>2563</v>
      </c>
      <c r="I2365">
        <v>1655</v>
      </c>
      <c r="J2365">
        <v>0</v>
      </c>
      <c r="K2365">
        <v>1194</v>
      </c>
      <c r="L2365">
        <v>3423</v>
      </c>
      <c r="M2365">
        <v>0</v>
      </c>
      <c r="N2365">
        <v>43</v>
      </c>
      <c r="O2365">
        <v>0</v>
      </c>
      <c r="P2365">
        <v>0</v>
      </c>
      <c r="Q2365">
        <v>0</v>
      </c>
      <c r="R2365">
        <v>253</v>
      </c>
      <c r="S2365">
        <v>22</v>
      </c>
      <c r="T2365">
        <v>3356</v>
      </c>
      <c r="U2365">
        <v>0</v>
      </c>
      <c r="V2365">
        <v>0</v>
      </c>
      <c r="W2365">
        <v>444</v>
      </c>
      <c r="X2365">
        <f>NHS_AE_2024_2025[[#This Row],[A&amp;E attendances Type 1]]+
NHS_AE_2024_2025[[#This Row],[A&amp;E attendances Type 2]]+
NHS_AE_2024_2025[[#This Row],[A&amp;E attendances Other A&amp;E Department]]</f>
        <v>10638</v>
      </c>
      <c r="Y2365">
        <f t="shared" si="72"/>
        <v>3466</v>
      </c>
      <c r="Z2365">
        <f t="shared" si="73"/>
        <v>3800</v>
      </c>
    </row>
    <row r="2366" spans="1:26" x14ac:dyDescent="0.2">
      <c r="A2366" t="s">
        <v>458</v>
      </c>
      <c r="B2366" t="s">
        <v>459</v>
      </c>
      <c r="C2366" t="s">
        <v>306</v>
      </c>
      <c r="D2366" t="s">
        <v>29</v>
      </c>
      <c r="E2366" t="s">
        <v>307</v>
      </c>
      <c r="F2366">
        <v>8725</v>
      </c>
      <c r="G2366">
        <v>0</v>
      </c>
      <c r="H2366">
        <v>3371</v>
      </c>
      <c r="I2366">
        <v>430</v>
      </c>
      <c r="J2366">
        <v>0</v>
      </c>
      <c r="K2366">
        <v>0</v>
      </c>
      <c r="L2366">
        <v>2656</v>
      </c>
      <c r="M2366">
        <v>0</v>
      </c>
      <c r="N2366">
        <v>0</v>
      </c>
      <c r="O2366">
        <v>60</v>
      </c>
      <c r="P2366">
        <v>0</v>
      </c>
      <c r="Q2366">
        <v>0</v>
      </c>
      <c r="R2366">
        <v>652</v>
      </c>
      <c r="S2366">
        <v>669</v>
      </c>
      <c r="T2366">
        <v>2710</v>
      </c>
      <c r="U2366">
        <v>0</v>
      </c>
      <c r="V2366">
        <v>0</v>
      </c>
      <c r="W2366">
        <v>706</v>
      </c>
      <c r="X2366">
        <f>NHS_AE_2024_2025[[#This Row],[A&amp;E attendances Type 1]]+
NHS_AE_2024_2025[[#This Row],[A&amp;E attendances Type 2]]+
NHS_AE_2024_2025[[#This Row],[A&amp;E attendances Other A&amp;E Department]]</f>
        <v>12096</v>
      </c>
      <c r="Y2366">
        <f t="shared" si="72"/>
        <v>2656</v>
      </c>
      <c r="Z2366">
        <f t="shared" si="73"/>
        <v>3416</v>
      </c>
    </row>
    <row r="2367" spans="1:26" x14ac:dyDescent="0.2">
      <c r="A2367" t="s">
        <v>458</v>
      </c>
      <c r="B2367" t="s">
        <v>459</v>
      </c>
      <c r="C2367" t="s">
        <v>308</v>
      </c>
      <c r="D2367" t="s">
        <v>32</v>
      </c>
      <c r="E2367" t="s">
        <v>309</v>
      </c>
      <c r="F2367">
        <v>8082</v>
      </c>
      <c r="G2367">
        <v>0</v>
      </c>
      <c r="H2367">
        <v>377</v>
      </c>
      <c r="I2367">
        <v>1</v>
      </c>
      <c r="J2367">
        <v>0</v>
      </c>
      <c r="K2367">
        <v>0</v>
      </c>
      <c r="L2367">
        <v>2088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287</v>
      </c>
      <c r="S2367">
        <v>10</v>
      </c>
      <c r="T2367">
        <v>2303</v>
      </c>
      <c r="U2367">
        <v>0</v>
      </c>
      <c r="V2367">
        <v>0</v>
      </c>
      <c r="W2367">
        <v>886</v>
      </c>
      <c r="X2367">
        <f>NHS_AE_2024_2025[[#This Row],[A&amp;E attendances Type 1]]+
NHS_AE_2024_2025[[#This Row],[A&amp;E attendances Type 2]]+
NHS_AE_2024_2025[[#This Row],[A&amp;E attendances Other A&amp;E Department]]</f>
        <v>8459</v>
      </c>
      <c r="Y2367">
        <f t="shared" si="72"/>
        <v>2088</v>
      </c>
      <c r="Z2367">
        <f t="shared" si="73"/>
        <v>3189</v>
      </c>
    </row>
    <row r="2368" spans="1:26" x14ac:dyDescent="0.2">
      <c r="A2368" t="s">
        <v>458</v>
      </c>
      <c r="B2368" t="s">
        <v>459</v>
      </c>
      <c r="C2368" t="s">
        <v>188</v>
      </c>
      <c r="D2368" t="s">
        <v>26</v>
      </c>
      <c r="E2368" t="s">
        <v>189</v>
      </c>
      <c r="F2368">
        <v>14776</v>
      </c>
      <c r="G2368">
        <v>2238</v>
      </c>
      <c r="H2368">
        <v>0</v>
      </c>
      <c r="I2368">
        <v>0</v>
      </c>
      <c r="J2368">
        <v>0</v>
      </c>
      <c r="K2368">
        <v>0</v>
      </c>
      <c r="L2368">
        <v>5191</v>
      </c>
      <c r="M2368">
        <v>136</v>
      </c>
      <c r="N2368">
        <v>0</v>
      </c>
      <c r="O2368">
        <v>0</v>
      </c>
      <c r="P2368">
        <v>0</v>
      </c>
      <c r="Q2368">
        <v>0</v>
      </c>
      <c r="R2368">
        <v>1214</v>
      </c>
      <c r="S2368">
        <v>261</v>
      </c>
      <c r="T2368">
        <v>5232</v>
      </c>
      <c r="U2368">
        <v>13</v>
      </c>
      <c r="V2368">
        <v>0</v>
      </c>
      <c r="W2368">
        <v>1366</v>
      </c>
      <c r="X2368">
        <f>NHS_AE_2024_2025[[#This Row],[A&amp;E attendances Type 1]]+
NHS_AE_2024_2025[[#This Row],[A&amp;E attendances Type 2]]+
NHS_AE_2024_2025[[#This Row],[A&amp;E attendances Other A&amp;E Department]]</f>
        <v>17014</v>
      </c>
      <c r="Y2368">
        <f t="shared" si="72"/>
        <v>5327</v>
      </c>
      <c r="Z2368">
        <f t="shared" si="73"/>
        <v>6611</v>
      </c>
    </row>
    <row r="2369" spans="1:26" x14ac:dyDescent="0.2">
      <c r="A2369" t="s">
        <v>458</v>
      </c>
      <c r="B2369" t="s">
        <v>459</v>
      </c>
      <c r="C2369" t="s">
        <v>380</v>
      </c>
      <c r="D2369" t="s">
        <v>55</v>
      </c>
      <c r="E2369" t="s">
        <v>381</v>
      </c>
      <c r="F2369">
        <v>15845</v>
      </c>
      <c r="G2369">
        <v>0</v>
      </c>
      <c r="H2369">
        <v>6698</v>
      </c>
      <c r="I2369">
        <v>389</v>
      </c>
      <c r="J2369">
        <v>0</v>
      </c>
      <c r="K2369">
        <v>0</v>
      </c>
      <c r="L2369">
        <v>5617</v>
      </c>
      <c r="M2369">
        <v>0</v>
      </c>
      <c r="N2369">
        <v>217</v>
      </c>
      <c r="O2369">
        <v>53</v>
      </c>
      <c r="P2369">
        <v>0</v>
      </c>
      <c r="Q2369">
        <v>0</v>
      </c>
      <c r="R2369">
        <v>608</v>
      </c>
      <c r="S2369">
        <v>318</v>
      </c>
      <c r="T2369">
        <v>6805</v>
      </c>
      <c r="U2369">
        <v>0</v>
      </c>
      <c r="V2369">
        <v>0</v>
      </c>
      <c r="W2369">
        <v>593</v>
      </c>
      <c r="X2369">
        <f>NHS_AE_2024_2025[[#This Row],[A&amp;E attendances Type 1]]+
NHS_AE_2024_2025[[#This Row],[A&amp;E attendances Type 2]]+
NHS_AE_2024_2025[[#This Row],[A&amp;E attendances Other A&amp;E Department]]</f>
        <v>22543</v>
      </c>
      <c r="Y2369">
        <f t="shared" si="72"/>
        <v>5834</v>
      </c>
      <c r="Z2369">
        <f t="shared" si="73"/>
        <v>7398</v>
      </c>
    </row>
    <row r="2370" spans="1:26" x14ac:dyDescent="0.2">
      <c r="A2370" t="s">
        <v>458</v>
      </c>
      <c r="B2370" t="s">
        <v>459</v>
      </c>
      <c r="C2370" t="s">
        <v>200</v>
      </c>
      <c r="D2370" t="s">
        <v>32</v>
      </c>
      <c r="E2370" t="s">
        <v>201</v>
      </c>
      <c r="F2370">
        <v>13168</v>
      </c>
      <c r="G2370">
        <v>463</v>
      </c>
      <c r="H2370">
        <v>8057</v>
      </c>
      <c r="I2370">
        <v>611</v>
      </c>
      <c r="J2370">
        <v>0</v>
      </c>
      <c r="K2370">
        <v>469</v>
      </c>
      <c r="L2370">
        <v>6608</v>
      </c>
      <c r="M2370">
        <v>0</v>
      </c>
      <c r="N2370">
        <v>91</v>
      </c>
      <c r="O2370">
        <v>295</v>
      </c>
      <c r="P2370">
        <v>0</v>
      </c>
      <c r="Q2370">
        <v>10</v>
      </c>
      <c r="R2370">
        <v>1076</v>
      </c>
      <c r="S2370">
        <v>546</v>
      </c>
      <c r="T2370">
        <v>5208</v>
      </c>
      <c r="U2370">
        <v>0</v>
      </c>
      <c r="V2370">
        <v>0</v>
      </c>
      <c r="W2370">
        <v>3840</v>
      </c>
      <c r="X2370">
        <f>NHS_AE_2024_2025[[#This Row],[A&amp;E attendances Type 1]]+
NHS_AE_2024_2025[[#This Row],[A&amp;E attendances Type 2]]+
NHS_AE_2024_2025[[#This Row],[A&amp;E attendances Other A&amp;E Department]]</f>
        <v>21688</v>
      </c>
      <c r="Y2370">
        <f t="shared" ref="Y2370:Y2385" si="74">L2370+M2370+N2370</f>
        <v>6699</v>
      </c>
      <c r="Z2370">
        <f t="shared" ref="Z2370:Z2385" si="75">T2370+U2370+V2370+W2370</f>
        <v>9048</v>
      </c>
    </row>
    <row r="2371" spans="1:26" x14ac:dyDescent="0.2">
      <c r="A2371" t="s">
        <v>458</v>
      </c>
      <c r="B2371" t="s">
        <v>459</v>
      </c>
      <c r="C2371" t="s">
        <v>418</v>
      </c>
      <c r="D2371" t="s">
        <v>55</v>
      </c>
      <c r="E2371" t="s">
        <v>419</v>
      </c>
      <c r="F2371">
        <v>24649</v>
      </c>
      <c r="G2371">
        <v>0</v>
      </c>
      <c r="H2371">
        <v>8398</v>
      </c>
      <c r="I2371">
        <v>0</v>
      </c>
      <c r="J2371">
        <v>0</v>
      </c>
      <c r="K2371">
        <v>0</v>
      </c>
      <c r="L2371">
        <v>10994</v>
      </c>
      <c r="M2371">
        <v>0</v>
      </c>
      <c r="N2371">
        <v>297</v>
      </c>
      <c r="O2371">
        <v>0</v>
      </c>
      <c r="P2371">
        <v>0</v>
      </c>
      <c r="Q2371">
        <v>0</v>
      </c>
      <c r="R2371">
        <v>1972</v>
      </c>
      <c r="S2371">
        <v>583</v>
      </c>
      <c r="T2371">
        <v>7063</v>
      </c>
      <c r="U2371">
        <v>0</v>
      </c>
      <c r="V2371">
        <v>358</v>
      </c>
      <c r="W2371">
        <v>1725</v>
      </c>
      <c r="X2371">
        <f>NHS_AE_2024_2025[[#This Row],[A&amp;E attendances Type 1]]+
NHS_AE_2024_2025[[#This Row],[A&amp;E attendances Type 2]]+
NHS_AE_2024_2025[[#This Row],[A&amp;E attendances Other A&amp;E Department]]</f>
        <v>33047</v>
      </c>
      <c r="Y2371">
        <f t="shared" si="74"/>
        <v>11291</v>
      </c>
      <c r="Z2371">
        <f t="shared" si="75"/>
        <v>9146</v>
      </c>
    </row>
    <row r="2372" spans="1:26" x14ac:dyDescent="0.2">
      <c r="A2372" t="s">
        <v>458</v>
      </c>
      <c r="B2372" t="s">
        <v>459</v>
      </c>
      <c r="C2372" t="s">
        <v>206</v>
      </c>
      <c r="D2372" t="s">
        <v>32</v>
      </c>
      <c r="E2372" t="s">
        <v>207</v>
      </c>
      <c r="F2372">
        <v>32456</v>
      </c>
      <c r="G2372">
        <v>312</v>
      </c>
      <c r="H2372">
        <v>1650</v>
      </c>
      <c r="I2372">
        <v>19</v>
      </c>
      <c r="J2372">
        <v>0</v>
      </c>
      <c r="K2372">
        <v>259</v>
      </c>
      <c r="L2372">
        <v>12867</v>
      </c>
      <c r="M2372">
        <v>0</v>
      </c>
      <c r="N2372">
        <v>10</v>
      </c>
      <c r="O2372">
        <v>10</v>
      </c>
      <c r="P2372">
        <v>0</v>
      </c>
      <c r="Q2372">
        <v>1</v>
      </c>
      <c r="R2372">
        <v>2274</v>
      </c>
      <c r="S2372">
        <v>1995</v>
      </c>
      <c r="T2372">
        <v>11198</v>
      </c>
      <c r="U2372">
        <v>0</v>
      </c>
      <c r="V2372">
        <v>0</v>
      </c>
      <c r="W2372">
        <v>6124</v>
      </c>
      <c r="X2372">
        <f>NHS_AE_2024_2025[[#This Row],[A&amp;E attendances Type 1]]+
NHS_AE_2024_2025[[#This Row],[A&amp;E attendances Type 2]]+
NHS_AE_2024_2025[[#This Row],[A&amp;E attendances Other A&amp;E Department]]</f>
        <v>34418</v>
      </c>
      <c r="Y2372">
        <f t="shared" si="74"/>
        <v>12877</v>
      </c>
      <c r="Z2372">
        <f t="shared" si="75"/>
        <v>17322</v>
      </c>
    </row>
    <row r="2373" spans="1:26" x14ac:dyDescent="0.2">
      <c r="A2373" t="s">
        <v>458</v>
      </c>
      <c r="B2373" t="s">
        <v>459</v>
      </c>
      <c r="C2373" t="s">
        <v>420</v>
      </c>
      <c r="D2373" t="s">
        <v>37</v>
      </c>
      <c r="E2373" t="s">
        <v>421</v>
      </c>
      <c r="F2373">
        <v>9553</v>
      </c>
      <c r="G2373">
        <v>683</v>
      </c>
      <c r="H2373">
        <v>2945</v>
      </c>
      <c r="I2373">
        <v>1147</v>
      </c>
      <c r="J2373">
        <v>0</v>
      </c>
      <c r="K2373">
        <v>773</v>
      </c>
      <c r="L2373">
        <v>4829</v>
      </c>
      <c r="M2373">
        <v>6</v>
      </c>
      <c r="N2373">
        <v>58</v>
      </c>
      <c r="O2373">
        <v>573</v>
      </c>
      <c r="P2373">
        <v>0</v>
      </c>
      <c r="Q2373">
        <v>2</v>
      </c>
      <c r="R2373">
        <v>1588</v>
      </c>
      <c r="S2373">
        <v>73</v>
      </c>
      <c r="T2373">
        <v>3297</v>
      </c>
      <c r="U2373">
        <v>0</v>
      </c>
      <c r="V2373">
        <v>0</v>
      </c>
      <c r="W2373">
        <v>2457</v>
      </c>
      <c r="X2373">
        <f>NHS_AE_2024_2025[[#This Row],[A&amp;E attendances Type 1]]+
NHS_AE_2024_2025[[#This Row],[A&amp;E attendances Type 2]]+
NHS_AE_2024_2025[[#This Row],[A&amp;E attendances Other A&amp;E Department]]</f>
        <v>13181</v>
      </c>
      <c r="Y2373">
        <f t="shared" si="74"/>
        <v>4893</v>
      </c>
      <c r="Z2373">
        <f t="shared" si="75"/>
        <v>5754</v>
      </c>
    </row>
    <row r="2374" spans="1:26" x14ac:dyDescent="0.2">
      <c r="A2374" t="s">
        <v>458</v>
      </c>
      <c r="B2374" t="s">
        <v>459</v>
      </c>
      <c r="C2374" t="s">
        <v>406</v>
      </c>
      <c r="D2374" t="s">
        <v>37</v>
      </c>
      <c r="E2374" t="s">
        <v>407</v>
      </c>
      <c r="F2374">
        <v>11593</v>
      </c>
      <c r="G2374">
        <v>2247</v>
      </c>
      <c r="H2374">
        <v>0</v>
      </c>
      <c r="I2374">
        <v>767</v>
      </c>
      <c r="J2374">
        <v>29</v>
      </c>
      <c r="K2374">
        <v>0</v>
      </c>
      <c r="L2374">
        <v>3921</v>
      </c>
      <c r="M2374">
        <v>14</v>
      </c>
      <c r="N2374">
        <v>0</v>
      </c>
      <c r="O2374">
        <v>216</v>
      </c>
      <c r="P2374">
        <v>0</v>
      </c>
      <c r="Q2374">
        <v>0</v>
      </c>
      <c r="R2374">
        <v>520</v>
      </c>
      <c r="S2374">
        <v>7</v>
      </c>
      <c r="T2374">
        <v>2423</v>
      </c>
      <c r="U2374">
        <v>0</v>
      </c>
      <c r="V2374">
        <v>0</v>
      </c>
      <c r="W2374">
        <v>373</v>
      </c>
      <c r="X2374">
        <f>NHS_AE_2024_2025[[#This Row],[A&amp;E attendances Type 1]]+
NHS_AE_2024_2025[[#This Row],[A&amp;E attendances Type 2]]+
NHS_AE_2024_2025[[#This Row],[A&amp;E attendances Other A&amp;E Department]]</f>
        <v>13840</v>
      </c>
      <c r="Y2374">
        <f t="shared" si="74"/>
        <v>3935</v>
      </c>
      <c r="Z2374">
        <f t="shared" si="75"/>
        <v>2796</v>
      </c>
    </row>
    <row r="2375" spans="1:26" x14ac:dyDescent="0.2">
      <c r="A2375" t="s">
        <v>458</v>
      </c>
      <c r="B2375" t="s">
        <v>459</v>
      </c>
      <c r="C2375" t="s">
        <v>324</v>
      </c>
      <c r="D2375" t="s">
        <v>37</v>
      </c>
      <c r="E2375" t="s">
        <v>325</v>
      </c>
      <c r="F2375">
        <v>7925</v>
      </c>
      <c r="G2375">
        <v>0</v>
      </c>
      <c r="H2375">
        <v>6412</v>
      </c>
      <c r="I2375">
        <v>296</v>
      </c>
      <c r="J2375">
        <v>0</v>
      </c>
      <c r="K2375">
        <v>993</v>
      </c>
      <c r="L2375">
        <v>2816</v>
      </c>
      <c r="M2375">
        <v>0</v>
      </c>
      <c r="N2375">
        <v>507</v>
      </c>
      <c r="O2375">
        <v>67</v>
      </c>
      <c r="P2375">
        <v>0</v>
      </c>
      <c r="Q2375">
        <v>0</v>
      </c>
      <c r="R2375">
        <v>337</v>
      </c>
      <c r="S2375">
        <v>636</v>
      </c>
      <c r="T2375">
        <v>1745</v>
      </c>
      <c r="U2375">
        <v>0</v>
      </c>
      <c r="V2375">
        <v>0</v>
      </c>
      <c r="W2375">
        <v>628</v>
      </c>
      <c r="X2375">
        <f>NHS_AE_2024_2025[[#This Row],[A&amp;E attendances Type 1]]+
NHS_AE_2024_2025[[#This Row],[A&amp;E attendances Type 2]]+
NHS_AE_2024_2025[[#This Row],[A&amp;E attendances Other A&amp;E Department]]</f>
        <v>14337</v>
      </c>
      <c r="Y2375">
        <f t="shared" si="74"/>
        <v>3323</v>
      </c>
      <c r="Z2375">
        <f t="shared" si="75"/>
        <v>2373</v>
      </c>
    </row>
    <row r="2376" spans="1:26" x14ac:dyDescent="0.2">
      <c r="A2376" t="s">
        <v>458</v>
      </c>
      <c r="B2376" t="s">
        <v>459</v>
      </c>
      <c r="C2376" t="s">
        <v>208</v>
      </c>
      <c r="D2376" t="s">
        <v>32</v>
      </c>
      <c r="E2376" t="s">
        <v>209</v>
      </c>
      <c r="F2376">
        <v>19298</v>
      </c>
      <c r="G2376">
        <v>0</v>
      </c>
      <c r="H2376">
        <v>9000</v>
      </c>
      <c r="I2376">
        <v>1762</v>
      </c>
      <c r="J2376">
        <v>0</v>
      </c>
      <c r="K2376">
        <v>18</v>
      </c>
      <c r="L2376">
        <v>8533</v>
      </c>
      <c r="M2376">
        <v>0</v>
      </c>
      <c r="N2376">
        <v>0</v>
      </c>
      <c r="O2376">
        <v>384</v>
      </c>
      <c r="P2376">
        <v>0</v>
      </c>
      <c r="Q2376">
        <v>0</v>
      </c>
      <c r="R2376">
        <v>803</v>
      </c>
      <c r="S2376">
        <v>912</v>
      </c>
      <c r="T2376">
        <v>3961</v>
      </c>
      <c r="U2376">
        <v>0</v>
      </c>
      <c r="V2376">
        <v>0</v>
      </c>
      <c r="W2376">
        <v>1967</v>
      </c>
      <c r="X2376">
        <f>NHS_AE_2024_2025[[#This Row],[A&amp;E attendances Type 1]]+
NHS_AE_2024_2025[[#This Row],[A&amp;E attendances Type 2]]+
NHS_AE_2024_2025[[#This Row],[A&amp;E attendances Other A&amp;E Department]]</f>
        <v>28298</v>
      </c>
      <c r="Y2376">
        <f t="shared" si="74"/>
        <v>8533</v>
      </c>
      <c r="Z2376">
        <f t="shared" si="75"/>
        <v>5928</v>
      </c>
    </row>
    <row r="2377" spans="1:26" x14ac:dyDescent="0.2">
      <c r="A2377" t="s">
        <v>458</v>
      </c>
      <c r="B2377" t="s">
        <v>459</v>
      </c>
      <c r="C2377" t="s">
        <v>230</v>
      </c>
      <c r="D2377" t="s">
        <v>29</v>
      </c>
      <c r="E2377" t="s">
        <v>231</v>
      </c>
      <c r="F2377">
        <v>16645</v>
      </c>
      <c r="G2377">
        <v>0</v>
      </c>
      <c r="H2377">
        <v>8306</v>
      </c>
      <c r="I2377">
        <v>0</v>
      </c>
      <c r="J2377">
        <v>0</v>
      </c>
      <c r="K2377">
        <v>0</v>
      </c>
      <c r="L2377">
        <v>6090</v>
      </c>
      <c r="M2377">
        <v>0</v>
      </c>
      <c r="N2377">
        <v>149</v>
      </c>
      <c r="O2377">
        <v>0</v>
      </c>
      <c r="P2377">
        <v>0</v>
      </c>
      <c r="Q2377">
        <v>0</v>
      </c>
      <c r="R2377">
        <v>914</v>
      </c>
      <c r="S2377">
        <v>647</v>
      </c>
      <c r="T2377">
        <v>3778</v>
      </c>
      <c r="U2377">
        <v>0</v>
      </c>
      <c r="V2377">
        <v>0</v>
      </c>
      <c r="W2377">
        <v>543</v>
      </c>
      <c r="X2377">
        <f>NHS_AE_2024_2025[[#This Row],[A&amp;E attendances Type 1]]+
NHS_AE_2024_2025[[#This Row],[A&amp;E attendances Type 2]]+
NHS_AE_2024_2025[[#This Row],[A&amp;E attendances Other A&amp;E Department]]</f>
        <v>24951</v>
      </c>
      <c r="Y2377">
        <f t="shared" si="74"/>
        <v>6239</v>
      </c>
      <c r="Z2377">
        <f t="shared" si="75"/>
        <v>4321</v>
      </c>
    </row>
    <row r="2378" spans="1:26" x14ac:dyDescent="0.2">
      <c r="A2378" t="s">
        <v>458</v>
      </c>
      <c r="B2378" t="s">
        <v>459</v>
      </c>
      <c r="C2378" t="s">
        <v>398</v>
      </c>
      <c r="D2378" t="s">
        <v>55</v>
      </c>
      <c r="E2378" t="s">
        <v>399</v>
      </c>
      <c r="F2378">
        <v>7655</v>
      </c>
      <c r="G2378">
        <v>0</v>
      </c>
      <c r="H2378">
        <v>2625</v>
      </c>
      <c r="I2378">
        <v>0</v>
      </c>
      <c r="J2378">
        <v>0</v>
      </c>
      <c r="K2378">
        <v>198</v>
      </c>
      <c r="L2378">
        <v>4231</v>
      </c>
      <c r="M2378">
        <v>0</v>
      </c>
      <c r="N2378">
        <v>15</v>
      </c>
      <c r="O2378">
        <v>0</v>
      </c>
      <c r="P2378">
        <v>0</v>
      </c>
      <c r="Q2378">
        <v>1</v>
      </c>
      <c r="R2378">
        <v>496</v>
      </c>
      <c r="S2378">
        <v>899</v>
      </c>
      <c r="T2378">
        <v>1930</v>
      </c>
      <c r="U2378">
        <v>0</v>
      </c>
      <c r="V2378">
        <v>0</v>
      </c>
      <c r="W2378">
        <v>1813</v>
      </c>
      <c r="X2378">
        <f>NHS_AE_2024_2025[[#This Row],[A&amp;E attendances Type 1]]+
NHS_AE_2024_2025[[#This Row],[A&amp;E attendances Type 2]]+
NHS_AE_2024_2025[[#This Row],[A&amp;E attendances Other A&amp;E Department]]</f>
        <v>10280</v>
      </c>
      <c r="Y2378">
        <f t="shared" si="74"/>
        <v>4246</v>
      </c>
      <c r="Z2378">
        <f t="shared" si="75"/>
        <v>3743</v>
      </c>
    </row>
    <row r="2379" spans="1:26" x14ac:dyDescent="0.2">
      <c r="A2379" t="s">
        <v>458</v>
      </c>
      <c r="B2379" t="s">
        <v>459</v>
      </c>
      <c r="C2379" t="s">
        <v>314</v>
      </c>
      <c r="D2379" t="s">
        <v>32</v>
      </c>
      <c r="E2379" t="s">
        <v>315</v>
      </c>
      <c r="F2379">
        <v>6493</v>
      </c>
      <c r="G2379">
        <v>0</v>
      </c>
      <c r="H2379">
        <v>1736</v>
      </c>
      <c r="I2379">
        <v>0</v>
      </c>
      <c r="J2379">
        <v>0</v>
      </c>
      <c r="K2379">
        <v>0</v>
      </c>
      <c r="L2379">
        <v>2073</v>
      </c>
      <c r="M2379">
        <v>0</v>
      </c>
      <c r="N2379">
        <v>15</v>
      </c>
      <c r="O2379">
        <v>0</v>
      </c>
      <c r="P2379">
        <v>0</v>
      </c>
      <c r="Q2379">
        <v>0</v>
      </c>
      <c r="R2379">
        <v>566</v>
      </c>
      <c r="S2379">
        <v>160</v>
      </c>
      <c r="T2379">
        <v>1021</v>
      </c>
      <c r="U2379">
        <v>0</v>
      </c>
      <c r="V2379">
        <v>0</v>
      </c>
      <c r="W2379">
        <v>15</v>
      </c>
      <c r="X2379">
        <f>NHS_AE_2024_2025[[#This Row],[A&amp;E attendances Type 1]]+
NHS_AE_2024_2025[[#This Row],[A&amp;E attendances Type 2]]+
NHS_AE_2024_2025[[#This Row],[A&amp;E attendances Other A&amp;E Department]]</f>
        <v>8229</v>
      </c>
      <c r="Y2379">
        <f t="shared" si="74"/>
        <v>2088</v>
      </c>
      <c r="Z2379">
        <f t="shared" si="75"/>
        <v>1036</v>
      </c>
    </row>
    <row r="2380" spans="1:26" x14ac:dyDescent="0.2">
      <c r="A2380" t="s">
        <v>458</v>
      </c>
      <c r="B2380" t="s">
        <v>459</v>
      </c>
      <c r="C2380" t="s">
        <v>388</v>
      </c>
      <c r="D2380" t="s">
        <v>55</v>
      </c>
      <c r="E2380" t="s">
        <v>389</v>
      </c>
      <c r="F2380">
        <v>7821</v>
      </c>
      <c r="G2380">
        <v>0</v>
      </c>
      <c r="H2380">
        <v>3695</v>
      </c>
      <c r="I2380">
        <v>67</v>
      </c>
      <c r="J2380">
        <v>0</v>
      </c>
      <c r="K2380">
        <v>83</v>
      </c>
      <c r="L2380">
        <v>3793</v>
      </c>
      <c r="M2380">
        <v>0</v>
      </c>
      <c r="N2380">
        <v>144</v>
      </c>
      <c r="O2380">
        <v>27</v>
      </c>
      <c r="P2380">
        <v>0</v>
      </c>
      <c r="Q2380">
        <v>5</v>
      </c>
      <c r="R2380">
        <v>523</v>
      </c>
      <c r="S2380">
        <v>569</v>
      </c>
      <c r="T2380">
        <v>2244</v>
      </c>
      <c r="U2380">
        <v>0</v>
      </c>
      <c r="V2380">
        <v>99</v>
      </c>
      <c r="W2380">
        <v>749</v>
      </c>
      <c r="X2380">
        <f>NHS_AE_2024_2025[[#This Row],[A&amp;E attendances Type 1]]+
NHS_AE_2024_2025[[#This Row],[A&amp;E attendances Type 2]]+
NHS_AE_2024_2025[[#This Row],[A&amp;E attendances Other A&amp;E Department]]</f>
        <v>11516</v>
      </c>
      <c r="Y2380">
        <f t="shared" si="74"/>
        <v>3937</v>
      </c>
      <c r="Z2380">
        <f t="shared" si="75"/>
        <v>3092</v>
      </c>
    </row>
    <row r="2381" spans="1:26" x14ac:dyDescent="0.2">
      <c r="A2381" t="s">
        <v>458</v>
      </c>
      <c r="B2381" t="s">
        <v>459</v>
      </c>
      <c r="C2381" t="s">
        <v>424</v>
      </c>
      <c r="D2381" t="s">
        <v>37</v>
      </c>
      <c r="E2381" t="s">
        <v>425</v>
      </c>
      <c r="F2381">
        <v>11866</v>
      </c>
      <c r="G2381">
        <v>1775</v>
      </c>
      <c r="H2381">
        <v>1956</v>
      </c>
      <c r="I2381">
        <v>1319</v>
      </c>
      <c r="J2381">
        <v>0</v>
      </c>
      <c r="K2381">
        <v>116</v>
      </c>
      <c r="L2381">
        <v>4182</v>
      </c>
      <c r="M2381">
        <v>0</v>
      </c>
      <c r="N2381">
        <v>0</v>
      </c>
      <c r="O2381">
        <v>398</v>
      </c>
      <c r="P2381">
        <v>0</v>
      </c>
      <c r="Q2381">
        <v>1</v>
      </c>
      <c r="R2381">
        <v>788</v>
      </c>
      <c r="S2381">
        <v>0</v>
      </c>
      <c r="T2381">
        <v>4476</v>
      </c>
      <c r="U2381">
        <v>127</v>
      </c>
      <c r="V2381">
        <v>17</v>
      </c>
      <c r="W2381">
        <v>4358</v>
      </c>
      <c r="X2381">
        <f>NHS_AE_2024_2025[[#This Row],[A&amp;E attendances Type 1]]+
NHS_AE_2024_2025[[#This Row],[A&amp;E attendances Type 2]]+
NHS_AE_2024_2025[[#This Row],[A&amp;E attendances Other A&amp;E Department]]</f>
        <v>15597</v>
      </c>
      <c r="Y2381">
        <f t="shared" si="74"/>
        <v>4182</v>
      </c>
      <c r="Z2381">
        <f t="shared" si="75"/>
        <v>8978</v>
      </c>
    </row>
    <row r="2382" spans="1:26" x14ac:dyDescent="0.2">
      <c r="A2382" t="s">
        <v>458</v>
      </c>
      <c r="B2382" t="s">
        <v>459</v>
      </c>
      <c r="C2382" t="s">
        <v>270</v>
      </c>
      <c r="D2382" t="s">
        <v>32</v>
      </c>
      <c r="E2382" t="s">
        <v>271</v>
      </c>
      <c r="F2382">
        <v>14245</v>
      </c>
      <c r="G2382">
        <v>1186</v>
      </c>
      <c r="H2382">
        <v>6905</v>
      </c>
      <c r="I2382">
        <v>1021</v>
      </c>
      <c r="J2382">
        <v>0</v>
      </c>
      <c r="K2382">
        <v>0</v>
      </c>
      <c r="L2382">
        <v>6703</v>
      </c>
      <c r="M2382">
        <v>171</v>
      </c>
      <c r="N2382">
        <v>100</v>
      </c>
      <c r="O2382">
        <v>101</v>
      </c>
      <c r="P2382">
        <v>0</v>
      </c>
      <c r="Q2382">
        <v>0</v>
      </c>
      <c r="R2382">
        <v>1050</v>
      </c>
      <c r="S2382">
        <v>529</v>
      </c>
      <c r="T2382">
        <v>2628</v>
      </c>
      <c r="U2382">
        <v>0</v>
      </c>
      <c r="V2382">
        <v>0</v>
      </c>
      <c r="W2382">
        <v>415</v>
      </c>
      <c r="X2382">
        <f>NHS_AE_2024_2025[[#This Row],[A&amp;E attendances Type 1]]+
NHS_AE_2024_2025[[#This Row],[A&amp;E attendances Type 2]]+
NHS_AE_2024_2025[[#This Row],[A&amp;E attendances Other A&amp;E Department]]</f>
        <v>22336</v>
      </c>
      <c r="Y2382">
        <f t="shared" si="74"/>
        <v>6974</v>
      </c>
      <c r="Z2382">
        <f t="shared" si="75"/>
        <v>3043</v>
      </c>
    </row>
    <row r="2383" spans="1:26" x14ac:dyDescent="0.2">
      <c r="A2383" t="s">
        <v>458</v>
      </c>
      <c r="B2383" t="s">
        <v>459</v>
      </c>
      <c r="C2383" t="s">
        <v>182</v>
      </c>
      <c r="D2383" t="s">
        <v>29</v>
      </c>
      <c r="E2383" t="s">
        <v>183</v>
      </c>
      <c r="F2383">
        <v>0</v>
      </c>
      <c r="G2383">
        <v>0</v>
      </c>
      <c r="H2383">
        <v>11186</v>
      </c>
      <c r="I2383">
        <v>0</v>
      </c>
      <c r="J2383">
        <v>0</v>
      </c>
      <c r="K2383">
        <v>433</v>
      </c>
      <c r="L2383">
        <v>0</v>
      </c>
      <c r="M2383">
        <v>0</v>
      </c>
      <c r="N2383">
        <v>222</v>
      </c>
      <c r="O2383">
        <v>0</v>
      </c>
      <c r="P2383">
        <v>0</v>
      </c>
      <c r="Q2383">
        <v>7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f>NHS_AE_2024_2025[[#This Row],[A&amp;E attendances Type 1]]+
NHS_AE_2024_2025[[#This Row],[A&amp;E attendances Type 2]]+
NHS_AE_2024_2025[[#This Row],[A&amp;E attendances Other A&amp;E Department]]</f>
        <v>11186</v>
      </c>
      <c r="Y2383">
        <f t="shared" si="74"/>
        <v>222</v>
      </c>
      <c r="Z2383">
        <f t="shared" si="75"/>
        <v>0</v>
      </c>
    </row>
    <row r="2384" spans="1:26" x14ac:dyDescent="0.2">
      <c r="A2384" t="s">
        <v>458</v>
      </c>
      <c r="B2384" t="s">
        <v>459</v>
      </c>
      <c r="C2384" t="s">
        <v>396</v>
      </c>
      <c r="D2384" t="s">
        <v>29</v>
      </c>
      <c r="E2384" t="s">
        <v>397</v>
      </c>
      <c r="F2384">
        <v>6077</v>
      </c>
      <c r="G2384">
        <v>0</v>
      </c>
      <c r="H2384">
        <v>6253</v>
      </c>
      <c r="I2384">
        <v>0</v>
      </c>
      <c r="J2384">
        <v>0</v>
      </c>
      <c r="K2384">
        <v>0</v>
      </c>
      <c r="L2384">
        <v>3644</v>
      </c>
      <c r="M2384">
        <v>0</v>
      </c>
      <c r="N2384">
        <v>177</v>
      </c>
      <c r="O2384">
        <v>0</v>
      </c>
      <c r="P2384">
        <v>0</v>
      </c>
      <c r="Q2384">
        <v>0</v>
      </c>
      <c r="R2384">
        <v>523</v>
      </c>
      <c r="S2384">
        <v>39</v>
      </c>
      <c r="T2384">
        <v>2431</v>
      </c>
      <c r="U2384">
        <v>0</v>
      </c>
      <c r="V2384">
        <v>0</v>
      </c>
      <c r="W2384">
        <v>125</v>
      </c>
      <c r="X2384">
        <f>NHS_AE_2024_2025[[#This Row],[A&amp;E attendances Type 1]]+
NHS_AE_2024_2025[[#This Row],[A&amp;E attendances Type 2]]+
NHS_AE_2024_2025[[#This Row],[A&amp;E attendances Other A&amp;E Department]]</f>
        <v>12330</v>
      </c>
      <c r="Y2384">
        <f t="shared" si="74"/>
        <v>3821</v>
      </c>
      <c r="Z2384">
        <f t="shared" si="75"/>
        <v>2556</v>
      </c>
    </row>
    <row r="2385" spans="1:26" x14ac:dyDescent="0.2">
      <c r="A2385" t="s">
        <v>458</v>
      </c>
      <c r="B2385" t="s">
        <v>445</v>
      </c>
      <c r="C2385" t="s">
        <v>426</v>
      </c>
      <c r="D2385" t="s">
        <v>445</v>
      </c>
      <c r="E2385" t="s">
        <v>445</v>
      </c>
      <c r="F2385">
        <v>1335923</v>
      </c>
      <c r="G2385">
        <v>47946</v>
      </c>
      <c r="H2385">
        <v>757108</v>
      </c>
      <c r="I2385">
        <v>28559</v>
      </c>
      <c r="J2385">
        <v>588</v>
      </c>
      <c r="K2385">
        <v>44093</v>
      </c>
      <c r="L2385">
        <v>541162</v>
      </c>
      <c r="M2385">
        <v>2160</v>
      </c>
      <c r="N2385">
        <v>19757</v>
      </c>
      <c r="O2385">
        <v>7360</v>
      </c>
      <c r="P2385">
        <v>13</v>
      </c>
      <c r="Q2385">
        <v>436</v>
      </c>
      <c r="R2385">
        <v>91752</v>
      </c>
      <c r="S2385">
        <v>38880</v>
      </c>
      <c r="T2385">
        <v>393406</v>
      </c>
      <c r="U2385">
        <v>1323</v>
      </c>
      <c r="V2385">
        <v>4677</v>
      </c>
      <c r="W2385">
        <v>131418</v>
      </c>
      <c r="X2385">
        <f>NHS_AE_2024_2025[[#This Row],[A&amp;E attendances Type 1]]+
NHS_AE_2024_2025[[#This Row],[A&amp;E attendances Type 2]]+
NHS_AE_2024_2025[[#This Row],[A&amp;E attendances Other A&amp;E Department]]</f>
        <v>2140977</v>
      </c>
      <c r="Y2385">
        <f t="shared" si="74"/>
        <v>563079</v>
      </c>
      <c r="Z2385">
        <f t="shared" si="75"/>
        <v>530824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6347-D408-4153-8645-848E1588DE29}">
  <dimension ref="A3:B16"/>
  <sheetViews>
    <sheetView workbookViewId="0">
      <selection activeCell="G19" sqref="G19"/>
    </sheetView>
  </sheetViews>
  <sheetFormatPr baseColWidth="10" defaultColWidth="8.83203125" defaultRowHeight="15" x14ac:dyDescent="0.2"/>
  <cols>
    <col min="1" max="1" width="21.6640625" bestFit="1" customWidth="1"/>
    <col min="2" max="2" width="22.33203125" bestFit="1" customWidth="1"/>
  </cols>
  <sheetData>
    <row r="3" spans="1:2" x14ac:dyDescent="0.2">
      <c r="A3" s="1" t="s">
        <v>463</v>
      </c>
      <c r="B3" t="s">
        <v>465</v>
      </c>
    </row>
    <row r="4" spans="1:2" x14ac:dyDescent="0.2">
      <c r="A4" s="2" t="s">
        <v>24</v>
      </c>
      <c r="B4" s="3">
        <v>2163149</v>
      </c>
    </row>
    <row r="5" spans="1:2" x14ac:dyDescent="0.2">
      <c r="A5" s="2" t="s">
        <v>453</v>
      </c>
      <c r="B5" s="3">
        <v>2331010</v>
      </c>
    </row>
    <row r="6" spans="1:2" x14ac:dyDescent="0.2">
      <c r="A6" s="2" t="s">
        <v>447</v>
      </c>
      <c r="B6" s="3">
        <v>2215640</v>
      </c>
    </row>
    <row r="7" spans="1:2" x14ac:dyDescent="0.2">
      <c r="A7" s="2" t="s">
        <v>444</v>
      </c>
      <c r="B7" s="3">
        <v>2251330</v>
      </c>
    </row>
    <row r="8" spans="1:2" x14ac:dyDescent="0.2">
      <c r="A8" s="2" t="s">
        <v>428</v>
      </c>
      <c r="B8" s="3">
        <v>2086225</v>
      </c>
    </row>
    <row r="9" spans="1:2" x14ac:dyDescent="0.2">
      <c r="A9" s="2" t="s">
        <v>459</v>
      </c>
      <c r="B9" s="3">
        <v>2140977</v>
      </c>
    </row>
    <row r="10" spans="1:2" x14ac:dyDescent="0.2">
      <c r="A10" s="2" t="s">
        <v>457</v>
      </c>
      <c r="B10" s="3">
        <v>2280392</v>
      </c>
    </row>
    <row r="11" spans="1:2" x14ac:dyDescent="0.2">
      <c r="A11" s="2" t="s">
        <v>455</v>
      </c>
      <c r="B11" s="3">
        <v>2234578</v>
      </c>
    </row>
    <row r="12" spans="1:2" x14ac:dyDescent="0.2">
      <c r="A12" s="2" t="s">
        <v>433</v>
      </c>
      <c r="B12" s="3">
        <v>2258452</v>
      </c>
    </row>
    <row r="13" spans="1:2" x14ac:dyDescent="0.2">
      <c r="A13" s="2" t="s">
        <v>442</v>
      </c>
      <c r="B13" s="3">
        <v>2133300</v>
      </c>
    </row>
    <row r="14" spans="1:2" x14ac:dyDescent="0.2">
      <c r="A14" s="2" t="s">
        <v>438</v>
      </c>
      <c r="B14" s="3">
        <v>2008463</v>
      </c>
    </row>
    <row r="15" spans="1:2" x14ac:dyDescent="0.2">
      <c r="A15" s="2" t="s">
        <v>449</v>
      </c>
      <c r="B15" s="3">
        <v>2299660</v>
      </c>
    </row>
    <row r="16" spans="1:2" x14ac:dyDescent="0.2">
      <c r="A16" s="2" t="s">
        <v>464</v>
      </c>
      <c r="B16" s="3">
        <v>26403176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2DB4-361D-442B-8D61-20A222069648}">
  <dimension ref="A3:B16"/>
  <sheetViews>
    <sheetView workbookViewId="0">
      <selection activeCell="M18" sqref="M18"/>
    </sheetView>
  </sheetViews>
  <sheetFormatPr baseColWidth="10" defaultColWidth="8.83203125" defaultRowHeight="15" x14ac:dyDescent="0.2"/>
  <cols>
    <col min="1" max="1" width="21.6640625" bestFit="1" customWidth="1"/>
    <col min="2" max="2" width="19.5" bestFit="1" customWidth="1"/>
  </cols>
  <sheetData>
    <row r="3" spans="1:2" x14ac:dyDescent="0.2">
      <c r="A3" s="1" t="s">
        <v>463</v>
      </c>
      <c r="B3" t="s">
        <v>466</v>
      </c>
    </row>
    <row r="4" spans="1:2" x14ac:dyDescent="0.2">
      <c r="A4" s="2" t="s">
        <v>24</v>
      </c>
      <c r="B4" s="3">
        <v>563068</v>
      </c>
    </row>
    <row r="5" spans="1:2" x14ac:dyDescent="0.2">
      <c r="A5" s="2" t="s">
        <v>453</v>
      </c>
      <c r="B5" s="3">
        <v>619285</v>
      </c>
    </row>
    <row r="6" spans="1:2" x14ac:dyDescent="0.2">
      <c r="A6" s="2" t="s">
        <v>447</v>
      </c>
      <c r="B6" s="3">
        <v>574514</v>
      </c>
    </row>
    <row r="7" spans="1:2" x14ac:dyDescent="0.2">
      <c r="A7" s="2" t="s">
        <v>444</v>
      </c>
      <c r="B7" s="3">
        <v>568225</v>
      </c>
    </row>
    <row r="8" spans="1:2" x14ac:dyDescent="0.2">
      <c r="A8" s="2" t="s">
        <v>428</v>
      </c>
      <c r="B8" s="3">
        <v>504447</v>
      </c>
    </row>
    <row r="9" spans="1:2" x14ac:dyDescent="0.2">
      <c r="A9" s="2" t="s">
        <v>459</v>
      </c>
      <c r="B9" s="3">
        <v>563079</v>
      </c>
    </row>
    <row r="10" spans="1:2" x14ac:dyDescent="0.2">
      <c r="A10" s="2" t="s">
        <v>457</v>
      </c>
      <c r="B10" s="3">
        <v>626992</v>
      </c>
    </row>
    <row r="11" spans="1:2" x14ac:dyDescent="0.2">
      <c r="A11" s="2" t="s">
        <v>455</v>
      </c>
      <c r="B11" s="3">
        <v>634410</v>
      </c>
    </row>
    <row r="12" spans="1:2" x14ac:dyDescent="0.2">
      <c r="A12" s="2" t="s">
        <v>433</v>
      </c>
      <c r="B12" s="3">
        <v>667235</v>
      </c>
    </row>
    <row r="13" spans="1:2" x14ac:dyDescent="0.2">
      <c r="A13" s="2" t="s">
        <v>442</v>
      </c>
      <c r="B13" s="3">
        <v>589826</v>
      </c>
    </row>
    <row r="14" spans="1:2" x14ac:dyDescent="0.2">
      <c r="A14" s="2" t="s">
        <v>438</v>
      </c>
      <c r="B14" s="3">
        <v>545676</v>
      </c>
    </row>
    <row r="15" spans="1:2" x14ac:dyDescent="0.2">
      <c r="A15" s="2" t="s">
        <v>449</v>
      </c>
      <c r="B15" s="3">
        <v>588838</v>
      </c>
    </row>
    <row r="16" spans="1:2" x14ac:dyDescent="0.2">
      <c r="A16" s="2" t="s">
        <v>464</v>
      </c>
      <c r="B16" s="3">
        <v>7045595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A5BE-3CAC-4E4F-9652-968C9B47C7A6}">
  <dimension ref="A5:D17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59.5" customWidth="1"/>
    <col min="2" max="2" width="39" customWidth="1"/>
  </cols>
  <sheetData>
    <row r="5" spans="1:2" x14ac:dyDescent="0.2">
      <c r="A5" s="4" t="s">
        <v>463</v>
      </c>
      <c r="B5" s="4" t="s">
        <v>465</v>
      </c>
    </row>
    <row r="6" spans="1:2" x14ac:dyDescent="0.2">
      <c r="A6" t="s">
        <v>225</v>
      </c>
      <c r="B6" s="3">
        <v>515721</v>
      </c>
    </row>
    <row r="7" spans="1:2" x14ac:dyDescent="0.2">
      <c r="A7" t="s">
        <v>395</v>
      </c>
      <c r="B7" s="3">
        <v>465486</v>
      </c>
    </row>
    <row r="8" spans="1:2" x14ac:dyDescent="0.2">
      <c r="A8" t="s">
        <v>207</v>
      </c>
      <c r="B8" s="3">
        <v>428048</v>
      </c>
    </row>
    <row r="9" spans="1:2" x14ac:dyDescent="0.2">
      <c r="A9" t="s">
        <v>229</v>
      </c>
      <c r="B9" s="3">
        <v>421824</v>
      </c>
    </row>
    <row r="10" spans="1:2" x14ac:dyDescent="0.2">
      <c r="A10" t="s">
        <v>197</v>
      </c>
      <c r="B10" s="3">
        <v>419110</v>
      </c>
    </row>
    <row r="11" spans="1:2" x14ac:dyDescent="0.2">
      <c r="A11" t="s">
        <v>419</v>
      </c>
      <c r="B11" s="3">
        <v>408555</v>
      </c>
    </row>
    <row r="12" spans="1:2" x14ac:dyDescent="0.2">
      <c r="A12" t="s">
        <v>331</v>
      </c>
      <c r="B12" s="3">
        <v>357623</v>
      </c>
    </row>
    <row r="13" spans="1:2" x14ac:dyDescent="0.2">
      <c r="A13" t="s">
        <v>231</v>
      </c>
      <c r="B13" s="3">
        <v>357327</v>
      </c>
    </row>
    <row r="14" spans="1:2" x14ac:dyDescent="0.2">
      <c r="A14" s="6" t="s">
        <v>464</v>
      </c>
      <c r="B14" s="5">
        <v>3373694</v>
      </c>
    </row>
    <row r="17" spans="4:4" x14ac:dyDescent="0.2">
      <c r="D17" s="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B1E2-F7E1-424F-847E-4693F64D365A}">
  <dimension ref="A5:B14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56.1640625" customWidth="1"/>
    <col min="2" max="2" width="43" customWidth="1"/>
  </cols>
  <sheetData>
    <row r="5" spans="1:2" x14ac:dyDescent="0.2">
      <c r="A5" s="4" t="s">
        <v>463</v>
      </c>
      <c r="B5" s="4" t="s">
        <v>466</v>
      </c>
    </row>
    <row r="6" spans="1:2" x14ac:dyDescent="0.2">
      <c r="A6" t="s">
        <v>207</v>
      </c>
      <c r="B6" s="3">
        <v>167072</v>
      </c>
    </row>
    <row r="7" spans="1:2" x14ac:dyDescent="0.2">
      <c r="A7" t="s">
        <v>225</v>
      </c>
      <c r="B7" s="3">
        <v>157223</v>
      </c>
    </row>
    <row r="8" spans="1:2" x14ac:dyDescent="0.2">
      <c r="A8" t="s">
        <v>395</v>
      </c>
      <c r="B8" s="3">
        <v>143449</v>
      </c>
    </row>
    <row r="9" spans="1:2" x14ac:dyDescent="0.2">
      <c r="A9" t="s">
        <v>419</v>
      </c>
      <c r="B9" s="3">
        <v>137165</v>
      </c>
    </row>
    <row r="10" spans="1:2" x14ac:dyDescent="0.2">
      <c r="A10" t="s">
        <v>229</v>
      </c>
      <c r="B10" s="3">
        <v>123180</v>
      </c>
    </row>
    <row r="11" spans="1:2" x14ac:dyDescent="0.2">
      <c r="A11" t="s">
        <v>277</v>
      </c>
      <c r="B11" s="3">
        <v>122110</v>
      </c>
    </row>
    <row r="12" spans="1:2" x14ac:dyDescent="0.2">
      <c r="A12" t="s">
        <v>197</v>
      </c>
      <c r="B12" s="3">
        <v>117319</v>
      </c>
    </row>
    <row r="13" spans="1:2" x14ac:dyDescent="0.2">
      <c r="A13" t="s">
        <v>267</v>
      </c>
      <c r="B13" s="3">
        <v>113050</v>
      </c>
    </row>
    <row r="14" spans="1:2" x14ac:dyDescent="0.2">
      <c r="A14" s="6" t="s">
        <v>464</v>
      </c>
      <c r="B14" s="5">
        <v>1080568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28D3-8FFF-461B-A3CC-3E5E541AD339}">
  <dimension ref="A1:B3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41.6640625" customWidth="1"/>
    <col min="2" max="2" width="65.6640625" customWidth="1"/>
  </cols>
  <sheetData>
    <row r="1" spans="1:2" x14ac:dyDescent="0.2">
      <c r="A1" s="8" t="s">
        <v>467</v>
      </c>
      <c r="B1" s="8" t="s">
        <v>225</v>
      </c>
    </row>
    <row r="2" spans="1:2" x14ac:dyDescent="0.2">
      <c r="A2" s="7" t="s">
        <v>460</v>
      </c>
      <c r="B2" s="7">
        <f>_xlfn.XLOOKUP(B1,NHS_AE_2024_2025!E:E,NHS_AE_2024_2025!X:X)</f>
        <v>41185</v>
      </c>
    </row>
    <row r="3" spans="1:2" x14ac:dyDescent="0.2">
      <c r="A3" s="7" t="s">
        <v>461</v>
      </c>
      <c r="B3" s="7">
        <f>_xlfn.XLOOKUP(B1,NHS_AE_2024_2025!E:E,NHS_AE_2024_2025!Y:Y)</f>
        <v>14233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294BD-4534-4B92-942E-98813E2280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NHS_AE_2024_2025</vt:lpstr>
      <vt:lpstr>Trends In Attendances</vt:lpstr>
      <vt:lpstr>Total Over 4 Hours</vt:lpstr>
      <vt:lpstr>Top Trusts by Attendances</vt:lpstr>
      <vt:lpstr>Top Trusts by 4 hours delays</vt:lpstr>
      <vt:lpstr>Trust Lookup Tool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Fatema Ahsan</dc:creator>
  <cp:lastModifiedBy>Fatema Ahsan</cp:lastModifiedBy>
  <dcterms:created xsi:type="dcterms:W3CDTF">2026-05-06T18:29:40Z</dcterms:created>
  <dcterms:modified xsi:type="dcterms:W3CDTF">2026-05-09T16:19:21Z</dcterms:modified>
</cp:coreProperties>
</file>